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ncoln.rychecky\Desktop\VBA Project\"/>
    </mc:Choice>
  </mc:AlternateContent>
  <xr:revisionPtr revIDLastSave="0" documentId="13_ncr:1_{85D21D7F-3BA5-4FF8-973C-CCBC7E87FC07}" xr6:coauthVersionLast="45" xr6:coauthVersionMax="45" xr10:uidLastSave="{00000000-0000-0000-0000-000000000000}"/>
  <bookViews>
    <workbookView xWindow="1940" yWindow="560" windowWidth="14400" windowHeight="7360" xr2:uid="{00000000-000D-0000-FFFF-FFFF00000000}"/>
  </bookViews>
  <sheets>
    <sheet name="Home" sheetId="8" r:id="rId1"/>
    <sheet name="MLB Records Quiz" sheetId="6" r:id="rId2"/>
    <sheet name="Team season info" sheetId="5" r:id="rId3"/>
    <sheet name="Game Statistics" sheetId="4" r:id="rId4"/>
    <sheet name="MLB Records" sheetId="2" r:id="rId5"/>
    <sheet name="2010 Season Game Data" sheetId="1" r:id="rId6"/>
    <sheet name="2010 Season End Standings" sheetId="3" r:id="rId7"/>
  </sheets>
  <definedNames>
    <definedName name="ALCENTRAL">'2010 Season End Standings'!$A$7:$C$11</definedName>
    <definedName name="ALEAST">'2010 Season End Standings'!$A$2:$C$6</definedName>
    <definedName name="ALWEST">'2010 Season End Standings'!$A$12:$C$15</definedName>
    <definedName name="NLCENTRAL">'2010 Season End Standings'!$A$21:$C$26</definedName>
    <definedName name="NLEAST">'2010 Season End Standings'!$A$16:$C$20</definedName>
    <definedName name="NLWEST">'2010 Season End Standings'!$A$27:$C$31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" i="1" l="1"/>
  <c r="M3" i="3" l="1"/>
  <c r="N3" i="3"/>
  <c r="M4" i="3"/>
  <c r="N4" i="3"/>
  <c r="M5" i="3"/>
  <c r="N5" i="3"/>
  <c r="M6" i="3"/>
  <c r="N6" i="3"/>
  <c r="M7" i="3"/>
  <c r="N7" i="3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N2" i="3"/>
  <c r="M2" i="3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" i="1"/>
  <c r="Q34" i="1" l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J5" i="3" l="1"/>
  <c r="L5" i="3" s="1"/>
  <c r="J9" i="3"/>
  <c r="L9" i="3" s="1"/>
  <c r="J13" i="3"/>
  <c r="L13" i="3" s="1"/>
  <c r="J17" i="3"/>
  <c r="L17" i="3" s="1"/>
  <c r="J21" i="3"/>
  <c r="L21" i="3" s="1"/>
  <c r="J25" i="3"/>
  <c r="L25" i="3" s="1"/>
  <c r="J29" i="3"/>
  <c r="L29" i="3" s="1"/>
  <c r="I3" i="3"/>
  <c r="K3" i="3" s="1"/>
  <c r="I7" i="3"/>
  <c r="K7" i="3" s="1"/>
  <c r="I11" i="3"/>
  <c r="K11" i="3" s="1"/>
  <c r="I15" i="3"/>
  <c r="K15" i="3" s="1"/>
  <c r="I19" i="3"/>
  <c r="K19" i="3" s="1"/>
  <c r="I23" i="3"/>
  <c r="K23" i="3" s="1"/>
  <c r="I27" i="3"/>
  <c r="K27" i="3" s="1"/>
  <c r="I31" i="3"/>
  <c r="K31" i="3" s="1"/>
  <c r="D3" i="3"/>
  <c r="G3" i="3" s="1"/>
  <c r="D7" i="3"/>
  <c r="G7" i="3" s="1"/>
  <c r="D11" i="3"/>
  <c r="G11" i="3" s="1"/>
  <c r="D15" i="3"/>
  <c r="G15" i="3" s="1"/>
  <c r="D19" i="3"/>
  <c r="G19" i="3" s="1"/>
  <c r="D23" i="3"/>
  <c r="G23" i="3" s="1"/>
  <c r="D27" i="3"/>
  <c r="G27" i="3" s="1"/>
  <c r="D31" i="3"/>
  <c r="G31" i="3" s="1"/>
  <c r="B3" i="3"/>
  <c r="B7" i="3"/>
  <c r="B11" i="3"/>
  <c r="B15" i="3"/>
  <c r="B19" i="3"/>
  <c r="B23" i="3"/>
  <c r="B27" i="3"/>
  <c r="B31" i="3"/>
  <c r="J4" i="3"/>
  <c r="L4" i="3" s="1"/>
  <c r="J16" i="3"/>
  <c r="L16" i="3" s="1"/>
  <c r="J24" i="3"/>
  <c r="L24" i="3" s="1"/>
  <c r="J2" i="3"/>
  <c r="L2" i="3" s="1"/>
  <c r="I10" i="3"/>
  <c r="K10" i="3" s="1"/>
  <c r="I18" i="3"/>
  <c r="K18" i="3" s="1"/>
  <c r="I26" i="3"/>
  <c r="K26" i="3" s="1"/>
  <c r="D6" i="3"/>
  <c r="G6" i="3" s="1"/>
  <c r="D14" i="3"/>
  <c r="G14" i="3" s="1"/>
  <c r="D22" i="3"/>
  <c r="G22" i="3" s="1"/>
  <c r="D30" i="3"/>
  <c r="G30" i="3" s="1"/>
  <c r="B10" i="3"/>
  <c r="B18" i="3"/>
  <c r="B22" i="3"/>
  <c r="B30" i="3"/>
  <c r="J6" i="3"/>
  <c r="L6" i="3" s="1"/>
  <c r="J10" i="3"/>
  <c r="L10" i="3" s="1"/>
  <c r="J14" i="3"/>
  <c r="L14" i="3" s="1"/>
  <c r="J18" i="3"/>
  <c r="L18" i="3" s="1"/>
  <c r="J22" i="3"/>
  <c r="L22" i="3" s="1"/>
  <c r="J26" i="3"/>
  <c r="L26" i="3" s="1"/>
  <c r="J30" i="3"/>
  <c r="L30" i="3" s="1"/>
  <c r="I4" i="3"/>
  <c r="K4" i="3" s="1"/>
  <c r="I8" i="3"/>
  <c r="K8" i="3" s="1"/>
  <c r="I12" i="3"/>
  <c r="K12" i="3" s="1"/>
  <c r="I16" i="3"/>
  <c r="K16" i="3" s="1"/>
  <c r="I20" i="3"/>
  <c r="K20" i="3" s="1"/>
  <c r="I24" i="3"/>
  <c r="K24" i="3" s="1"/>
  <c r="I28" i="3"/>
  <c r="K28" i="3" s="1"/>
  <c r="I2" i="3"/>
  <c r="K2" i="3" s="1"/>
  <c r="D4" i="3"/>
  <c r="G4" i="3" s="1"/>
  <c r="D8" i="3"/>
  <c r="G8" i="3" s="1"/>
  <c r="D12" i="3"/>
  <c r="G12" i="3" s="1"/>
  <c r="D16" i="3"/>
  <c r="G16" i="3" s="1"/>
  <c r="D20" i="3"/>
  <c r="G20" i="3" s="1"/>
  <c r="D24" i="3"/>
  <c r="G24" i="3" s="1"/>
  <c r="D28" i="3"/>
  <c r="G28" i="3" s="1"/>
  <c r="D2" i="3"/>
  <c r="G2" i="3" s="1"/>
  <c r="B4" i="3"/>
  <c r="B8" i="3"/>
  <c r="B12" i="3"/>
  <c r="B16" i="3"/>
  <c r="B20" i="3"/>
  <c r="B24" i="3"/>
  <c r="B28" i="3"/>
  <c r="B2" i="3"/>
  <c r="J8" i="3"/>
  <c r="L8" i="3" s="1"/>
  <c r="J12" i="3"/>
  <c r="L12" i="3" s="1"/>
  <c r="J20" i="3"/>
  <c r="L20" i="3" s="1"/>
  <c r="J28" i="3"/>
  <c r="L28" i="3" s="1"/>
  <c r="I6" i="3"/>
  <c r="K6" i="3" s="1"/>
  <c r="I14" i="3"/>
  <c r="K14" i="3" s="1"/>
  <c r="I22" i="3"/>
  <c r="K22" i="3" s="1"/>
  <c r="I30" i="3"/>
  <c r="K30" i="3" s="1"/>
  <c r="D10" i="3"/>
  <c r="G10" i="3" s="1"/>
  <c r="D18" i="3"/>
  <c r="G18" i="3" s="1"/>
  <c r="D26" i="3"/>
  <c r="G26" i="3" s="1"/>
  <c r="B6" i="3"/>
  <c r="B14" i="3"/>
  <c r="B26" i="3"/>
  <c r="J3" i="3"/>
  <c r="L3" i="3" s="1"/>
  <c r="J7" i="3"/>
  <c r="L7" i="3" s="1"/>
  <c r="J11" i="3"/>
  <c r="L11" i="3" s="1"/>
  <c r="J15" i="3"/>
  <c r="L15" i="3" s="1"/>
  <c r="J19" i="3"/>
  <c r="L19" i="3" s="1"/>
  <c r="J23" i="3"/>
  <c r="L23" i="3" s="1"/>
  <c r="J27" i="3"/>
  <c r="L27" i="3" s="1"/>
  <c r="J31" i="3"/>
  <c r="L31" i="3" s="1"/>
  <c r="I5" i="3"/>
  <c r="K5" i="3" s="1"/>
  <c r="I9" i="3"/>
  <c r="K9" i="3" s="1"/>
  <c r="I13" i="3"/>
  <c r="K13" i="3" s="1"/>
  <c r="I17" i="3"/>
  <c r="K17" i="3" s="1"/>
  <c r="I21" i="3"/>
  <c r="K21" i="3" s="1"/>
  <c r="I25" i="3"/>
  <c r="K25" i="3" s="1"/>
  <c r="I29" i="3"/>
  <c r="K29" i="3" s="1"/>
  <c r="D5" i="3"/>
  <c r="G5" i="3" s="1"/>
  <c r="D9" i="3"/>
  <c r="G9" i="3" s="1"/>
  <c r="D13" i="3"/>
  <c r="G13" i="3" s="1"/>
  <c r="D17" i="3"/>
  <c r="G17" i="3" s="1"/>
  <c r="D21" i="3"/>
  <c r="G21" i="3" s="1"/>
  <c r="D25" i="3"/>
  <c r="G25" i="3" s="1"/>
  <c r="D29" i="3"/>
  <c r="G29" i="3" s="1"/>
  <c r="B5" i="3"/>
  <c r="B9" i="3"/>
  <c r="B13" i="3"/>
  <c r="B17" i="3"/>
  <c r="B21" i="3"/>
  <c r="B25" i="3"/>
  <c r="B29" i="3"/>
  <c r="E21" i="3" l="1"/>
  <c r="H21" i="3" s="1"/>
  <c r="F21" i="3"/>
  <c r="C21" i="3"/>
  <c r="E5" i="3"/>
  <c r="H5" i="3" s="1"/>
  <c r="F5" i="3"/>
  <c r="C5" i="3"/>
  <c r="E17" i="3"/>
  <c r="H17" i="3" s="1"/>
  <c r="F17" i="3"/>
  <c r="C17" i="3"/>
  <c r="E29" i="3"/>
  <c r="H29" i="3" s="1"/>
  <c r="F29" i="3"/>
  <c r="C29" i="3"/>
  <c r="E13" i="3"/>
  <c r="H13" i="3" s="1"/>
  <c r="F13" i="3"/>
  <c r="C13" i="3"/>
  <c r="E28" i="3"/>
  <c r="H28" i="3" s="1"/>
  <c r="F28" i="3"/>
  <c r="C28" i="3"/>
  <c r="E12" i="3"/>
  <c r="H12" i="3" s="1"/>
  <c r="F12" i="3"/>
  <c r="C12" i="3"/>
  <c r="E18" i="3"/>
  <c r="H18" i="3" s="1"/>
  <c r="F18" i="3"/>
  <c r="C18" i="3"/>
  <c r="E19" i="3"/>
  <c r="H19" i="3" s="1"/>
  <c r="F19" i="3"/>
  <c r="C19" i="3"/>
  <c r="E3" i="3"/>
  <c r="H3" i="3" s="1"/>
  <c r="F3" i="3"/>
  <c r="C3" i="3"/>
  <c r="E25" i="3"/>
  <c r="H25" i="3" s="1"/>
  <c r="F25" i="3"/>
  <c r="C25" i="3"/>
  <c r="E9" i="3"/>
  <c r="H9" i="3" s="1"/>
  <c r="F9" i="3"/>
  <c r="C9" i="3"/>
  <c r="E26" i="3"/>
  <c r="H26" i="3" s="1"/>
  <c r="F26" i="3"/>
  <c r="C26" i="3"/>
  <c r="E24" i="3"/>
  <c r="H24" i="3" s="1"/>
  <c r="F24" i="3"/>
  <c r="C24" i="3"/>
  <c r="E8" i="3"/>
  <c r="H8" i="3" s="1"/>
  <c r="F8" i="3"/>
  <c r="C8" i="3"/>
  <c r="E10" i="3"/>
  <c r="H10" i="3" s="1"/>
  <c r="F10" i="3"/>
  <c r="C10" i="3"/>
  <c r="E31" i="3"/>
  <c r="H31" i="3" s="1"/>
  <c r="F31" i="3"/>
  <c r="C31" i="3"/>
  <c r="E15" i="3"/>
  <c r="H15" i="3" s="1"/>
  <c r="F15" i="3"/>
  <c r="C15" i="3"/>
  <c r="E14" i="3"/>
  <c r="H14" i="3" s="1"/>
  <c r="F14" i="3"/>
  <c r="C14" i="3"/>
  <c r="E20" i="3"/>
  <c r="H20" i="3" s="1"/>
  <c r="F20" i="3"/>
  <c r="C20" i="3"/>
  <c r="E4" i="3"/>
  <c r="H4" i="3" s="1"/>
  <c r="F4" i="3"/>
  <c r="C4" i="3"/>
  <c r="E30" i="3"/>
  <c r="H30" i="3" s="1"/>
  <c r="F30" i="3"/>
  <c r="C30" i="3"/>
  <c r="E27" i="3"/>
  <c r="H27" i="3" s="1"/>
  <c r="F27" i="3"/>
  <c r="C27" i="3"/>
  <c r="E11" i="3"/>
  <c r="H11" i="3" s="1"/>
  <c r="F11" i="3"/>
  <c r="C11" i="3"/>
  <c r="E6" i="3"/>
  <c r="H6" i="3" s="1"/>
  <c r="F6" i="3"/>
  <c r="C6" i="3"/>
  <c r="E2" i="3"/>
  <c r="H2" i="3" s="1"/>
  <c r="F2" i="3"/>
  <c r="C2" i="3"/>
  <c r="E16" i="3"/>
  <c r="H16" i="3" s="1"/>
  <c r="F16" i="3"/>
  <c r="C16" i="3"/>
  <c r="E22" i="3"/>
  <c r="H22" i="3" s="1"/>
  <c r="F22" i="3"/>
  <c r="C22" i="3"/>
  <c r="E23" i="3"/>
  <c r="H23" i="3" s="1"/>
  <c r="F23" i="3"/>
  <c r="C23" i="3"/>
  <c r="E7" i="3"/>
  <c r="H7" i="3" s="1"/>
  <c r="F7" i="3"/>
  <c r="C7" i="3"/>
</calcChain>
</file>

<file path=xl/sharedStrings.xml><?xml version="1.0" encoding="utf-8"?>
<sst xmlns="http://schemas.openxmlformats.org/spreadsheetml/2006/main" count="19488" uniqueCount="123">
  <si>
    <t>Number of Game</t>
  </si>
  <si>
    <t>DOW</t>
  </si>
  <si>
    <t>visiting team</t>
  </si>
  <si>
    <t>Visiting Team League</t>
  </si>
  <si>
    <t>VT game number</t>
  </si>
  <si>
    <t>Home Team</t>
  </si>
  <si>
    <t>Home Team League</t>
  </si>
  <si>
    <t>Home Team Game number</t>
  </si>
  <si>
    <t>Visiting team score</t>
  </si>
  <si>
    <t>Home Team score</t>
  </si>
  <si>
    <t>Length of Game in outs</t>
  </si>
  <si>
    <t>Day or Night</t>
  </si>
  <si>
    <t>Park ID</t>
  </si>
  <si>
    <t>Attendance</t>
  </si>
  <si>
    <t>Time of Game in minutes</t>
  </si>
  <si>
    <t>Winning Team</t>
  </si>
  <si>
    <t>Wed</t>
  </si>
  <si>
    <t>FLO</t>
  </si>
  <si>
    <t>NL</t>
  </si>
  <si>
    <t>NYN</t>
  </si>
  <si>
    <t>N</t>
  </si>
  <si>
    <t>NYC20</t>
  </si>
  <si>
    <t>LAN</t>
  </si>
  <si>
    <t>PIT</t>
  </si>
  <si>
    <t>PIT08</t>
  </si>
  <si>
    <t>PHI</t>
  </si>
  <si>
    <t>WAS</t>
  </si>
  <si>
    <t>WAS11</t>
  </si>
  <si>
    <t>Thu</t>
  </si>
  <si>
    <t>MIN</t>
  </si>
  <si>
    <t>AL</t>
  </si>
  <si>
    <t>ANA</t>
  </si>
  <si>
    <t>ANA01</t>
  </si>
  <si>
    <t>CLE</t>
  </si>
  <si>
    <t>CHA</t>
  </si>
  <si>
    <t>CHI12</t>
  </si>
  <si>
    <t>DET</t>
  </si>
  <si>
    <t>KCA</t>
  </si>
  <si>
    <t>D</t>
  </si>
  <si>
    <t>KAN06</t>
  </si>
  <si>
    <t>SEA</t>
  </si>
  <si>
    <t>OAK</t>
  </si>
  <si>
    <t>OAK01</t>
  </si>
  <si>
    <t>BAL</t>
  </si>
  <si>
    <t>TBA</t>
  </si>
  <si>
    <t>STP01</t>
  </si>
  <si>
    <t>TOR</t>
  </si>
  <si>
    <t>TEX</t>
  </si>
  <si>
    <t>ARL02</t>
  </si>
  <si>
    <t>CHN</t>
  </si>
  <si>
    <t>ATL</t>
  </si>
  <si>
    <t>ATL02</t>
  </si>
  <si>
    <t>SLN</t>
  </si>
  <si>
    <t>CIN</t>
  </si>
  <si>
    <t>CIN09</t>
  </si>
  <si>
    <t>Fri</t>
  </si>
  <si>
    <t>BAL12</t>
  </si>
  <si>
    <t>DET05</t>
  </si>
  <si>
    <t>BOS</t>
  </si>
  <si>
    <t>NYA</t>
  </si>
  <si>
    <t>ARI</t>
  </si>
  <si>
    <t>PHO01</t>
  </si>
  <si>
    <t>SDN</t>
  </si>
  <si>
    <t>COL</t>
  </si>
  <si>
    <t>DEN02</t>
  </si>
  <si>
    <t>MIA01</t>
  </si>
  <si>
    <t>HOU</t>
  </si>
  <si>
    <t>HOU03</t>
  </si>
  <si>
    <t>MIL</t>
  </si>
  <si>
    <t>MIL06</t>
  </si>
  <si>
    <t>SFN</t>
  </si>
  <si>
    <t>SFO03</t>
  </si>
  <si>
    <t>Sat</t>
  </si>
  <si>
    <t>Sun</t>
  </si>
  <si>
    <t>Mon</t>
  </si>
  <si>
    <t>CLE08</t>
  </si>
  <si>
    <t>MIN04</t>
  </si>
  <si>
    <t>SEA03</t>
  </si>
  <si>
    <t>TOR02</t>
  </si>
  <si>
    <t>CHI11</t>
  </si>
  <si>
    <t>PHI13</t>
  </si>
  <si>
    <t>SAN02</t>
  </si>
  <si>
    <t>STL10</t>
  </si>
  <si>
    <t>Tue</t>
  </si>
  <si>
    <t>NYC21</t>
  </si>
  <si>
    <t>LOS03</t>
  </si>
  <si>
    <t>BOS07</t>
  </si>
  <si>
    <t>SJU01</t>
  </si>
  <si>
    <t>Date</t>
  </si>
  <si>
    <t>Player</t>
  </si>
  <si>
    <t>Record</t>
  </si>
  <si>
    <t>Number</t>
  </si>
  <si>
    <t>Most Career Hits</t>
  </si>
  <si>
    <t>Pete Rose</t>
  </si>
  <si>
    <t>Most Career HRs</t>
  </si>
  <si>
    <t>Barry Bonds</t>
  </si>
  <si>
    <t>Most Career RBIs</t>
  </si>
  <si>
    <t>Longest Hit Streak</t>
  </si>
  <si>
    <t>Joe Dimaggio</t>
  </si>
  <si>
    <t>Most Wins</t>
  </si>
  <si>
    <t>Most Ks</t>
  </si>
  <si>
    <t>Most Saves</t>
  </si>
  <si>
    <t>Hank Aaron</t>
  </si>
  <si>
    <t>Highest Career Batting AVG</t>
  </si>
  <si>
    <t>Ty Cobb</t>
  </si>
  <si>
    <t>Cy Young</t>
  </si>
  <si>
    <t xml:space="preserve">Nolan Ryan </t>
  </si>
  <si>
    <t xml:space="preserve">Mariano Rivera </t>
  </si>
  <si>
    <t>TEAM</t>
  </si>
  <si>
    <t>WINS</t>
  </si>
  <si>
    <t>LOSSES</t>
  </si>
  <si>
    <t>HOME WINS</t>
  </si>
  <si>
    <t>VISITOR WINS</t>
  </si>
  <si>
    <t>Home Team Win</t>
  </si>
  <si>
    <t>HOME LOSSES</t>
  </si>
  <si>
    <t>VISITOR LOSSES</t>
  </si>
  <si>
    <t>DAY WINS</t>
  </si>
  <si>
    <t>NIGHT WINS</t>
  </si>
  <si>
    <t>DAY LOSSES</t>
  </si>
  <si>
    <t>NIGHT LOSSES</t>
  </si>
  <si>
    <t>W/L %</t>
  </si>
  <si>
    <t>DAY GAMES AT HOME</t>
  </si>
  <si>
    <t>DAY GAMES VISITOR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</si>
</sst>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0" fontId="2" fillId="0" borderId="0" xfId="0" applyFont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9" xfId="1" applyNumberFormat="1" applyFont="1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0" fontId="2" fillId="2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8</xdr:row>
      <xdr:rowOff>0</xdr:rowOff>
    </xdr:from>
    <xdr:to>
      <xdr:col>7</xdr:col>
      <xdr:colOff>304800</xdr:colOff>
      <xdr:row>9</xdr:row>
      <xdr:rowOff>121920</xdr:rowOff>
    </xdr:to>
    <xdr:sp macro="" textlink="">
      <xdr:nvSpPr>
        <xdr:cNvPr id="2" name="AutoShape 3" descr="MLB Power Rankings: All 30 Teams from Worst to Best Going into ...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524000"/>
          <a:ext cx="30480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</xdr:row>
          <xdr:rowOff>0</xdr:rowOff>
        </xdr:from>
        <xdr:to>
          <xdr:col>10</xdr:col>
          <xdr:colOff>514350</xdr:colOff>
          <xdr:row>7</xdr:row>
          <xdr:rowOff>152400</xdr:rowOff>
        </xdr:to>
        <xdr:sp macro="" textlink="">
          <xdr:nvSpPr>
            <xdr:cNvPr id="6145" name="Record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38100</xdr:colOff>
      <xdr:row>3</xdr:row>
      <xdr:rowOff>30480</xdr:rowOff>
    </xdr:from>
    <xdr:to>
      <xdr:col>4</xdr:col>
      <xdr:colOff>297180</xdr:colOff>
      <xdr:row>8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47700" y="601980"/>
          <a:ext cx="2087880" cy="1036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workbook</a:t>
          </a:r>
          <a:r>
            <a:rPr lang="en-US" sz="1100" baseline="0"/>
            <a:t> will take you through the 2010 MLB season and throughout history. Click any button to the right to explore the workbook.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76200</xdr:rowOff>
        </xdr:from>
        <xdr:to>
          <xdr:col>10</xdr:col>
          <xdr:colOff>508000</xdr:colOff>
          <xdr:row>15</xdr:row>
          <xdr:rowOff>38100</xdr:rowOff>
        </xdr:to>
        <xdr:sp macro="" textlink="">
          <xdr:nvSpPr>
            <xdr:cNvPr id="6146" name="gotoquiz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</xdr:row>
          <xdr:rowOff>12700</xdr:rowOff>
        </xdr:from>
        <xdr:to>
          <xdr:col>15</xdr:col>
          <xdr:colOff>603250</xdr:colOff>
          <xdr:row>7</xdr:row>
          <xdr:rowOff>165100</xdr:rowOff>
        </xdr:to>
        <xdr:sp macro="" textlink="">
          <xdr:nvSpPr>
            <xdr:cNvPr id="6147" name="Seaso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8</xdr:row>
          <xdr:rowOff>88900</xdr:rowOff>
        </xdr:from>
        <xdr:to>
          <xdr:col>16</xdr:col>
          <xdr:colOff>12700</xdr:colOff>
          <xdr:row>15</xdr:row>
          <xdr:rowOff>50800</xdr:rowOff>
        </xdr:to>
        <xdr:sp macro="" textlink="">
          <xdr:nvSpPr>
            <xdr:cNvPr id="6148" name="gamestats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</xdr:row>
          <xdr:rowOff>12700</xdr:rowOff>
        </xdr:from>
        <xdr:to>
          <xdr:col>21</xdr:col>
          <xdr:colOff>107950</xdr:colOff>
          <xdr:row>7</xdr:row>
          <xdr:rowOff>165100</xdr:rowOff>
        </xdr:to>
        <xdr:sp macro="" textlink="">
          <xdr:nvSpPr>
            <xdr:cNvPr id="6149" name="Standings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203200</xdr:colOff>
          <xdr:row>8</xdr:row>
          <xdr:rowOff>114300</xdr:rowOff>
        </xdr:from>
        <xdr:to>
          <xdr:col>21</xdr:col>
          <xdr:colOff>95250</xdr:colOff>
          <xdr:row>15</xdr:row>
          <xdr:rowOff>76200</xdr:rowOff>
        </xdr:to>
        <xdr:sp macro="" textlink="">
          <xdr:nvSpPr>
            <xdr:cNvPr id="6150" name="Gamedata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8</xdr:row>
      <xdr:rowOff>0</xdr:rowOff>
    </xdr:from>
    <xdr:to>
      <xdr:col>7</xdr:col>
      <xdr:colOff>304800</xdr:colOff>
      <xdr:row>9</xdr:row>
      <xdr:rowOff>121920</xdr:rowOff>
    </xdr:to>
    <xdr:sp macro="" textlink="">
      <xdr:nvSpPr>
        <xdr:cNvPr id="3" name="AutoShape 3" descr="MLB Power Rankings: All 30 Teams from Worst to Best Going into ...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524000"/>
          <a:ext cx="30480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</xdr:row>
          <xdr:rowOff>0</xdr:rowOff>
        </xdr:from>
        <xdr:to>
          <xdr:col>10</xdr:col>
          <xdr:colOff>514350</xdr:colOff>
          <xdr:row>7</xdr:row>
          <xdr:rowOff>152400</xdr:rowOff>
        </xdr:to>
        <xdr:sp macro="" textlink="">
          <xdr:nvSpPr>
            <xdr:cNvPr id="3074" name="Quiz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38100</xdr:colOff>
      <xdr:row>3</xdr:row>
      <xdr:rowOff>30480</xdr:rowOff>
    </xdr:from>
    <xdr:to>
      <xdr:col>4</xdr:col>
      <xdr:colOff>297180</xdr:colOff>
      <xdr:row>8</xdr:row>
      <xdr:rowOff>114300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47700" y="601980"/>
          <a:ext cx="2087880" cy="1036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MLB Records quiz is a page that will allow</a:t>
          </a:r>
          <a:r>
            <a:rPr lang="en-US" sz="1100" baseline="0"/>
            <a:t> you to test your historical baseball knowledge to see if you know some of Baseball's greatest players.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127000</xdr:colOff>
          <xdr:row>10</xdr:row>
          <xdr:rowOff>12700</xdr:rowOff>
        </xdr:from>
        <xdr:to>
          <xdr:col>3</xdr:col>
          <xdr:colOff>285750</xdr:colOff>
          <xdr:row>13</xdr:row>
          <xdr:rowOff>114300</xdr:rowOff>
        </xdr:to>
        <xdr:sp macro="" textlink="">
          <xdr:nvSpPr>
            <xdr:cNvPr id="3075" name="Hom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8</xdr:row>
          <xdr:rowOff>69850</xdr:rowOff>
        </xdr:from>
        <xdr:to>
          <xdr:col>10</xdr:col>
          <xdr:colOff>495300</xdr:colOff>
          <xdr:row>14</xdr:row>
          <xdr:rowOff>171450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0</xdr:colOff>
      <xdr:row>8</xdr:row>
      <xdr:rowOff>0</xdr:rowOff>
    </xdr:from>
    <xdr:to>
      <xdr:col>7</xdr:col>
      <xdr:colOff>304800</xdr:colOff>
      <xdr:row>9</xdr:row>
      <xdr:rowOff>121920</xdr:rowOff>
    </xdr:to>
    <xdr:sp macro="" textlink="">
      <xdr:nvSpPr>
        <xdr:cNvPr id="2051" name="AutoShape 3" descr="MLB Power Rankings: All 30 Teams from Worst to Best Going into ...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</xdr:row>
          <xdr:rowOff>0</xdr:rowOff>
        </xdr:from>
        <xdr:to>
          <xdr:col>10</xdr:col>
          <xdr:colOff>514350</xdr:colOff>
          <xdr:row>7</xdr:row>
          <xdr:rowOff>107950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146050</xdr:rowOff>
        </xdr:from>
        <xdr:to>
          <xdr:col>10</xdr:col>
          <xdr:colOff>508000</xdr:colOff>
          <xdr:row>22</xdr:row>
          <xdr:rowOff>57150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38100</xdr:colOff>
      <xdr:row>3</xdr:row>
      <xdr:rowOff>30480</xdr:rowOff>
    </xdr:from>
    <xdr:to>
      <xdr:col>4</xdr:col>
      <xdr:colOff>297180</xdr:colOff>
      <xdr:row>10</xdr:row>
      <xdr:rowOff>22860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647700" y="579120"/>
          <a:ext cx="2087880" cy="1272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Season Info page is here to help</a:t>
          </a:r>
          <a:r>
            <a:rPr lang="en-US" sz="1100" baseline="0"/>
            <a:t> you reasearch team records, winning percentages, minutes played per team and more for the 2010 season. Check out each button to search for info on your favorite team!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19050</xdr:rowOff>
        </xdr:from>
        <xdr:to>
          <xdr:col>3</xdr:col>
          <xdr:colOff>374650</xdr:colOff>
          <xdr:row>14</xdr:row>
          <xdr:rowOff>127000</xdr:rowOff>
        </xdr:to>
        <xdr:sp macro="" textlink="">
          <xdr:nvSpPr>
            <xdr:cNvPr id="2054" name="Hom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</xdr:row>
          <xdr:rowOff>0</xdr:rowOff>
        </xdr:from>
        <xdr:to>
          <xdr:col>4</xdr:col>
          <xdr:colOff>12700</xdr:colOff>
          <xdr:row>5</xdr:row>
          <xdr:rowOff>31750</xdr:rowOff>
        </xdr:to>
        <xdr:sp macro="" textlink="">
          <xdr:nvSpPr>
            <xdr:cNvPr id="1025" name="Ind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6</xdr:row>
          <xdr:rowOff>146050</xdr:rowOff>
        </xdr:from>
        <xdr:to>
          <xdr:col>3</xdr:col>
          <xdr:colOff>361950</xdr:colOff>
          <xdr:row>10</xdr:row>
          <xdr:rowOff>57150</xdr:rowOff>
        </xdr:to>
        <xdr:sp macro="" textlink="">
          <xdr:nvSpPr>
            <xdr:cNvPr id="1026" name="Hom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</xdr:row>
          <xdr:rowOff>31750</xdr:rowOff>
        </xdr:from>
        <xdr:to>
          <xdr:col>6</xdr:col>
          <xdr:colOff>241300</xdr:colOff>
          <xdr:row>4</xdr:row>
          <xdr:rowOff>133350</xdr:rowOff>
        </xdr:to>
        <xdr:sp macro="" textlink="">
          <xdr:nvSpPr>
            <xdr:cNvPr id="7169" name="Hom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209550</xdr:colOff>
          <xdr:row>0</xdr:row>
          <xdr:rowOff>165100</xdr:rowOff>
        </xdr:from>
        <xdr:to>
          <xdr:col>20</xdr:col>
          <xdr:colOff>374650</xdr:colOff>
          <xdr:row>4</xdr:row>
          <xdr:rowOff>76200</xdr:rowOff>
        </xdr:to>
        <xdr:sp macro="" textlink="">
          <xdr:nvSpPr>
            <xdr:cNvPr id="8193" name="Home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222250</xdr:colOff>
          <xdr:row>1</xdr:row>
          <xdr:rowOff>50800</xdr:rowOff>
        </xdr:from>
        <xdr:to>
          <xdr:col>16</xdr:col>
          <xdr:colOff>381000</xdr:colOff>
          <xdr:row>4</xdr:row>
          <xdr:rowOff>152400</xdr:rowOff>
        </xdr:to>
        <xdr:sp macro="" textlink="">
          <xdr:nvSpPr>
            <xdr:cNvPr id="9217" name="Hom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2" Type="http://schemas.openxmlformats.org/officeDocument/2006/relationships/drawing" Target="../drawings/drawing1.xml"/><Relationship Id="rId16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4.emf"/><Relationship Id="rId4" Type="http://schemas.openxmlformats.org/officeDocument/2006/relationships/image" Target="../media/image1.png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9.emf"/><Relationship Id="rId5" Type="http://schemas.openxmlformats.org/officeDocument/2006/relationships/control" Target="../activeX/activeX7.xml"/><Relationship Id="rId4" Type="http://schemas.openxmlformats.org/officeDocument/2006/relationships/image" Target="../media/image8.png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10.xml"/><Relationship Id="rId12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12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14.emf"/><Relationship Id="rId4" Type="http://schemas.openxmlformats.org/officeDocument/2006/relationships/image" Target="../media/image11.jpeg"/><Relationship Id="rId9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5" Type="http://schemas.openxmlformats.org/officeDocument/2006/relationships/image" Target="../media/image16.emf"/><Relationship Id="rId4" Type="http://schemas.openxmlformats.org/officeDocument/2006/relationships/control" Target="../activeX/activeX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0.emf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"/>
  <sheetViews>
    <sheetView tabSelected="1" workbookViewId="0">
      <selection activeCell="E12" sqref="E12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6145" r:id="rId5" name="Records">
          <controlPr defaultSize="0" autoLine="0" r:id="rId6">
            <anchor moveWithCells="1">
              <from>
                <xdr:col>6</xdr:col>
                <xdr:colOff>12700</xdr:colOff>
                <xdr:row>1</xdr:row>
                <xdr:rowOff>0</xdr:rowOff>
              </from>
              <to>
                <xdr:col>10</xdr:col>
                <xdr:colOff>520700</xdr:colOff>
                <xdr:row>8</xdr:row>
                <xdr:rowOff>6350</xdr:rowOff>
              </to>
            </anchor>
          </controlPr>
        </control>
      </mc:Choice>
      <mc:Fallback>
        <control shapeId="6145" r:id="rId5" name="Records"/>
      </mc:Fallback>
    </mc:AlternateContent>
    <mc:AlternateContent xmlns:mc="http://schemas.openxmlformats.org/markup-compatibility/2006">
      <mc:Choice Requires="x14">
        <control shapeId="6146" r:id="rId7" name="gotoquiz">
          <controlPr defaultSize="0" autoLine="0" r:id="rId8">
            <anchor moveWithCells="1">
              <from>
                <xdr:col>6</xdr:col>
                <xdr:colOff>0</xdr:colOff>
                <xdr:row>8</xdr:row>
                <xdr:rowOff>76200</xdr:rowOff>
              </from>
              <to>
                <xdr:col>10</xdr:col>
                <xdr:colOff>508000</xdr:colOff>
                <xdr:row>15</xdr:row>
                <xdr:rowOff>82550</xdr:rowOff>
              </to>
            </anchor>
          </controlPr>
        </control>
      </mc:Choice>
      <mc:Fallback>
        <control shapeId="6146" r:id="rId7" name="gotoquiz"/>
      </mc:Fallback>
    </mc:AlternateContent>
    <mc:AlternateContent xmlns:mc="http://schemas.openxmlformats.org/markup-compatibility/2006">
      <mc:Choice Requires="x14">
        <control shapeId="6147" r:id="rId9" name="Season">
          <controlPr defaultSize="0" autoLine="0" r:id="rId10">
            <anchor moveWithCells="1">
              <from>
                <xdr:col>11</xdr:col>
                <xdr:colOff>95250</xdr:colOff>
                <xdr:row>1</xdr:row>
                <xdr:rowOff>12700</xdr:rowOff>
              </from>
              <to>
                <xdr:col>15</xdr:col>
                <xdr:colOff>603250</xdr:colOff>
                <xdr:row>8</xdr:row>
                <xdr:rowOff>19050</xdr:rowOff>
              </to>
            </anchor>
          </controlPr>
        </control>
      </mc:Choice>
      <mc:Fallback>
        <control shapeId="6147" r:id="rId9" name="Season"/>
      </mc:Fallback>
    </mc:AlternateContent>
    <mc:AlternateContent xmlns:mc="http://schemas.openxmlformats.org/markup-compatibility/2006">
      <mc:Choice Requires="x14">
        <control shapeId="6148" r:id="rId11" name="gamestats">
          <controlPr defaultSize="0" autoLine="0" r:id="rId12">
            <anchor moveWithCells="1">
              <from>
                <xdr:col>11</xdr:col>
                <xdr:colOff>114300</xdr:colOff>
                <xdr:row>8</xdr:row>
                <xdr:rowOff>88900</xdr:rowOff>
              </from>
              <to>
                <xdr:col>16</xdr:col>
                <xdr:colOff>12700</xdr:colOff>
                <xdr:row>15</xdr:row>
                <xdr:rowOff>95250</xdr:rowOff>
              </to>
            </anchor>
          </controlPr>
        </control>
      </mc:Choice>
      <mc:Fallback>
        <control shapeId="6148" r:id="rId11" name="gamestats"/>
      </mc:Fallback>
    </mc:AlternateContent>
    <mc:AlternateContent xmlns:mc="http://schemas.openxmlformats.org/markup-compatibility/2006">
      <mc:Choice Requires="x14">
        <control shapeId="6149" r:id="rId13" name="Standings">
          <controlPr defaultSize="0" autoLine="0" r:id="rId14">
            <anchor moveWithCells="1">
              <from>
                <xdr:col>16</xdr:col>
                <xdr:colOff>209550</xdr:colOff>
                <xdr:row>1</xdr:row>
                <xdr:rowOff>12700</xdr:rowOff>
              </from>
              <to>
                <xdr:col>21</xdr:col>
                <xdr:colOff>107950</xdr:colOff>
                <xdr:row>8</xdr:row>
                <xdr:rowOff>19050</xdr:rowOff>
              </to>
            </anchor>
          </controlPr>
        </control>
      </mc:Choice>
      <mc:Fallback>
        <control shapeId="6149" r:id="rId13" name="Standings"/>
      </mc:Fallback>
    </mc:AlternateContent>
    <mc:AlternateContent xmlns:mc="http://schemas.openxmlformats.org/markup-compatibility/2006">
      <mc:Choice Requires="x14">
        <control shapeId="6150" r:id="rId15" name="Gamedata">
          <controlPr defaultSize="0" autoLine="0" r:id="rId16">
            <anchor moveWithCells="1">
              <from>
                <xdr:col>16</xdr:col>
                <xdr:colOff>203200</xdr:colOff>
                <xdr:row>8</xdr:row>
                <xdr:rowOff>114300</xdr:rowOff>
              </from>
              <to>
                <xdr:col>21</xdr:col>
                <xdr:colOff>101600</xdr:colOff>
                <xdr:row>15</xdr:row>
                <xdr:rowOff>120650</xdr:rowOff>
              </to>
            </anchor>
          </controlPr>
        </control>
      </mc:Choice>
      <mc:Fallback>
        <control shapeId="6150" r:id="rId15" name="Game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"/>
  <sheetViews>
    <sheetView workbookViewId="0">
      <selection activeCell="L5" sqref="L5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3074" r:id="rId5" name="Quiz">
          <controlPr defaultSize="0" autoLine="0" autoPict="0" r:id="rId6">
            <anchor moveWithCells="1">
              <from>
                <xdr:col>6</xdr:col>
                <xdr:colOff>12700</xdr:colOff>
                <xdr:row>1</xdr:row>
                <xdr:rowOff>0</xdr:rowOff>
              </from>
              <to>
                <xdr:col>10</xdr:col>
                <xdr:colOff>514350</xdr:colOff>
                <xdr:row>7</xdr:row>
                <xdr:rowOff>152400</xdr:rowOff>
              </to>
            </anchor>
          </controlPr>
        </control>
      </mc:Choice>
      <mc:Fallback>
        <control shapeId="3074" r:id="rId5" name="Quiz"/>
      </mc:Fallback>
    </mc:AlternateContent>
    <mc:AlternateContent xmlns:mc="http://schemas.openxmlformats.org/markup-compatibility/2006">
      <mc:Choice Requires="x14">
        <control shapeId="3075" r:id="rId7" name="Home">
          <controlPr defaultSize="0" autoLine="0" r:id="rId8">
            <anchor moveWithCells="1">
              <from>
                <xdr:col>1</xdr:col>
                <xdr:colOff>127000</xdr:colOff>
                <xdr:row>10</xdr:row>
                <xdr:rowOff>12700</xdr:rowOff>
              </from>
              <to>
                <xdr:col>3</xdr:col>
                <xdr:colOff>285750</xdr:colOff>
                <xdr:row>13</xdr:row>
                <xdr:rowOff>139700</xdr:rowOff>
              </to>
            </anchor>
          </controlPr>
        </control>
      </mc:Choice>
      <mc:Fallback>
        <control shapeId="3075" r:id="rId7" name="Hom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topLeftCell="A10" workbookViewId="0">
      <selection activeCell="B14" sqref="B14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2050" r:id="rId5" name="CommandButton1">
          <controlPr defaultSize="0" autoLine="0" r:id="rId6">
            <anchor moveWithCells="1">
              <from>
                <xdr:col>5</xdr:col>
                <xdr:colOff>603250</xdr:colOff>
                <xdr:row>8</xdr:row>
                <xdr:rowOff>69850</xdr:rowOff>
              </from>
              <to>
                <xdr:col>10</xdr:col>
                <xdr:colOff>495300</xdr:colOff>
                <xdr:row>15</xdr:row>
                <xdr:rowOff>31750</xdr:rowOff>
              </to>
            </anchor>
          </controlPr>
        </control>
      </mc:Choice>
      <mc:Fallback>
        <control shapeId="2050" r:id="rId5" name="CommandButton1"/>
      </mc:Fallback>
    </mc:AlternateContent>
    <mc:AlternateContent xmlns:mc="http://schemas.openxmlformats.org/markup-compatibility/2006">
      <mc:Choice Requires="x14">
        <control shapeId="2052" r:id="rId7" name="CommandButton2">
          <controlPr defaultSize="0" autoLine="0" r:id="rId8">
            <anchor moveWithCells="1">
              <from>
                <xdr:col>6</xdr:col>
                <xdr:colOff>12700</xdr:colOff>
                <xdr:row>1</xdr:row>
                <xdr:rowOff>0</xdr:rowOff>
              </from>
              <to>
                <xdr:col>10</xdr:col>
                <xdr:colOff>514350</xdr:colOff>
                <xdr:row>7</xdr:row>
                <xdr:rowOff>146050</xdr:rowOff>
              </to>
            </anchor>
          </controlPr>
        </control>
      </mc:Choice>
      <mc:Fallback>
        <control shapeId="2052" r:id="rId7" name="CommandButton2"/>
      </mc:Fallback>
    </mc:AlternateContent>
    <mc:AlternateContent xmlns:mc="http://schemas.openxmlformats.org/markup-compatibility/2006">
      <mc:Choice Requires="x14">
        <control shapeId="2053" r:id="rId9" name="CommandButton3">
          <controlPr defaultSize="0" autoLine="0" r:id="rId10">
            <anchor moveWithCells="1">
              <from>
                <xdr:col>6</xdr:col>
                <xdr:colOff>0</xdr:colOff>
                <xdr:row>15</xdr:row>
                <xdr:rowOff>146050</xdr:rowOff>
              </from>
              <to>
                <xdr:col>10</xdr:col>
                <xdr:colOff>501650</xdr:colOff>
                <xdr:row>22</xdr:row>
                <xdr:rowOff>107950</xdr:rowOff>
              </to>
            </anchor>
          </controlPr>
        </control>
      </mc:Choice>
      <mc:Fallback>
        <control shapeId="2053" r:id="rId9" name="CommandButton3"/>
      </mc:Fallback>
    </mc:AlternateContent>
    <mc:AlternateContent xmlns:mc="http://schemas.openxmlformats.org/markup-compatibility/2006">
      <mc:Choice Requires="x14">
        <control shapeId="2054" r:id="rId11" name="Home">
          <controlPr defaultSize="0" autoLine="0" r:id="rId12">
            <anchor moveWithCells="1">
              <from>
                <xdr:col>1</xdr:col>
                <xdr:colOff>209550</xdr:colOff>
                <xdr:row>11</xdr:row>
                <xdr:rowOff>19050</xdr:rowOff>
              </from>
              <to>
                <xdr:col>3</xdr:col>
                <xdr:colOff>368300</xdr:colOff>
                <xdr:row>14</xdr:row>
                <xdr:rowOff>146050</xdr:rowOff>
              </to>
            </anchor>
          </controlPr>
        </control>
      </mc:Choice>
      <mc:Fallback>
        <control shapeId="2054" r:id="rId11" name="Hom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workbookViewId="0">
      <selection activeCell="E8" sqref="E8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ndx">
          <controlPr defaultSize="0" autoLine="0" r:id="rId5">
            <anchor moveWithCells="1">
              <from>
                <xdr:col>0</xdr:col>
                <xdr:colOff>590550</xdr:colOff>
                <xdr:row>2</xdr:row>
                <xdr:rowOff>0</xdr:rowOff>
              </from>
              <to>
                <xdr:col>4</xdr:col>
                <xdr:colOff>12700</xdr:colOff>
                <xdr:row>5</xdr:row>
                <xdr:rowOff>50800</xdr:rowOff>
              </to>
            </anchor>
          </controlPr>
        </control>
      </mc:Choice>
      <mc:Fallback>
        <control shapeId="1025" r:id="rId4" name="Indx"/>
      </mc:Fallback>
    </mc:AlternateContent>
    <mc:AlternateContent xmlns:mc="http://schemas.openxmlformats.org/markup-compatibility/2006">
      <mc:Choice Requires="x14">
        <control shapeId="1026" r:id="rId6" name="Home">
          <controlPr defaultSize="0" autoLine="0" r:id="rId7">
            <anchor moveWithCells="1">
              <from>
                <xdr:col>1</xdr:col>
                <xdr:colOff>203200</xdr:colOff>
                <xdr:row>6</xdr:row>
                <xdr:rowOff>146050</xdr:rowOff>
              </from>
              <to>
                <xdr:col>3</xdr:col>
                <xdr:colOff>361950</xdr:colOff>
                <xdr:row>10</xdr:row>
                <xdr:rowOff>88900</xdr:rowOff>
              </to>
            </anchor>
          </controlPr>
        </control>
      </mc:Choice>
      <mc:Fallback>
        <control shapeId="1026" r:id="rId6" name="Hom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9"/>
  <sheetViews>
    <sheetView workbookViewId="0">
      <selection activeCell="M6" sqref="M6"/>
    </sheetView>
  </sheetViews>
  <sheetFormatPr defaultRowHeight="14.5" x14ac:dyDescent="0.35"/>
  <cols>
    <col min="1" max="1" width="26" bestFit="1" customWidth="1"/>
    <col min="2" max="2" width="14.81640625" bestFit="1" customWidth="1"/>
  </cols>
  <sheetData>
    <row r="1" spans="1:3" x14ac:dyDescent="0.35">
      <c r="A1" s="2" t="s">
        <v>90</v>
      </c>
      <c r="B1" s="2" t="s">
        <v>89</v>
      </c>
      <c r="C1" s="2" t="s">
        <v>91</v>
      </c>
    </row>
    <row r="2" spans="1:3" x14ac:dyDescent="0.35">
      <c r="A2" t="s">
        <v>92</v>
      </c>
      <c r="B2" t="s">
        <v>93</v>
      </c>
      <c r="C2">
        <v>4256</v>
      </c>
    </row>
    <row r="3" spans="1:3" x14ac:dyDescent="0.35">
      <c r="A3" t="s">
        <v>94</v>
      </c>
      <c r="B3" t="s">
        <v>95</v>
      </c>
      <c r="C3">
        <v>762</v>
      </c>
    </row>
    <row r="4" spans="1:3" x14ac:dyDescent="0.35">
      <c r="A4" t="s">
        <v>96</v>
      </c>
      <c r="B4" t="s">
        <v>102</v>
      </c>
      <c r="C4">
        <v>2297</v>
      </c>
    </row>
    <row r="5" spans="1:3" x14ac:dyDescent="0.35">
      <c r="A5" t="s">
        <v>103</v>
      </c>
      <c r="B5" t="s">
        <v>104</v>
      </c>
      <c r="C5">
        <v>0.36599999999999999</v>
      </c>
    </row>
    <row r="6" spans="1:3" x14ac:dyDescent="0.35">
      <c r="A6" t="s">
        <v>97</v>
      </c>
      <c r="B6" t="s">
        <v>98</v>
      </c>
      <c r="C6">
        <v>56</v>
      </c>
    </row>
    <row r="7" spans="1:3" x14ac:dyDescent="0.35">
      <c r="A7" t="s">
        <v>99</v>
      </c>
      <c r="B7" t="s">
        <v>105</v>
      </c>
      <c r="C7">
        <v>511</v>
      </c>
    </row>
    <row r="8" spans="1:3" x14ac:dyDescent="0.35">
      <c r="A8" t="s">
        <v>100</v>
      </c>
      <c r="B8" t="s">
        <v>106</v>
      </c>
      <c r="C8">
        <v>5714</v>
      </c>
    </row>
    <row r="9" spans="1:3" x14ac:dyDescent="0.35">
      <c r="A9" t="s">
        <v>101</v>
      </c>
      <c r="B9" t="s">
        <v>107</v>
      </c>
      <c r="C9">
        <v>652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Home">
          <controlPr defaultSize="0" autoLine="0" r:id="rId5">
            <anchor moveWithCells="1">
              <from>
                <xdr:col>4</xdr:col>
                <xdr:colOff>76200</xdr:colOff>
                <xdr:row>1</xdr:row>
                <xdr:rowOff>31750</xdr:rowOff>
              </from>
              <to>
                <xdr:col>6</xdr:col>
                <xdr:colOff>234950</xdr:colOff>
                <xdr:row>4</xdr:row>
                <xdr:rowOff>158750</xdr:rowOff>
              </to>
            </anchor>
          </controlPr>
        </control>
      </mc:Choice>
      <mc:Fallback>
        <control shapeId="7169" r:id="rId4" name="Hom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R2431"/>
  <sheetViews>
    <sheetView topLeftCell="N1" workbookViewId="0">
      <selection activeCell="Q2" sqref="Q2:Q2431"/>
    </sheetView>
  </sheetViews>
  <sheetFormatPr defaultRowHeight="14.5" x14ac:dyDescent="0.35"/>
  <cols>
    <col min="1" max="1" width="9.7265625" bestFit="1" customWidth="1"/>
    <col min="2" max="2" width="16.453125" bestFit="1" customWidth="1"/>
    <col min="3" max="3" width="5.7265625" bestFit="1" customWidth="1"/>
    <col min="4" max="4" width="12.453125" bestFit="1" customWidth="1"/>
    <col min="5" max="5" width="20" bestFit="1" customWidth="1"/>
    <col min="6" max="6" width="16.1796875" bestFit="1" customWidth="1"/>
    <col min="7" max="7" width="11.54296875" bestFit="1" customWidth="1"/>
    <col min="8" max="8" width="18.54296875" bestFit="1" customWidth="1"/>
    <col min="9" max="9" width="25.1796875" bestFit="1" customWidth="1"/>
    <col min="10" max="10" width="18.1796875" bestFit="1" customWidth="1"/>
    <col min="11" max="11" width="16.81640625" bestFit="1" customWidth="1"/>
    <col min="12" max="12" width="21.81640625" bestFit="1" customWidth="1"/>
    <col min="13" max="13" width="11.81640625" bestFit="1" customWidth="1"/>
    <col min="14" max="14" width="7.1796875" bestFit="1" customWidth="1"/>
    <col min="15" max="15" width="11.26953125" bestFit="1" customWidth="1"/>
    <col min="16" max="16" width="23.7265625" bestFit="1" customWidth="1"/>
    <col min="17" max="17" width="14" bestFit="1" customWidth="1"/>
    <col min="18" max="18" width="15.81640625" bestFit="1" customWidth="1"/>
  </cols>
  <sheetData>
    <row r="1" spans="1:18" x14ac:dyDescent="0.35">
      <c r="A1" s="2" t="s">
        <v>88</v>
      </c>
      <c r="B1" s="2" t="s">
        <v>0</v>
      </c>
      <c r="C1" s="2" t="s">
        <v>1</v>
      </c>
      <c r="D1" s="19" t="s">
        <v>2</v>
      </c>
      <c r="E1" s="2" t="s">
        <v>3</v>
      </c>
      <c r="F1" s="2" t="s">
        <v>4</v>
      </c>
      <c r="G1" s="19" t="s">
        <v>5</v>
      </c>
      <c r="H1" s="19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19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113</v>
      </c>
    </row>
    <row r="2" spans="1:18" x14ac:dyDescent="0.35">
      <c r="A2" s="1">
        <v>40272</v>
      </c>
      <c r="B2">
        <v>0</v>
      </c>
      <c r="C2" t="s">
        <v>73</v>
      </c>
      <c r="D2" t="s">
        <v>59</v>
      </c>
      <c r="E2" t="s">
        <v>30</v>
      </c>
      <c r="F2">
        <v>1</v>
      </c>
      <c r="G2" t="s">
        <v>58</v>
      </c>
      <c r="H2" t="s">
        <v>30</v>
      </c>
      <c r="I2">
        <v>1</v>
      </c>
      <c r="J2">
        <v>7</v>
      </c>
      <c r="K2">
        <v>9</v>
      </c>
      <c r="L2">
        <v>51</v>
      </c>
      <c r="M2" t="s">
        <v>20</v>
      </c>
      <c r="N2" t="s">
        <v>86</v>
      </c>
      <c r="O2">
        <v>37440</v>
      </c>
      <c r="P2">
        <v>226</v>
      </c>
      <c r="Q2" t="str">
        <f>IF(K2&gt;J2,G2,D2)</f>
        <v>BOS</v>
      </c>
      <c r="R2" t="str">
        <f>IF(K2&gt;J2,"Yes","No")</f>
        <v>Yes</v>
      </c>
    </row>
    <row r="3" spans="1:18" x14ac:dyDescent="0.35">
      <c r="A3" s="1">
        <v>40273</v>
      </c>
      <c r="B3">
        <v>0</v>
      </c>
      <c r="C3" t="s">
        <v>74</v>
      </c>
      <c r="D3" t="s">
        <v>29</v>
      </c>
      <c r="E3" t="s">
        <v>30</v>
      </c>
      <c r="F3">
        <v>1</v>
      </c>
      <c r="G3" t="s">
        <v>31</v>
      </c>
      <c r="H3" t="s">
        <v>30</v>
      </c>
      <c r="I3">
        <v>1</v>
      </c>
      <c r="J3">
        <v>3</v>
      </c>
      <c r="K3">
        <v>6</v>
      </c>
      <c r="L3">
        <v>51</v>
      </c>
      <c r="M3" t="s">
        <v>20</v>
      </c>
      <c r="N3" t="s">
        <v>32</v>
      </c>
      <c r="O3">
        <v>43504</v>
      </c>
      <c r="P3">
        <v>180</v>
      </c>
      <c r="Q3" t="str">
        <f t="shared" ref="Q3:Q34" si="0">IF(K3&gt;J3,G3,D3)</f>
        <v>ANA</v>
      </c>
      <c r="R3" t="str">
        <f t="shared" ref="R3:R66" si="1">IF(K3&gt;J3,"Yes","No")</f>
        <v>Yes</v>
      </c>
    </row>
    <row r="4" spans="1:18" x14ac:dyDescent="0.35">
      <c r="A4" s="1">
        <v>40273</v>
      </c>
      <c r="B4">
        <v>0</v>
      </c>
      <c r="C4" t="s">
        <v>74</v>
      </c>
      <c r="D4" t="s">
        <v>33</v>
      </c>
      <c r="E4" t="s">
        <v>30</v>
      </c>
      <c r="F4">
        <v>1</v>
      </c>
      <c r="G4" t="s">
        <v>34</v>
      </c>
      <c r="H4" t="s">
        <v>30</v>
      </c>
      <c r="I4">
        <v>1</v>
      </c>
      <c r="J4">
        <v>0</v>
      </c>
      <c r="K4">
        <v>6</v>
      </c>
      <c r="L4">
        <v>51</v>
      </c>
      <c r="M4" t="s">
        <v>38</v>
      </c>
      <c r="N4" t="s">
        <v>35</v>
      </c>
      <c r="O4">
        <v>38935</v>
      </c>
      <c r="P4">
        <v>144</v>
      </c>
      <c r="Q4" t="str">
        <f t="shared" si="0"/>
        <v>CHA</v>
      </c>
      <c r="R4" t="str">
        <f t="shared" si="1"/>
        <v>Yes</v>
      </c>
    </row>
    <row r="5" spans="1:18" x14ac:dyDescent="0.35">
      <c r="A5" s="1">
        <v>40273</v>
      </c>
      <c r="B5">
        <v>0</v>
      </c>
      <c r="C5" t="s">
        <v>74</v>
      </c>
      <c r="D5" t="s">
        <v>36</v>
      </c>
      <c r="E5" t="s">
        <v>30</v>
      </c>
      <c r="F5">
        <v>1</v>
      </c>
      <c r="G5" t="s">
        <v>37</v>
      </c>
      <c r="H5" t="s">
        <v>30</v>
      </c>
      <c r="I5">
        <v>1</v>
      </c>
      <c r="J5">
        <v>8</v>
      </c>
      <c r="K5">
        <v>4</v>
      </c>
      <c r="L5">
        <v>54</v>
      </c>
      <c r="M5" t="s">
        <v>38</v>
      </c>
      <c r="N5" t="s">
        <v>39</v>
      </c>
      <c r="O5">
        <v>40052</v>
      </c>
      <c r="P5">
        <v>185</v>
      </c>
      <c r="Q5" t="str">
        <f t="shared" si="0"/>
        <v>DET</v>
      </c>
      <c r="R5" t="str">
        <f t="shared" si="1"/>
        <v>No</v>
      </c>
    </row>
    <row r="6" spans="1:18" x14ac:dyDescent="0.35">
      <c r="A6" s="1">
        <v>40273</v>
      </c>
      <c r="B6">
        <v>0</v>
      </c>
      <c r="C6" t="s">
        <v>74</v>
      </c>
      <c r="D6" t="s">
        <v>40</v>
      </c>
      <c r="E6" t="s">
        <v>30</v>
      </c>
      <c r="F6">
        <v>1</v>
      </c>
      <c r="G6" t="s">
        <v>41</v>
      </c>
      <c r="H6" t="s">
        <v>30</v>
      </c>
      <c r="I6">
        <v>1</v>
      </c>
      <c r="J6">
        <v>5</v>
      </c>
      <c r="K6">
        <v>3</v>
      </c>
      <c r="L6">
        <v>54</v>
      </c>
      <c r="M6" t="s">
        <v>20</v>
      </c>
      <c r="N6" t="s">
        <v>42</v>
      </c>
      <c r="O6">
        <v>30686</v>
      </c>
      <c r="P6">
        <v>167</v>
      </c>
      <c r="Q6" t="str">
        <f t="shared" si="0"/>
        <v>SEA</v>
      </c>
      <c r="R6" t="str">
        <f t="shared" si="1"/>
        <v>No</v>
      </c>
    </row>
    <row r="7" spans="1:18" x14ac:dyDescent="0.35">
      <c r="A7" s="1">
        <v>40273</v>
      </c>
      <c r="B7">
        <v>0</v>
      </c>
      <c r="C7" t="s">
        <v>74</v>
      </c>
      <c r="D7" t="s">
        <v>46</v>
      </c>
      <c r="E7" t="s">
        <v>30</v>
      </c>
      <c r="F7">
        <v>1</v>
      </c>
      <c r="G7" t="s">
        <v>47</v>
      </c>
      <c r="H7" t="s">
        <v>30</v>
      </c>
      <c r="I7">
        <v>1</v>
      </c>
      <c r="J7">
        <v>4</v>
      </c>
      <c r="K7">
        <v>5</v>
      </c>
      <c r="L7">
        <v>52</v>
      </c>
      <c r="M7" t="s">
        <v>38</v>
      </c>
      <c r="N7" t="s">
        <v>48</v>
      </c>
      <c r="O7">
        <v>50299</v>
      </c>
      <c r="P7">
        <v>156</v>
      </c>
      <c r="Q7" t="str">
        <f t="shared" si="0"/>
        <v>TEX</v>
      </c>
      <c r="R7" t="str">
        <f t="shared" si="1"/>
        <v>Yes</v>
      </c>
    </row>
    <row r="8" spans="1:18" x14ac:dyDescent="0.35">
      <c r="A8" s="1">
        <v>40273</v>
      </c>
      <c r="B8">
        <v>0</v>
      </c>
      <c r="C8" t="s">
        <v>74</v>
      </c>
      <c r="D8" t="s">
        <v>62</v>
      </c>
      <c r="E8" t="s">
        <v>18</v>
      </c>
      <c r="F8">
        <v>1</v>
      </c>
      <c r="G8" t="s">
        <v>60</v>
      </c>
      <c r="H8" t="s">
        <v>18</v>
      </c>
      <c r="I8">
        <v>1</v>
      </c>
      <c r="J8">
        <v>3</v>
      </c>
      <c r="K8">
        <v>6</v>
      </c>
      <c r="L8">
        <v>51</v>
      </c>
      <c r="M8" t="s">
        <v>38</v>
      </c>
      <c r="N8" t="s">
        <v>61</v>
      </c>
      <c r="O8">
        <v>49192</v>
      </c>
      <c r="P8">
        <v>151</v>
      </c>
      <c r="Q8" t="str">
        <f t="shared" si="0"/>
        <v>ARI</v>
      </c>
      <c r="R8" t="str">
        <f t="shared" si="1"/>
        <v>Yes</v>
      </c>
    </row>
    <row r="9" spans="1:18" x14ac:dyDescent="0.35">
      <c r="A9" s="1">
        <v>40273</v>
      </c>
      <c r="B9">
        <v>0</v>
      </c>
      <c r="C9" t="s">
        <v>74</v>
      </c>
      <c r="D9" t="s">
        <v>49</v>
      </c>
      <c r="E9" t="s">
        <v>18</v>
      </c>
      <c r="F9">
        <v>1</v>
      </c>
      <c r="G9" t="s">
        <v>50</v>
      </c>
      <c r="H9" t="s">
        <v>18</v>
      </c>
      <c r="I9">
        <v>1</v>
      </c>
      <c r="J9">
        <v>5</v>
      </c>
      <c r="K9">
        <v>16</v>
      </c>
      <c r="L9">
        <v>51</v>
      </c>
      <c r="M9" t="s">
        <v>38</v>
      </c>
      <c r="N9" t="s">
        <v>51</v>
      </c>
      <c r="O9">
        <v>53081</v>
      </c>
      <c r="P9">
        <v>165</v>
      </c>
      <c r="Q9" t="str">
        <f t="shared" si="0"/>
        <v>ATL</v>
      </c>
      <c r="R9" t="str">
        <f t="shared" si="1"/>
        <v>Yes</v>
      </c>
    </row>
    <row r="10" spans="1:18" x14ac:dyDescent="0.35">
      <c r="A10" s="1">
        <v>40273</v>
      </c>
      <c r="B10">
        <v>0</v>
      </c>
      <c r="C10" t="s">
        <v>74</v>
      </c>
      <c r="D10" t="s">
        <v>52</v>
      </c>
      <c r="E10" t="s">
        <v>18</v>
      </c>
      <c r="F10">
        <v>1</v>
      </c>
      <c r="G10" t="s">
        <v>53</v>
      </c>
      <c r="H10" t="s">
        <v>18</v>
      </c>
      <c r="I10">
        <v>1</v>
      </c>
      <c r="J10">
        <v>11</v>
      </c>
      <c r="K10">
        <v>6</v>
      </c>
      <c r="L10">
        <v>54</v>
      </c>
      <c r="M10" t="s">
        <v>38</v>
      </c>
      <c r="N10" t="s">
        <v>54</v>
      </c>
      <c r="O10">
        <v>42493</v>
      </c>
      <c r="P10">
        <v>191</v>
      </c>
      <c r="Q10" t="str">
        <f t="shared" si="0"/>
        <v>SLN</v>
      </c>
      <c r="R10" t="str">
        <f t="shared" si="1"/>
        <v>No</v>
      </c>
    </row>
    <row r="11" spans="1:18" x14ac:dyDescent="0.35">
      <c r="A11" s="1">
        <v>40273</v>
      </c>
      <c r="B11">
        <v>0</v>
      </c>
      <c r="C11" t="s">
        <v>74</v>
      </c>
      <c r="D11" t="s">
        <v>70</v>
      </c>
      <c r="E11" t="s">
        <v>18</v>
      </c>
      <c r="F11">
        <v>1</v>
      </c>
      <c r="G11" t="s">
        <v>66</v>
      </c>
      <c r="H11" t="s">
        <v>18</v>
      </c>
      <c r="I11">
        <v>1</v>
      </c>
      <c r="J11">
        <v>5</v>
      </c>
      <c r="K11">
        <v>2</v>
      </c>
      <c r="L11">
        <v>54</v>
      </c>
      <c r="M11" t="s">
        <v>20</v>
      </c>
      <c r="N11" t="s">
        <v>67</v>
      </c>
      <c r="O11">
        <v>43836</v>
      </c>
      <c r="P11">
        <v>154</v>
      </c>
      <c r="Q11" t="str">
        <f t="shared" si="0"/>
        <v>SFN</v>
      </c>
      <c r="R11" t="str">
        <f t="shared" si="1"/>
        <v>No</v>
      </c>
    </row>
    <row r="12" spans="1:18" x14ac:dyDescent="0.35">
      <c r="A12" s="1">
        <v>40273</v>
      </c>
      <c r="B12">
        <v>0</v>
      </c>
      <c r="C12" t="s">
        <v>74</v>
      </c>
      <c r="D12" t="s">
        <v>63</v>
      </c>
      <c r="E12" t="s">
        <v>18</v>
      </c>
      <c r="F12">
        <v>1</v>
      </c>
      <c r="G12" t="s">
        <v>68</v>
      </c>
      <c r="H12" t="s">
        <v>18</v>
      </c>
      <c r="I12">
        <v>1</v>
      </c>
      <c r="J12">
        <v>5</v>
      </c>
      <c r="K12">
        <v>3</v>
      </c>
      <c r="L12">
        <v>54</v>
      </c>
      <c r="M12" t="s">
        <v>38</v>
      </c>
      <c r="N12" t="s">
        <v>69</v>
      </c>
      <c r="O12">
        <v>45808</v>
      </c>
      <c r="P12">
        <v>189</v>
      </c>
      <c r="Q12" t="str">
        <f t="shared" si="0"/>
        <v>COL</v>
      </c>
      <c r="R12" t="str">
        <f t="shared" si="1"/>
        <v>No</v>
      </c>
    </row>
    <row r="13" spans="1:18" x14ac:dyDescent="0.35">
      <c r="A13" s="1">
        <v>40273</v>
      </c>
      <c r="B13">
        <v>0</v>
      </c>
      <c r="C13" t="s">
        <v>74</v>
      </c>
      <c r="D13" t="s">
        <v>17</v>
      </c>
      <c r="E13" t="s">
        <v>18</v>
      </c>
      <c r="F13">
        <v>1</v>
      </c>
      <c r="G13" t="s">
        <v>19</v>
      </c>
      <c r="H13" t="s">
        <v>18</v>
      </c>
      <c r="I13">
        <v>1</v>
      </c>
      <c r="J13">
        <v>1</v>
      </c>
      <c r="K13">
        <v>7</v>
      </c>
      <c r="L13">
        <v>51</v>
      </c>
      <c r="M13" t="s">
        <v>38</v>
      </c>
      <c r="N13" t="s">
        <v>21</v>
      </c>
      <c r="O13">
        <v>41245</v>
      </c>
      <c r="P13">
        <v>190</v>
      </c>
      <c r="Q13" t="str">
        <f t="shared" si="0"/>
        <v>NYN</v>
      </c>
      <c r="R13" t="str">
        <f t="shared" si="1"/>
        <v>Yes</v>
      </c>
    </row>
    <row r="14" spans="1:18" x14ac:dyDescent="0.35">
      <c r="A14" s="1">
        <v>40273</v>
      </c>
      <c r="B14">
        <v>0</v>
      </c>
      <c r="C14" t="s">
        <v>74</v>
      </c>
      <c r="D14" t="s">
        <v>22</v>
      </c>
      <c r="E14" t="s">
        <v>18</v>
      </c>
      <c r="F14">
        <v>1</v>
      </c>
      <c r="G14" t="s">
        <v>23</v>
      </c>
      <c r="H14" t="s">
        <v>18</v>
      </c>
      <c r="I14">
        <v>1</v>
      </c>
      <c r="J14">
        <v>5</v>
      </c>
      <c r="K14">
        <v>11</v>
      </c>
      <c r="L14">
        <v>51</v>
      </c>
      <c r="M14" t="s">
        <v>38</v>
      </c>
      <c r="N14" t="s">
        <v>24</v>
      </c>
      <c r="O14">
        <v>39024</v>
      </c>
      <c r="P14">
        <v>198</v>
      </c>
      <c r="Q14" t="str">
        <f t="shared" si="0"/>
        <v>PIT</v>
      </c>
      <c r="R14" t="str">
        <f t="shared" si="1"/>
        <v>Yes</v>
      </c>
    </row>
    <row r="15" spans="1:18" x14ac:dyDescent="0.35">
      <c r="A15" s="1">
        <v>40273</v>
      </c>
      <c r="B15">
        <v>0</v>
      </c>
      <c r="C15" t="s">
        <v>74</v>
      </c>
      <c r="D15" t="s">
        <v>25</v>
      </c>
      <c r="E15" t="s">
        <v>18</v>
      </c>
      <c r="F15">
        <v>1</v>
      </c>
      <c r="G15" t="s">
        <v>26</v>
      </c>
      <c r="H15" t="s">
        <v>18</v>
      </c>
      <c r="I15">
        <v>1</v>
      </c>
      <c r="J15">
        <v>11</v>
      </c>
      <c r="K15">
        <v>1</v>
      </c>
      <c r="L15">
        <v>54</v>
      </c>
      <c r="M15" t="s">
        <v>38</v>
      </c>
      <c r="N15" t="s">
        <v>27</v>
      </c>
      <c r="O15">
        <v>41290</v>
      </c>
      <c r="P15">
        <v>184</v>
      </c>
      <c r="Q15" t="str">
        <f t="shared" si="0"/>
        <v>PHI</v>
      </c>
      <c r="R15" t="str">
        <f t="shared" si="1"/>
        <v>No</v>
      </c>
    </row>
    <row r="16" spans="1:18" x14ac:dyDescent="0.35">
      <c r="A16" s="1">
        <v>40274</v>
      </c>
      <c r="B16">
        <v>0</v>
      </c>
      <c r="C16" t="s">
        <v>83</v>
      </c>
      <c r="D16" t="s">
        <v>29</v>
      </c>
      <c r="E16" t="s">
        <v>30</v>
      </c>
      <c r="F16">
        <v>2</v>
      </c>
      <c r="G16" t="s">
        <v>31</v>
      </c>
      <c r="H16" t="s">
        <v>30</v>
      </c>
      <c r="I16">
        <v>2</v>
      </c>
      <c r="J16">
        <v>5</v>
      </c>
      <c r="K16">
        <v>3</v>
      </c>
      <c r="L16">
        <v>54</v>
      </c>
      <c r="M16" t="s">
        <v>20</v>
      </c>
      <c r="N16" t="s">
        <v>32</v>
      </c>
      <c r="O16">
        <v>43510</v>
      </c>
      <c r="P16">
        <v>161</v>
      </c>
      <c r="Q16" t="str">
        <f t="shared" si="0"/>
        <v>MIN</v>
      </c>
      <c r="R16" t="str">
        <f t="shared" si="1"/>
        <v>No</v>
      </c>
    </row>
    <row r="17" spans="1:18" x14ac:dyDescent="0.35">
      <c r="A17" s="1">
        <v>40274</v>
      </c>
      <c r="B17">
        <v>0</v>
      </c>
      <c r="C17" t="s">
        <v>83</v>
      </c>
      <c r="D17" t="s">
        <v>59</v>
      </c>
      <c r="E17" t="s">
        <v>30</v>
      </c>
      <c r="F17">
        <v>2</v>
      </c>
      <c r="G17" t="s">
        <v>58</v>
      </c>
      <c r="H17" t="s">
        <v>30</v>
      </c>
      <c r="I17">
        <v>2</v>
      </c>
      <c r="J17">
        <v>6</v>
      </c>
      <c r="K17">
        <v>4</v>
      </c>
      <c r="L17">
        <v>54</v>
      </c>
      <c r="M17" t="s">
        <v>20</v>
      </c>
      <c r="N17" t="s">
        <v>86</v>
      </c>
      <c r="O17">
        <v>38000</v>
      </c>
      <c r="P17">
        <v>228</v>
      </c>
      <c r="Q17" t="str">
        <f t="shared" si="0"/>
        <v>NYA</v>
      </c>
      <c r="R17" t="str">
        <f t="shared" si="1"/>
        <v>No</v>
      </c>
    </row>
    <row r="18" spans="1:18" x14ac:dyDescent="0.35">
      <c r="A18" s="1">
        <v>40274</v>
      </c>
      <c r="B18">
        <v>0</v>
      </c>
      <c r="C18" t="s">
        <v>83</v>
      </c>
      <c r="D18" t="s">
        <v>40</v>
      </c>
      <c r="E18" t="s">
        <v>30</v>
      </c>
      <c r="F18">
        <v>2</v>
      </c>
      <c r="G18" t="s">
        <v>41</v>
      </c>
      <c r="H18" t="s">
        <v>30</v>
      </c>
      <c r="I18">
        <v>2</v>
      </c>
      <c r="J18">
        <v>1</v>
      </c>
      <c r="K18">
        <v>2</v>
      </c>
      <c r="L18">
        <v>59</v>
      </c>
      <c r="M18" t="s">
        <v>20</v>
      </c>
      <c r="N18" t="s">
        <v>42</v>
      </c>
      <c r="O18">
        <v>10090</v>
      </c>
      <c r="P18">
        <v>167</v>
      </c>
      <c r="Q18" t="str">
        <f t="shared" si="0"/>
        <v>OAK</v>
      </c>
      <c r="R18" t="str">
        <f t="shared" si="1"/>
        <v>Yes</v>
      </c>
    </row>
    <row r="19" spans="1:18" x14ac:dyDescent="0.35">
      <c r="A19" s="1">
        <v>40274</v>
      </c>
      <c r="B19">
        <v>0</v>
      </c>
      <c r="C19" t="s">
        <v>83</v>
      </c>
      <c r="D19" t="s">
        <v>43</v>
      </c>
      <c r="E19" t="s">
        <v>30</v>
      </c>
      <c r="F19">
        <v>1</v>
      </c>
      <c r="G19" t="s">
        <v>44</v>
      </c>
      <c r="H19" t="s">
        <v>30</v>
      </c>
      <c r="I19">
        <v>1</v>
      </c>
      <c r="J19">
        <v>3</v>
      </c>
      <c r="K19">
        <v>4</v>
      </c>
      <c r="L19">
        <v>52</v>
      </c>
      <c r="M19" t="s">
        <v>20</v>
      </c>
      <c r="N19" t="s">
        <v>45</v>
      </c>
      <c r="O19">
        <v>36973</v>
      </c>
      <c r="P19">
        <v>182</v>
      </c>
      <c r="Q19" t="str">
        <f t="shared" si="0"/>
        <v>TBA</v>
      </c>
      <c r="R19" t="str">
        <f t="shared" si="1"/>
        <v>Yes</v>
      </c>
    </row>
    <row r="20" spans="1:18" x14ac:dyDescent="0.35">
      <c r="A20" s="1">
        <v>40274</v>
      </c>
      <c r="B20">
        <v>0</v>
      </c>
      <c r="C20" t="s">
        <v>83</v>
      </c>
      <c r="D20" t="s">
        <v>62</v>
      </c>
      <c r="E20" t="s">
        <v>18</v>
      </c>
      <c r="F20">
        <v>2</v>
      </c>
      <c r="G20" t="s">
        <v>60</v>
      </c>
      <c r="H20" t="s">
        <v>18</v>
      </c>
      <c r="I20">
        <v>2</v>
      </c>
      <c r="J20">
        <v>6</v>
      </c>
      <c r="K20">
        <v>3</v>
      </c>
      <c r="L20">
        <v>54</v>
      </c>
      <c r="M20" t="s">
        <v>20</v>
      </c>
      <c r="N20" t="s">
        <v>61</v>
      </c>
      <c r="O20">
        <v>19177</v>
      </c>
      <c r="P20">
        <v>200</v>
      </c>
      <c r="Q20" t="str">
        <f t="shared" si="0"/>
        <v>SDN</v>
      </c>
      <c r="R20" t="str">
        <f t="shared" si="1"/>
        <v>No</v>
      </c>
    </row>
    <row r="21" spans="1:18" x14ac:dyDescent="0.35">
      <c r="A21" s="1">
        <v>40274</v>
      </c>
      <c r="B21">
        <v>0</v>
      </c>
      <c r="C21" t="s">
        <v>83</v>
      </c>
      <c r="D21" t="s">
        <v>70</v>
      </c>
      <c r="E21" t="s">
        <v>18</v>
      </c>
      <c r="F21">
        <v>2</v>
      </c>
      <c r="G21" t="s">
        <v>66</v>
      </c>
      <c r="H21" t="s">
        <v>18</v>
      </c>
      <c r="I21">
        <v>2</v>
      </c>
      <c r="J21">
        <v>3</v>
      </c>
      <c r="K21">
        <v>0</v>
      </c>
      <c r="L21">
        <v>54</v>
      </c>
      <c r="M21" t="s">
        <v>20</v>
      </c>
      <c r="N21" t="s">
        <v>67</v>
      </c>
      <c r="O21">
        <v>24237</v>
      </c>
      <c r="P21">
        <v>158</v>
      </c>
      <c r="Q21" t="str">
        <f t="shared" si="0"/>
        <v>SFN</v>
      </c>
      <c r="R21" t="str">
        <f t="shared" si="1"/>
        <v>No</v>
      </c>
    </row>
    <row r="22" spans="1:18" x14ac:dyDescent="0.35">
      <c r="A22" s="1">
        <v>40274</v>
      </c>
      <c r="B22">
        <v>0</v>
      </c>
      <c r="C22" t="s">
        <v>83</v>
      </c>
      <c r="D22" t="s">
        <v>63</v>
      </c>
      <c r="E22" t="s">
        <v>18</v>
      </c>
      <c r="F22">
        <v>2</v>
      </c>
      <c r="G22" t="s">
        <v>68</v>
      </c>
      <c r="H22" t="s">
        <v>18</v>
      </c>
      <c r="I22">
        <v>2</v>
      </c>
      <c r="J22">
        <v>5</v>
      </c>
      <c r="K22">
        <v>7</v>
      </c>
      <c r="L22">
        <v>51</v>
      </c>
      <c r="M22" t="s">
        <v>20</v>
      </c>
      <c r="N22" t="s">
        <v>69</v>
      </c>
      <c r="O22">
        <v>37344</v>
      </c>
      <c r="P22">
        <v>187</v>
      </c>
      <c r="Q22" t="str">
        <f t="shared" si="0"/>
        <v>MIL</v>
      </c>
      <c r="R22" t="str">
        <f t="shared" si="1"/>
        <v>Yes</v>
      </c>
    </row>
    <row r="23" spans="1:18" x14ac:dyDescent="0.35">
      <c r="A23" s="1">
        <v>40275</v>
      </c>
      <c r="B23">
        <v>0</v>
      </c>
      <c r="C23" t="s">
        <v>16</v>
      </c>
      <c r="D23" t="s">
        <v>29</v>
      </c>
      <c r="E23" t="s">
        <v>30</v>
      </c>
      <c r="F23">
        <v>3</v>
      </c>
      <c r="G23" t="s">
        <v>31</v>
      </c>
      <c r="H23" t="s">
        <v>30</v>
      </c>
      <c r="I23">
        <v>3</v>
      </c>
      <c r="J23">
        <v>4</v>
      </c>
      <c r="K23">
        <v>2</v>
      </c>
      <c r="L23">
        <v>54</v>
      </c>
      <c r="M23" t="s">
        <v>20</v>
      </c>
      <c r="N23" t="s">
        <v>32</v>
      </c>
      <c r="O23">
        <v>41533</v>
      </c>
      <c r="P23">
        <v>158</v>
      </c>
      <c r="Q23" t="str">
        <f t="shared" si="0"/>
        <v>MIN</v>
      </c>
      <c r="R23" t="str">
        <f t="shared" si="1"/>
        <v>No</v>
      </c>
    </row>
    <row r="24" spans="1:18" x14ac:dyDescent="0.35">
      <c r="A24" s="1">
        <v>40275</v>
      </c>
      <c r="B24">
        <v>0</v>
      </c>
      <c r="C24" t="s">
        <v>16</v>
      </c>
      <c r="D24" t="s">
        <v>59</v>
      </c>
      <c r="E24" t="s">
        <v>30</v>
      </c>
      <c r="F24">
        <v>3</v>
      </c>
      <c r="G24" t="s">
        <v>58</v>
      </c>
      <c r="H24" t="s">
        <v>30</v>
      </c>
      <c r="I24">
        <v>3</v>
      </c>
      <c r="J24">
        <v>3</v>
      </c>
      <c r="K24">
        <v>1</v>
      </c>
      <c r="L24">
        <v>60</v>
      </c>
      <c r="M24" t="s">
        <v>20</v>
      </c>
      <c r="N24" t="s">
        <v>86</v>
      </c>
      <c r="O24">
        <v>38238</v>
      </c>
      <c r="P24">
        <v>201</v>
      </c>
      <c r="Q24" t="str">
        <f t="shared" si="0"/>
        <v>NYA</v>
      </c>
      <c r="R24" t="str">
        <f t="shared" si="1"/>
        <v>No</v>
      </c>
    </row>
    <row r="25" spans="1:18" x14ac:dyDescent="0.35">
      <c r="A25" s="1">
        <v>40275</v>
      </c>
      <c r="B25">
        <v>0</v>
      </c>
      <c r="C25" t="s">
        <v>16</v>
      </c>
      <c r="D25" t="s">
        <v>33</v>
      </c>
      <c r="E25" t="s">
        <v>30</v>
      </c>
      <c r="F25">
        <v>2</v>
      </c>
      <c r="G25" t="s">
        <v>34</v>
      </c>
      <c r="H25" t="s">
        <v>30</v>
      </c>
      <c r="I25">
        <v>2</v>
      </c>
      <c r="J25">
        <v>5</v>
      </c>
      <c r="K25">
        <v>3</v>
      </c>
      <c r="L25">
        <v>54</v>
      </c>
      <c r="M25" t="s">
        <v>20</v>
      </c>
      <c r="N25" t="s">
        <v>35</v>
      </c>
      <c r="O25">
        <v>19514</v>
      </c>
      <c r="P25">
        <v>190</v>
      </c>
      <c r="Q25" t="str">
        <f t="shared" si="0"/>
        <v>CLE</v>
      </c>
      <c r="R25" t="str">
        <f t="shared" si="1"/>
        <v>No</v>
      </c>
    </row>
    <row r="26" spans="1:18" x14ac:dyDescent="0.35">
      <c r="A26" s="1">
        <v>40275</v>
      </c>
      <c r="B26">
        <v>0</v>
      </c>
      <c r="C26" t="s">
        <v>16</v>
      </c>
      <c r="D26" t="s">
        <v>36</v>
      </c>
      <c r="E26" t="s">
        <v>30</v>
      </c>
      <c r="F26">
        <v>2</v>
      </c>
      <c r="G26" t="s">
        <v>37</v>
      </c>
      <c r="H26" t="s">
        <v>30</v>
      </c>
      <c r="I26">
        <v>2</v>
      </c>
      <c r="J26">
        <v>2</v>
      </c>
      <c r="K26">
        <v>3</v>
      </c>
      <c r="L26">
        <v>63</v>
      </c>
      <c r="M26" t="s">
        <v>20</v>
      </c>
      <c r="N26" t="s">
        <v>39</v>
      </c>
      <c r="O26">
        <v>10574</v>
      </c>
      <c r="P26">
        <v>213</v>
      </c>
      <c r="Q26" t="str">
        <f t="shared" si="0"/>
        <v>KCA</v>
      </c>
      <c r="R26" t="str">
        <f t="shared" si="1"/>
        <v>Yes</v>
      </c>
    </row>
    <row r="27" spans="1:18" x14ac:dyDescent="0.35">
      <c r="A27" s="1">
        <v>40275</v>
      </c>
      <c r="B27">
        <v>0</v>
      </c>
      <c r="C27" t="s">
        <v>16</v>
      </c>
      <c r="D27" t="s">
        <v>40</v>
      </c>
      <c r="E27" t="s">
        <v>30</v>
      </c>
      <c r="F27">
        <v>3</v>
      </c>
      <c r="G27" t="s">
        <v>41</v>
      </c>
      <c r="H27" t="s">
        <v>30</v>
      </c>
      <c r="I27">
        <v>3</v>
      </c>
      <c r="J27">
        <v>5</v>
      </c>
      <c r="K27">
        <v>6</v>
      </c>
      <c r="L27">
        <v>52</v>
      </c>
      <c r="M27" t="s">
        <v>20</v>
      </c>
      <c r="N27" t="s">
        <v>42</v>
      </c>
      <c r="O27">
        <v>18194</v>
      </c>
      <c r="P27">
        <v>191</v>
      </c>
      <c r="Q27" t="str">
        <f t="shared" si="0"/>
        <v>OAK</v>
      </c>
      <c r="R27" t="str">
        <f t="shared" si="1"/>
        <v>Yes</v>
      </c>
    </row>
    <row r="28" spans="1:18" x14ac:dyDescent="0.35">
      <c r="A28" s="1">
        <v>40275</v>
      </c>
      <c r="B28">
        <v>0</v>
      </c>
      <c r="C28" t="s">
        <v>16</v>
      </c>
      <c r="D28" t="s">
        <v>43</v>
      </c>
      <c r="E28" t="s">
        <v>30</v>
      </c>
      <c r="F28">
        <v>2</v>
      </c>
      <c r="G28" t="s">
        <v>44</v>
      </c>
      <c r="H28" t="s">
        <v>30</v>
      </c>
      <c r="I28">
        <v>2</v>
      </c>
      <c r="J28">
        <v>3</v>
      </c>
      <c r="K28">
        <v>4</v>
      </c>
      <c r="L28">
        <v>51</v>
      </c>
      <c r="M28" t="s">
        <v>20</v>
      </c>
      <c r="N28" t="s">
        <v>45</v>
      </c>
      <c r="O28">
        <v>15220</v>
      </c>
      <c r="P28">
        <v>167</v>
      </c>
      <c r="Q28" t="str">
        <f t="shared" si="0"/>
        <v>TBA</v>
      </c>
      <c r="R28" t="str">
        <f t="shared" si="1"/>
        <v>Yes</v>
      </c>
    </row>
    <row r="29" spans="1:18" x14ac:dyDescent="0.35">
      <c r="A29" s="1">
        <v>40275</v>
      </c>
      <c r="B29">
        <v>0</v>
      </c>
      <c r="C29" t="s">
        <v>16</v>
      </c>
      <c r="D29" t="s">
        <v>46</v>
      </c>
      <c r="E29" t="s">
        <v>30</v>
      </c>
      <c r="F29">
        <v>2</v>
      </c>
      <c r="G29" t="s">
        <v>47</v>
      </c>
      <c r="H29" t="s">
        <v>30</v>
      </c>
      <c r="I29">
        <v>2</v>
      </c>
      <c r="J29">
        <v>7</v>
      </c>
      <c r="K29">
        <v>4</v>
      </c>
      <c r="L29">
        <v>54</v>
      </c>
      <c r="M29" t="s">
        <v>20</v>
      </c>
      <c r="N29" t="s">
        <v>48</v>
      </c>
      <c r="O29">
        <v>22890</v>
      </c>
      <c r="P29">
        <v>176</v>
      </c>
      <c r="Q29" t="str">
        <f t="shared" si="0"/>
        <v>TOR</v>
      </c>
      <c r="R29" t="str">
        <f t="shared" si="1"/>
        <v>No</v>
      </c>
    </row>
    <row r="30" spans="1:18" x14ac:dyDescent="0.35">
      <c r="A30" s="1">
        <v>40275</v>
      </c>
      <c r="B30">
        <v>0</v>
      </c>
      <c r="C30" t="s">
        <v>16</v>
      </c>
      <c r="D30" t="s">
        <v>62</v>
      </c>
      <c r="E30" t="s">
        <v>18</v>
      </c>
      <c r="F30">
        <v>3</v>
      </c>
      <c r="G30" t="s">
        <v>60</v>
      </c>
      <c r="H30" t="s">
        <v>18</v>
      </c>
      <c r="I30">
        <v>3</v>
      </c>
      <c r="J30">
        <v>3</v>
      </c>
      <c r="K30">
        <v>5</v>
      </c>
      <c r="L30">
        <v>51</v>
      </c>
      <c r="M30" t="s">
        <v>20</v>
      </c>
      <c r="N30" t="s">
        <v>61</v>
      </c>
      <c r="O30">
        <v>17673</v>
      </c>
      <c r="P30">
        <v>174</v>
      </c>
      <c r="Q30" t="str">
        <f t="shared" si="0"/>
        <v>ARI</v>
      </c>
      <c r="R30" t="str">
        <f t="shared" si="1"/>
        <v>Yes</v>
      </c>
    </row>
    <row r="31" spans="1:18" x14ac:dyDescent="0.35">
      <c r="A31" s="1">
        <v>40275</v>
      </c>
      <c r="B31">
        <v>0</v>
      </c>
      <c r="C31" t="s">
        <v>16</v>
      </c>
      <c r="D31" t="s">
        <v>49</v>
      </c>
      <c r="E31" t="s">
        <v>18</v>
      </c>
      <c r="F31">
        <v>2</v>
      </c>
      <c r="G31" t="s">
        <v>50</v>
      </c>
      <c r="H31" t="s">
        <v>18</v>
      </c>
      <c r="I31">
        <v>2</v>
      </c>
      <c r="J31">
        <v>2</v>
      </c>
      <c r="K31">
        <v>3</v>
      </c>
      <c r="L31">
        <v>51</v>
      </c>
      <c r="M31" t="s">
        <v>20</v>
      </c>
      <c r="N31" t="s">
        <v>51</v>
      </c>
      <c r="O31">
        <v>36170</v>
      </c>
      <c r="P31">
        <v>161</v>
      </c>
      <c r="Q31" t="str">
        <f t="shared" si="0"/>
        <v>ATL</v>
      </c>
      <c r="R31" t="str">
        <f t="shared" si="1"/>
        <v>Yes</v>
      </c>
    </row>
    <row r="32" spans="1:18" x14ac:dyDescent="0.35">
      <c r="A32" s="1">
        <v>40275</v>
      </c>
      <c r="B32">
        <v>0</v>
      </c>
      <c r="C32" t="s">
        <v>16</v>
      </c>
      <c r="D32" t="s">
        <v>52</v>
      </c>
      <c r="E32" t="s">
        <v>18</v>
      </c>
      <c r="F32">
        <v>2</v>
      </c>
      <c r="G32" t="s">
        <v>53</v>
      </c>
      <c r="H32" t="s">
        <v>18</v>
      </c>
      <c r="I32">
        <v>2</v>
      </c>
      <c r="J32">
        <v>6</v>
      </c>
      <c r="K32">
        <v>3</v>
      </c>
      <c r="L32">
        <v>54</v>
      </c>
      <c r="M32" t="s">
        <v>20</v>
      </c>
      <c r="N32" t="s">
        <v>54</v>
      </c>
      <c r="O32">
        <v>28132</v>
      </c>
      <c r="P32">
        <v>181</v>
      </c>
      <c r="Q32" t="str">
        <f t="shared" si="0"/>
        <v>SLN</v>
      </c>
      <c r="R32" t="str">
        <f t="shared" si="1"/>
        <v>No</v>
      </c>
    </row>
    <row r="33" spans="1:18" x14ac:dyDescent="0.35">
      <c r="A33" s="1">
        <v>40275</v>
      </c>
      <c r="B33">
        <v>0</v>
      </c>
      <c r="C33" t="s">
        <v>16</v>
      </c>
      <c r="D33" t="s">
        <v>70</v>
      </c>
      <c r="E33" t="s">
        <v>18</v>
      </c>
      <c r="F33">
        <v>3</v>
      </c>
      <c r="G33" t="s">
        <v>66</v>
      </c>
      <c r="H33" t="s">
        <v>18</v>
      </c>
      <c r="I33">
        <v>3</v>
      </c>
      <c r="J33">
        <v>10</v>
      </c>
      <c r="K33">
        <v>4</v>
      </c>
      <c r="L33">
        <v>54</v>
      </c>
      <c r="M33" t="s">
        <v>38</v>
      </c>
      <c r="N33" t="s">
        <v>67</v>
      </c>
      <c r="O33">
        <v>21599</v>
      </c>
      <c r="P33">
        <v>181</v>
      </c>
      <c r="Q33" t="str">
        <f t="shared" si="0"/>
        <v>SFN</v>
      </c>
      <c r="R33" t="str">
        <f t="shared" si="1"/>
        <v>No</v>
      </c>
    </row>
    <row r="34" spans="1:18" x14ac:dyDescent="0.35">
      <c r="A34" s="1">
        <v>40275</v>
      </c>
      <c r="B34">
        <v>0</v>
      </c>
      <c r="C34" t="s">
        <v>16</v>
      </c>
      <c r="D34" t="s">
        <v>63</v>
      </c>
      <c r="E34" t="s">
        <v>18</v>
      </c>
      <c r="F34">
        <v>3</v>
      </c>
      <c r="G34" t="s">
        <v>68</v>
      </c>
      <c r="H34" t="s">
        <v>18</v>
      </c>
      <c r="I34">
        <v>3</v>
      </c>
      <c r="J34">
        <v>4</v>
      </c>
      <c r="K34">
        <v>5</v>
      </c>
      <c r="L34">
        <v>51</v>
      </c>
      <c r="M34" t="s">
        <v>38</v>
      </c>
      <c r="N34" t="s">
        <v>69</v>
      </c>
      <c r="O34">
        <v>35793</v>
      </c>
      <c r="P34">
        <v>196</v>
      </c>
      <c r="Q34" t="str">
        <f t="shared" si="0"/>
        <v>MIL</v>
      </c>
      <c r="R34" t="str">
        <f t="shared" si="1"/>
        <v>Yes</v>
      </c>
    </row>
    <row r="35" spans="1:18" x14ac:dyDescent="0.35">
      <c r="A35" s="1">
        <v>40275</v>
      </c>
      <c r="B35">
        <v>0</v>
      </c>
      <c r="C35" t="s">
        <v>16</v>
      </c>
      <c r="D35" t="s">
        <v>17</v>
      </c>
      <c r="E35" t="s">
        <v>18</v>
      </c>
      <c r="F35">
        <v>2</v>
      </c>
      <c r="G35" t="s">
        <v>19</v>
      </c>
      <c r="H35" t="s">
        <v>18</v>
      </c>
      <c r="I35">
        <v>2</v>
      </c>
      <c r="J35">
        <v>7</v>
      </c>
      <c r="K35">
        <v>6</v>
      </c>
      <c r="L35">
        <v>60</v>
      </c>
      <c r="M35" t="s">
        <v>20</v>
      </c>
      <c r="N35" t="s">
        <v>21</v>
      </c>
      <c r="O35">
        <v>38863</v>
      </c>
      <c r="P35">
        <v>252</v>
      </c>
      <c r="Q35" t="s">
        <v>17</v>
      </c>
      <c r="R35" t="str">
        <f t="shared" si="1"/>
        <v>No</v>
      </c>
    </row>
    <row r="36" spans="1:18" x14ac:dyDescent="0.35">
      <c r="A36" s="1">
        <v>40275</v>
      </c>
      <c r="B36">
        <v>0</v>
      </c>
      <c r="C36" t="s">
        <v>16</v>
      </c>
      <c r="D36" t="s">
        <v>22</v>
      </c>
      <c r="E36" t="s">
        <v>18</v>
      </c>
      <c r="F36">
        <v>2</v>
      </c>
      <c r="G36" t="s">
        <v>23</v>
      </c>
      <c r="H36" t="s">
        <v>18</v>
      </c>
      <c r="I36">
        <v>2</v>
      </c>
      <c r="J36">
        <v>3</v>
      </c>
      <c r="K36">
        <v>4</v>
      </c>
      <c r="L36">
        <v>58</v>
      </c>
      <c r="M36" t="s">
        <v>20</v>
      </c>
      <c r="N36" t="s">
        <v>24</v>
      </c>
      <c r="O36">
        <v>31061</v>
      </c>
      <c r="P36">
        <v>240</v>
      </c>
      <c r="Q36" t="s">
        <v>23</v>
      </c>
      <c r="R36" t="str">
        <f t="shared" si="1"/>
        <v>Yes</v>
      </c>
    </row>
    <row r="37" spans="1:18" x14ac:dyDescent="0.35">
      <c r="A37" s="1">
        <v>40275</v>
      </c>
      <c r="B37">
        <v>0</v>
      </c>
      <c r="C37" t="s">
        <v>16</v>
      </c>
      <c r="D37" t="s">
        <v>25</v>
      </c>
      <c r="E37" t="s">
        <v>18</v>
      </c>
      <c r="F37">
        <v>2</v>
      </c>
      <c r="G37" t="s">
        <v>26</v>
      </c>
      <c r="H37" t="s">
        <v>18</v>
      </c>
      <c r="I37">
        <v>2</v>
      </c>
      <c r="J37">
        <v>8</v>
      </c>
      <c r="K37">
        <v>4</v>
      </c>
      <c r="L37">
        <v>54</v>
      </c>
      <c r="M37" t="s">
        <v>20</v>
      </c>
      <c r="N37" t="s">
        <v>27</v>
      </c>
      <c r="O37">
        <v>27240</v>
      </c>
      <c r="P37">
        <v>199</v>
      </c>
      <c r="Q37" t="s">
        <v>25</v>
      </c>
      <c r="R37" t="str">
        <f t="shared" si="1"/>
        <v>No</v>
      </c>
    </row>
    <row r="38" spans="1:18" x14ac:dyDescent="0.35">
      <c r="A38" s="1">
        <v>40276</v>
      </c>
      <c r="B38">
        <v>0</v>
      </c>
      <c r="C38" t="s">
        <v>28</v>
      </c>
      <c r="D38" t="s">
        <v>29</v>
      </c>
      <c r="E38" t="s">
        <v>30</v>
      </c>
      <c r="F38">
        <v>4</v>
      </c>
      <c r="G38" t="s">
        <v>31</v>
      </c>
      <c r="H38" t="s">
        <v>30</v>
      </c>
      <c r="I38">
        <v>4</v>
      </c>
      <c r="J38">
        <v>10</v>
      </c>
      <c r="K38">
        <v>1</v>
      </c>
      <c r="L38">
        <v>54</v>
      </c>
      <c r="M38" t="s">
        <v>20</v>
      </c>
      <c r="N38" t="s">
        <v>32</v>
      </c>
      <c r="O38">
        <v>39709</v>
      </c>
      <c r="P38">
        <v>182</v>
      </c>
      <c r="Q38" t="s">
        <v>29</v>
      </c>
      <c r="R38" t="str">
        <f t="shared" si="1"/>
        <v>No</v>
      </c>
    </row>
    <row r="39" spans="1:18" x14ac:dyDescent="0.35">
      <c r="A39" s="1">
        <v>40276</v>
      </c>
      <c r="B39">
        <v>0</v>
      </c>
      <c r="C39" t="s">
        <v>28</v>
      </c>
      <c r="D39" t="s">
        <v>33</v>
      </c>
      <c r="E39" t="s">
        <v>30</v>
      </c>
      <c r="F39">
        <v>3</v>
      </c>
      <c r="G39" t="s">
        <v>34</v>
      </c>
      <c r="H39" t="s">
        <v>30</v>
      </c>
      <c r="I39">
        <v>3</v>
      </c>
      <c r="J39">
        <v>5</v>
      </c>
      <c r="K39">
        <v>3</v>
      </c>
      <c r="L39">
        <v>66</v>
      </c>
      <c r="M39" t="s">
        <v>20</v>
      </c>
      <c r="N39" t="s">
        <v>35</v>
      </c>
      <c r="O39">
        <v>18637</v>
      </c>
      <c r="P39">
        <v>239</v>
      </c>
      <c r="Q39" t="s">
        <v>33</v>
      </c>
      <c r="R39" t="str">
        <f t="shared" si="1"/>
        <v>No</v>
      </c>
    </row>
    <row r="40" spans="1:18" x14ac:dyDescent="0.35">
      <c r="A40" s="1">
        <v>40276</v>
      </c>
      <c r="B40">
        <v>0</v>
      </c>
      <c r="C40" t="s">
        <v>28</v>
      </c>
      <c r="D40" t="s">
        <v>36</v>
      </c>
      <c r="E40" t="s">
        <v>30</v>
      </c>
      <c r="F40">
        <v>3</v>
      </c>
      <c r="G40" t="s">
        <v>37</v>
      </c>
      <c r="H40" t="s">
        <v>30</v>
      </c>
      <c r="I40">
        <v>3</v>
      </c>
      <c r="J40">
        <v>7</v>
      </c>
      <c r="K40">
        <v>3</v>
      </c>
      <c r="L40">
        <v>54</v>
      </c>
      <c r="M40" t="s">
        <v>38</v>
      </c>
      <c r="N40" t="s">
        <v>39</v>
      </c>
      <c r="O40">
        <v>10909</v>
      </c>
      <c r="P40">
        <v>186</v>
      </c>
      <c r="Q40" t="s">
        <v>36</v>
      </c>
      <c r="R40" t="str">
        <f t="shared" si="1"/>
        <v>No</v>
      </c>
    </row>
    <row r="41" spans="1:18" x14ac:dyDescent="0.35">
      <c r="A41" s="1">
        <v>40276</v>
      </c>
      <c r="B41">
        <v>0</v>
      </c>
      <c r="C41" t="s">
        <v>28</v>
      </c>
      <c r="D41" t="s">
        <v>40</v>
      </c>
      <c r="E41" t="s">
        <v>30</v>
      </c>
      <c r="F41">
        <v>4</v>
      </c>
      <c r="G41" t="s">
        <v>41</v>
      </c>
      <c r="H41" t="s">
        <v>30</v>
      </c>
      <c r="I41">
        <v>4</v>
      </c>
      <c r="J41">
        <v>2</v>
      </c>
      <c r="K41">
        <v>6</v>
      </c>
      <c r="L41">
        <v>51</v>
      </c>
      <c r="M41" t="s">
        <v>38</v>
      </c>
      <c r="N41" t="s">
        <v>42</v>
      </c>
      <c r="O41">
        <v>12464</v>
      </c>
      <c r="P41">
        <v>170</v>
      </c>
      <c r="Q41" t="s">
        <v>41</v>
      </c>
      <c r="R41" t="str">
        <f t="shared" si="1"/>
        <v>Yes</v>
      </c>
    </row>
    <row r="42" spans="1:18" x14ac:dyDescent="0.35">
      <c r="A42" s="1">
        <v>40276</v>
      </c>
      <c r="B42">
        <v>0</v>
      </c>
      <c r="C42" t="s">
        <v>28</v>
      </c>
      <c r="D42" t="s">
        <v>43</v>
      </c>
      <c r="E42" t="s">
        <v>30</v>
      </c>
      <c r="F42">
        <v>3</v>
      </c>
      <c r="G42" t="s">
        <v>44</v>
      </c>
      <c r="H42" t="s">
        <v>30</v>
      </c>
      <c r="I42">
        <v>3</v>
      </c>
      <c r="J42">
        <v>5</v>
      </c>
      <c r="K42">
        <v>4</v>
      </c>
      <c r="L42">
        <v>54</v>
      </c>
      <c r="M42" t="s">
        <v>20</v>
      </c>
      <c r="N42" t="s">
        <v>45</v>
      </c>
      <c r="O42">
        <v>16191</v>
      </c>
      <c r="P42">
        <v>202</v>
      </c>
      <c r="Q42" t="s">
        <v>43</v>
      </c>
      <c r="R42" t="str">
        <f t="shared" si="1"/>
        <v>No</v>
      </c>
    </row>
    <row r="43" spans="1:18" x14ac:dyDescent="0.35">
      <c r="A43" s="1">
        <v>40276</v>
      </c>
      <c r="B43">
        <v>0</v>
      </c>
      <c r="C43" t="s">
        <v>28</v>
      </c>
      <c r="D43" t="s">
        <v>46</v>
      </c>
      <c r="E43" t="s">
        <v>30</v>
      </c>
      <c r="F43">
        <v>3</v>
      </c>
      <c r="G43" t="s">
        <v>47</v>
      </c>
      <c r="H43" t="s">
        <v>30</v>
      </c>
      <c r="I43">
        <v>3</v>
      </c>
      <c r="J43">
        <v>3</v>
      </c>
      <c r="K43">
        <v>1</v>
      </c>
      <c r="L43">
        <v>54</v>
      </c>
      <c r="M43" t="s">
        <v>38</v>
      </c>
      <c r="N43" t="s">
        <v>48</v>
      </c>
      <c r="O43">
        <v>14707</v>
      </c>
      <c r="P43">
        <v>165</v>
      </c>
      <c r="Q43" t="s">
        <v>46</v>
      </c>
      <c r="R43" t="str">
        <f t="shared" si="1"/>
        <v>No</v>
      </c>
    </row>
    <row r="44" spans="1:18" x14ac:dyDescent="0.35">
      <c r="A44" s="1">
        <v>40276</v>
      </c>
      <c r="B44">
        <v>0</v>
      </c>
      <c r="C44" t="s">
        <v>28</v>
      </c>
      <c r="D44" t="s">
        <v>49</v>
      </c>
      <c r="E44" t="s">
        <v>18</v>
      </c>
      <c r="F44">
        <v>3</v>
      </c>
      <c r="G44" t="s">
        <v>50</v>
      </c>
      <c r="H44" t="s">
        <v>18</v>
      </c>
      <c r="I44">
        <v>3</v>
      </c>
      <c r="J44">
        <v>2</v>
      </c>
      <c r="K44">
        <v>0</v>
      </c>
      <c r="L44">
        <v>54</v>
      </c>
      <c r="M44" t="s">
        <v>20</v>
      </c>
      <c r="N44" t="s">
        <v>51</v>
      </c>
      <c r="O44">
        <v>27443</v>
      </c>
      <c r="P44">
        <v>165</v>
      </c>
      <c r="Q44" t="s">
        <v>49</v>
      </c>
      <c r="R44" t="str">
        <f t="shared" si="1"/>
        <v>No</v>
      </c>
    </row>
    <row r="45" spans="1:18" x14ac:dyDescent="0.35">
      <c r="A45" s="1">
        <v>40276</v>
      </c>
      <c r="B45">
        <v>0</v>
      </c>
      <c r="C45" t="s">
        <v>28</v>
      </c>
      <c r="D45" t="s">
        <v>52</v>
      </c>
      <c r="E45" t="s">
        <v>18</v>
      </c>
      <c r="F45">
        <v>3</v>
      </c>
      <c r="G45" t="s">
        <v>53</v>
      </c>
      <c r="H45" t="s">
        <v>18</v>
      </c>
      <c r="I45">
        <v>3</v>
      </c>
      <c r="J45">
        <v>1</v>
      </c>
      <c r="K45">
        <v>2</v>
      </c>
      <c r="L45">
        <v>52</v>
      </c>
      <c r="M45" t="s">
        <v>38</v>
      </c>
      <c r="N45" t="s">
        <v>54</v>
      </c>
      <c r="O45">
        <v>13445</v>
      </c>
      <c r="P45">
        <v>160</v>
      </c>
      <c r="Q45" t="s">
        <v>53</v>
      </c>
      <c r="R45" t="str">
        <f t="shared" si="1"/>
        <v>Yes</v>
      </c>
    </row>
    <row r="46" spans="1:18" x14ac:dyDescent="0.35">
      <c r="A46" s="1">
        <v>40276</v>
      </c>
      <c r="B46">
        <v>0</v>
      </c>
      <c r="C46" t="s">
        <v>28</v>
      </c>
      <c r="D46" t="s">
        <v>17</v>
      </c>
      <c r="E46" t="s">
        <v>18</v>
      </c>
      <c r="F46">
        <v>3</v>
      </c>
      <c r="G46" t="s">
        <v>19</v>
      </c>
      <c r="H46" t="s">
        <v>18</v>
      </c>
      <c r="I46">
        <v>3</v>
      </c>
      <c r="J46">
        <v>3</v>
      </c>
      <c r="K46">
        <v>1</v>
      </c>
      <c r="L46">
        <v>54</v>
      </c>
      <c r="M46" t="s">
        <v>20</v>
      </c>
      <c r="N46" t="s">
        <v>21</v>
      </c>
      <c r="O46">
        <v>25982</v>
      </c>
      <c r="P46">
        <v>168</v>
      </c>
      <c r="Q46" t="s">
        <v>17</v>
      </c>
      <c r="R46" t="str">
        <f t="shared" si="1"/>
        <v>No</v>
      </c>
    </row>
    <row r="47" spans="1:18" x14ac:dyDescent="0.35">
      <c r="A47" s="1">
        <v>40276</v>
      </c>
      <c r="B47">
        <v>0</v>
      </c>
      <c r="C47" t="s">
        <v>28</v>
      </c>
      <c r="D47" t="s">
        <v>22</v>
      </c>
      <c r="E47" t="s">
        <v>18</v>
      </c>
      <c r="F47">
        <v>3</v>
      </c>
      <c r="G47" t="s">
        <v>23</v>
      </c>
      <c r="H47" t="s">
        <v>18</v>
      </c>
      <c r="I47">
        <v>3</v>
      </c>
      <c r="J47">
        <v>10</v>
      </c>
      <c r="K47">
        <v>2</v>
      </c>
      <c r="L47">
        <v>54</v>
      </c>
      <c r="M47" t="s">
        <v>38</v>
      </c>
      <c r="N47" t="s">
        <v>24</v>
      </c>
      <c r="O47">
        <v>9352</v>
      </c>
      <c r="P47">
        <v>189</v>
      </c>
      <c r="Q47" t="s">
        <v>22</v>
      </c>
      <c r="R47" t="str">
        <f t="shared" si="1"/>
        <v>No</v>
      </c>
    </row>
    <row r="48" spans="1:18" x14ac:dyDescent="0.35">
      <c r="A48" s="1">
        <v>40276</v>
      </c>
      <c r="B48">
        <v>0</v>
      </c>
      <c r="C48" t="s">
        <v>28</v>
      </c>
      <c r="D48" t="s">
        <v>25</v>
      </c>
      <c r="E48" t="s">
        <v>18</v>
      </c>
      <c r="F48">
        <v>3</v>
      </c>
      <c r="G48" t="s">
        <v>26</v>
      </c>
      <c r="H48" t="s">
        <v>18</v>
      </c>
      <c r="I48">
        <v>3</v>
      </c>
      <c r="J48">
        <v>5</v>
      </c>
      <c r="K48">
        <v>6</v>
      </c>
      <c r="L48">
        <v>51</v>
      </c>
      <c r="M48" t="s">
        <v>38</v>
      </c>
      <c r="N48" t="s">
        <v>27</v>
      </c>
      <c r="O48">
        <v>20217</v>
      </c>
      <c r="P48">
        <v>166</v>
      </c>
      <c r="Q48" t="s">
        <v>26</v>
      </c>
      <c r="R48" t="str">
        <f t="shared" si="1"/>
        <v>Yes</v>
      </c>
    </row>
    <row r="49" spans="1:18" x14ac:dyDescent="0.35">
      <c r="A49" s="1">
        <v>40277</v>
      </c>
      <c r="B49">
        <v>0</v>
      </c>
      <c r="C49" t="s">
        <v>55</v>
      </c>
      <c r="D49" t="s">
        <v>41</v>
      </c>
      <c r="E49" t="s">
        <v>30</v>
      </c>
      <c r="F49">
        <v>5</v>
      </c>
      <c r="G49" t="s">
        <v>31</v>
      </c>
      <c r="H49" t="s">
        <v>30</v>
      </c>
      <c r="I49">
        <v>5</v>
      </c>
      <c r="J49">
        <v>10</v>
      </c>
      <c r="K49">
        <v>4</v>
      </c>
      <c r="L49">
        <v>54</v>
      </c>
      <c r="M49" t="s">
        <v>20</v>
      </c>
      <c r="N49" t="s">
        <v>32</v>
      </c>
      <c r="O49">
        <v>40034</v>
      </c>
      <c r="P49">
        <v>179</v>
      </c>
      <c r="Q49" t="s">
        <v>41</v>
      </c>
      <c r="R49" t="str">
        <f t="shared" si="1"/>
        <v>No</v>
      </c>
    </row>
    <row r="50" spans="1:18" x14ac:dyDescent="0.35">
      <c r="A50" s="1">
        <v>40277</v>
      </c>
      <c r="B50">
        <v>0</v>
      </c>
      <c r="C50" t="s">
        <v>55</v>
      </c>
      <c r="D50" t="s">
        <v>46</v>
      </c>
      <c r="E50" t="s">
        <v>30</v>
      </c>
      <c r="F50">
        <v>4</v>
      </c>
      <c r="G50" t="s">
        <v>43</v>
      </c>
      <c r="H50" t="s">
        <v>30</v>
      </c>
      <c r="I50">
        <v>4</v>
      </c>
      <c r="J50">
        <v>7</v>
      </c>
      <c r="K50">
        <v>6</v>
      </c>
      <c r="L50">
        <v>54</v>
      </c>
      <c r="M50" t="s">
        <v>38</v>
      </c>
      <c r="N50" t="s">
        <v>56</v>
      </c>
      <c r="O50">
        <v>48891</v>
      </c>
      <c r="P50">
        <v>174</v>
      </c>
      <c r="Q50" t="s">
        <v>46</v>
      </c>
      <c r="R50" t="str">
        <f t="shared" si="1"/>
        <v>No</v>
      </c>
    </row>
    <row r="51" spans="1:18" x14ac:dyDescent="0.35">
      <c r="A51" s="1">
        <v>40277</v>
      </c>
      <c r="B51">
        <v>0</v>
      </c>
      <c r="C51" t="s">
        <v>55</v>
      </c>
      <c r="D51" t="s">
        <v>29</v>
      </c>
      <c r="E51" t="s">
        <v>30</v>
      </c>
      <c r="F51">
        <v>5</v>
      </c>
      <c r="G51" t="s">
        <v>34</v>
      </c>
      <c r="H51" t="s">
        <v>30</v>
      </c>
      <c r="I51">
        <v>4</v>
      </c>
      <c r="J51">
        <v>4</v>
      </c>
      <c r="K51">
        <v>3</v>
      </c>
      <c r="L51">
        <v>66</v>
      </c>
      <c r="M51" t="s">
        <v>20</v>
      </c>
      <c r="N51" t="s">
        <v>35</v>
      </c>
      <c r="O51">
        <v>21416</v>
      </c>
      <c r="P51">
        <v>223</v>
      </c>
      <c r="Q51" t="s">
        <v>29</v>
      </c>
      <c r="R51" t="str">
        <f t="shared" si="1"/>
        <v>No</v>
      </c>
    </row>
    <row r="52" spans="1:18" x14ac:dyDescent="0.35">
      <c r="A52" s="1">
        <v>40277</v>
      </c>
      <c r="B52">
        <v>0</v>
      </c>
      <c r="C52" t="s">
        <v>55</v>
      </c>
      <c r="D52" t="s">
        <v>33</v>
      </c>
      <c r="E52" t="s">
        <v>30</v>
      </c>
      <c r="F52">
        <v>4</v>
      </c>
      <c r="G52" t="s">
        <v>36</v>
      </c>
      <c r="H52" t="s">
        <v>30</v>
      </c>
      <c r="I52">
        <v>4</v>
      </c>
      <c r="J52">
        <v>2</v>
      </c>
      <c r="K52">
        <v>5</v>
      </c>
      <c r="L52">
        <v>51</v>
      </c>
      <c r="M52" t="s">
        <v>38</v>
      </c>
      <c r="N52" t="s">
        <v>57</v>
      </c>
      <c r="O52">
        <v>45010</v>
      </c>
      <c r="P52">
        <v>153</v>
      </c>
      <c r="Q52" t="s">
        <v>36</v>
      </c>
      <c r="R52" t="str">
        <f t="shared" si="1"/>
        <v>Yes</v>
      </c>
    </row>
    <row r="53" spans="1:18" x14ac:dyDescent="0.35">
      <c r="A53" s="1">
        <v>40277</v>
      </c>
      <c r="B53">
        <v>0</v>
      </c>
      <c r="C53" t="s">
        <v>55</v>
      </c>
      <c r="D53" t="s">
        <v>58</v>
      </c>
      <c r="E53" t="s">
        <v>30</v>
      </c>
      <c r="F53">
        <v>4</v>
      </c>
      <c r="G53" t="s">
        <v>37</v>
      </c>
      <c r="H53" t="s">
        <v>30</v>
      </c>
      <c r="I53">
        <v>4</v>
      </c>
      <c r="J53">
        <v>3</v>
      </c>
      <c r="K53">
        <v>4</v>
      </c>
      <c r="L53">
        <v>51</v>
      </c>
      <c r="M53" t="s">
        <v>20</v>
      </c>
      <c r="N53" t="s">
        <v>39</v>
      </c>
      <c r="O53">
        <v>21091</v>
      </c>
      <c r="P53">
        <v>166</v>
      </c>
      <c r="Q53" t="s">
        <v>37</v>
      </c>
      <c r="R53" t="str">
        <f t="shared" si="1"/>
        <v>Yes</v>
      </c>
    </row>
    <row r="54" spans="1:18" x14ac:dyDescent="0.35">
      <c r="A54" s="1">
        <v>40277</v>
      </c>
      <c r="B54">
        <v>0</v>
      </c>
      <c r="C54" t="s">
        <v>55</v>
      </c>
      <c r="D54" t="s">
        <v>59</v>
      </c>
      <c r="E54" t="s">
        <v>30</v>
      </c>
      <c r="F54">
        <v>4</v>
      </c>
      <c r="G54" t="s">
        <v>44</v>
      </c>
      <c r="H54" t="s">
        <v>30</v>
      </c>
      <c r="I54">
        <v>4</v>
      </c>
      <c r="J54">
        <v>3</v>
      </c>
      <c r="K54">
        <v>9</v>
      </c>
      <c r="L54">
        <v>51</v>
      </c>
      <c r="M54" t="s">
        <v>20</v>
      </c>
      <c r="N54" t="s">
        <v>45</v>
      </c>
      <c r="O54">
        <v>33221</v>
      </c>
      <c r="P54">
        <v>171</v>
      </c>
      <c r="Q54" t="s">
        <v>44</v>
      </c>
      <c r="R54" t="str">
        <f t="shared" si="1"/>
        <v>Yes</v>
      </c>
    </row>
    <row r="55" spans="1:18" x14ac:dyDescent="0.35">
      <c r="A55" s="1">
        <v>40277</v>
      </c>
      <c r="B55">
        <v>0</v>
      </c>
      <c r="C55" t="s">
        <v>55</v>
      </c>
      <c r="D55" t="s">
        <v>40</v>
      </c>
      <c r="E55" t="s">
        <v>30</v>
      </c>
      <c r="F55">
        <v>5</v>
      </c>
      <c r="G55" t="s">
        <v>47</v>
      </c>
      <c r="H55" t="s">
        <v>30</v>
      </c>
      <c r="I55">
        <v>4</v>
      </c>
      <c r="J55">
        <v>2</v>
      </c>
      <c r="K55">
        <v>6</v>
      </c>
      <c r="L55">
        <v>51</v>
      </c>
      <c r="M55" t="s">
        <v>20</v>
      </c>
      <c r="N55" t="s">
        <v>48</v>
      </c>
      <c r="O55">
        <v>25271</v>
      </c>
      <c r="P55">
        <v>142</v>
      </c>
      <c r="Q55" t="s">
        <v>47</v>
      </c>
      <c r="R55" t="str">
        <f t="shared" si="1"/>
        <v>Yes</v>
      </c>
    </row>
    <row r="56" spans="1:18" x14ac:dyDescent="0.35">
      <c r="A56" s="1">
        <v>40277</v>
      </c>
      <c r="B56">
        <v>0</v>
      </c>
      <c r="C56" t="s">
        <v>55</v>
      </c>
      <c r="D56" t="s">
        <v>23</v>
      </c>
      <c r="E56" t="s">
        <v>18</v>
      </c>
      <c r="F56">
        <v>4</v>
      </c>
      <c r="G56" t="s">
        <v>60</v>
      </c>
      <c r="H56" t="s">
        <v>18</v>
      </c>
      <c r="I56">
        <v>4</v>
      </c>
      <c r="J56">
        <v>1</v>
      </c>
      <c r="K56">
        <v>9</v>
      </c>
      <c r="L56">
        <v>51</v>
      </c>
      <c r="M56" t="s">
        <v>20</v>
      </c>
      <c r="N56" t="s">
        <v>61</v>
      </c>
      <c r="O56">
        <v>21316</v>
      </c>
      <c r="P56">
        <v>171</v>
      </c>
      <c r="Q56" t="s">
        <v>60</v>
      </c>
      <c r="R56" t="str">
        <f t="shared" si="1"/>
        <v>Yes</v>
      </c>
    </row>
    <row r="57" spans="1:18" x14ac:dyDescent="0.35">
      <c r="A57" s="1">
        <v>40277</v>
      </c>
      <c r="B57">
        <v>0</v>
      </c>
      <c r="C57" t="s">
        <v>55</v>
      </c>
      <c r="D57" t="s">
        <v>49</v>
      </c>
      <c r="E57" t="s">
        <v>18</v>
      </c>
      <c r="F57">
        <v>4</v>
      </c>
      <c r="G57" t="s">
        <v>53</v>
      </c>
      <c r="H57" t="s">
        <v>18</v>
      </c>
      <c r="I57">
        <v>4</v>
      </c>
      <c r="J57">
        <v>4</v>
      </c>
      <c r="K57">
        <v>5</v>
      </c>
      <c r="L57">
        <v>51</v>
      </c>
      <c r="M57" t="s">
        <v>20</v>
      </c>
      <c r="N57" t="s">
        <v>54</v>
      </c>
      <c r="O57">
        <v>24419</v>
      </c>
      <c r="P57">
        <v>159</v>
      </c>
      <c r="Q57" t="s">
        <v>53</v>
      </c>
      <c r="R57" t="str">
        <f t="shared" si="1"/>
        <v>Yes</v>
      </c>
    </row>
    <row r="58" spans="1:18" x14ac:dyDescent="0.35">
      <c r="A58" s="1">
        <v>40277</v>
      </c>
      <c r="B58">
        <v>0</v>
      </c>
      <c r="C58" t="s">
        <v>55</v>
      </c>
      <c r="D58" t="s">
        <v>62</v>
      </c>
      <c r="E58" t="s">
        <v>18</v>
      </c>
      <c r="F58">
        <v>4</v>
      </c>
      <c r="G58" t="s">
        <v>63</v>
      </c>
      <c r="H58" t="s">
        <v>18</v>
      </c>
      <c r="I58">
        <v>4</v>
      </c>
      <c r="J58">
        <v>0</v>
      </c>
      <c r="K58">
        <v>7</v>
      </c>
      <c r="L58">
        <v>51</v>
      </c>
      <c r="M58" t="s">
        <v>38</v>
      </c>
      <c r="N58" t="s">
        <v>64</v>
      </c>
      <c r="O58">
        <v>49509</v>
      </c>
      <c r="P58">
        <v>148</v>
      </c>
      <c r="Q58" t="s">
        <v>63</v>
      </c>
      <c r="R58" t="str">
        <f t="shared" si="1"/>
        <v>Yes</v>
      </c>
    </row>
    <row r="59" spans="1:18" x14ac:dyDescent="0.35">
      <c r="A59" s="1">
        <v>40277</v>
      </c>
      <c r="B59">
        <v>0</v>
      </c>
      <c r="C59" t="s">
        <v>55</v>
      </c>
      <c r="D59" t="s">
        <v>22</v>
      </c>
      <c r="E59" t="s">
        <v>18</v>
      </c>
      <c r="F59">
        <v>4</v>
      </c>
      <c r="G59" t="s">
        <v>17</v>
      </c>
      <c r="H59" t="s">
        <v>18</v>
      </c>
      <c r="I59">
        <v>4</v>
      </c>
      <c r="J59">
        <v>7</v>
      </c>
      <c r="K59">
        <v>3</v>
      </c>
      <c r="L59">
        <v>54</v>
      </c>
      <c r="M59" t="s">
        <v>20</v>
      </c>
      <c r="N59" t="s">
        <v>65</v>
      </c>
      <c r="O59">
        <v>40666</v>
      </c>
      <c r="P59">
        <v>194</v>
      </c>
      <c r="Q59" t="s">
        <v>22</v>
      </c>
      <c r="R59" t="str">
        <f t="shared" si="1"/>
        <v>No</v>
      </c>
    </row>
    <row r="60" spans="1:18" x14ac:dyDescent="0.35">
      <c r="A60" s="1">
        <v>40277</v>
      </c>
      <c r="B60">
        <v>0</v>
      </c>
      <c r="C60" t="s">
        <v>55</v>
      </c>
      <c r="D60" t="s">
        <v>25</v>
      </c>
      <c r="E60" t="s">
        <v>18</v>
      </c>
      <c r="F60">
        <v>4</v>
      </c>
      <c r="G60" t="s">
        <v>66</v>
      </c>
      <c r="H60" t="s">
        <v>18</v>
      </c>
      <c r="I60">
        <v>4</v>
      </c>
      <c r="J60">
        <v>8</v>
      </c>
      <c r="K60">
        <v>0</v>
      </c>
      <c r="L60">
        <v>54</v>
      </c>
      <c r="M60" t="s">
        <v>20</v>
      </c>
      <c r="N60" t="s">
        <v>67</v>
      </c>
      <c r="O60">
        <v>27288</v>
      </c>
      <c r="P60">
        <v>197</v>
      </c>
      <c r="Q60" t="s">
        <v>25</v>
      </c>
      <c r="R60" t="str">
        <f t="shared" si="1"/>
        <v>No</v>
      </c>
    </row>
    <row r="61" spans="1:18" x14ac:dyDescent="0.35">
      <c r="A61" s="1">
        <v>40277</v>
      </c>
      <c r="B61">
        <v>0</v>
      </c>
      <c r="C61" t="s">
        <v>55</v>
      </c>
      <c r="D61" t="s">
        <v>52</v>
      </c>
      <c r="E61" t="s">
        <v>18</v>
      </c>
      <c r="F61">
        <v>4</v>
      </c>
      <c r="G61" t="s">
        <v>68</v>
      </c>
      <c r="H61" t="s">
        <v>18</v>
      </c>
      <c r="I61">
        <v>4</v>
      </c>
      <c r="J61">
        <v>5</v>
      </c>
      <c r="K61">
        <v>4</v>
      </c>
      <c r="L61">
        <v>54</v>
      </c>
      <c r="M61" t="s">
        <v>20</v>
      </c>
      <c r="N61" t="s">
        <v>69</v>
      </c>
      <c r="O61">
        <v>34018</v>
      </c>
      <c r="P61">
        <v>193</v>
      </c>
      <c r="Q61" t="s">
        <v>52</v>
      </c>
      <c r="R61" t="str">
        <f t="shared" si="1"/>
        <v>No</v>
      </c>
    </row>
    <row r="62" spans="1:18" x14ac:dyDescent="0.35">
      <c r="A62" s="1">
        <v>40277</v>
      </c>
      <c r="B62">
        <v>0</v>
      </c>
      <c r="C62" t="s">
        <v>55</v>
      </c>
      <c r="D62" t="s">
        <v>26</v>
      </c>
      <c r="E62" t="s">
        <v>18</v>
      </c>
      <c r="F62">
        <v>4</v>
      </c>
      <c r="G62" t="s">
        <v>19</v>
      </c>
      <c r="H62" t="s">
        <v>18</v>
      </c>
      <c r="I62">
        <v>4</v>
      </c>
      <c r="J62">
        <v>2</v>
      </c>
      <c r="K62">
        <v>8</v>
      </c>
      <c r="L62">
        <v>51</v>
      </c>
      <c r="M62" t="s">
        <v>20</v>
      </c>
      <c r="N62" t="s">
        <v>21</v>
      </c>
      <c r="O62">
        <v>28055</v>
      </c>
      <c r="P62">
        <v>186</v>
      </c>
      <c r="Q62" t="s">
        <v>19</v>
      </c>
      <c r="R62" t="str">
        <f t="shared" si="1"/>
        <v>Yes</v>
      </c>
    </row>
    <row r="63" spans="1:18" x14ac:dyDescent="0.35">
      <c r="A63" s="1">
        <v>40277</v>
      </c>
      <c r="B63">
        <v>0</v>
      </c>
      <c r="C63" t="s">
        <v>55</v>
      </c>
      <c r="D63" t="s">
        <v>50</v>
      </c>
      <c r="E63" t="s">
        <v>18</v>
      </c>
      <c r="F63">
        <v>4</v>
      </c>
      <c r="G63" t="s">
        <v>70</v>
      </c>
      <c r="H63" t="s">
        <v>18</v>
      </c>
      <c r="I63">
        <v>4</v>
      </c>
      <c r="J63">
        <v>4</v>
      </c>
      <c r="K63">
        <v>5</v>
      </c>
      <c r="L63">
        <v>77</v>
      </c>
      <c r="M63" t="s">
        <v>38</v>
      </c>
      <c r="N63" t="s">
        <v>71</v>
      </c>
      <c r="O63">
        <v>42940</v>
      </c>
      <c r="P63">
        <v>241</v>
      </c>
      <c r="Q63" t="s">
        <v>70</v>
      </c>
      <c r="R63" t="str">
        <f t="shared" si="1"/>
        <v>Yes</v>
      </c>
    </row>
    <row r="64" spans="1:18" x14ac:dyDescent="0.35">
      <c r="A64" s="1">
        <v>40278</v>
      </c>
      <c r="B64">
        <v>0</v>
      </c>
      <c r="C64" t="s">
        <v>72</v>
      </c>
      <c r="D64" t="s">
        <v>41</v>
      </c>
      <c r="E64" t="s">
        <v>30</v>
      </c>
      <c r="F64">
        <v>6</v>
      </c>
      <c r="G64" t="s">
        <v>31</v>
      </c>
      <c r="H64" t="s">
        <v>30</v>
      </c>
      <c r="I64">
        <v>6</v>
      </c>
      <c r="J64">
        <v>3</v>
      </c>
      <c r="K64">
        <v>4</v>
      </c>
      <c r="L64">
        <v>52</v>
      </c>
      <c r="M64" t="s">
        <v>20</v>
      </c>
      <c r="N64" t="s">
        <v>32</v>
      </c>
      <c r="O64">
        <v>40249</v>
      </c>
      <c r="P64">
        <v>155</v>
      </c>
      <c r="Q64" t="s">
        <v>31</v>
      </c>
      <c r="R64" t="str">
        <f t="shared" si="1"/>
        <v>Yes</v>
      </c>
    </row>
    <row r="65" spans="1:18" x14ac:dyDescent="0.35">
      <c r="A65" s="1">
        <v>40278</v>
      </c>
      <c r="B65">
        <v>0</v>
      </c>
      <c r="C65" t="s">
        <v>72</v>
      </c>
      <c r="D65" t="s">
        <v>46</v>
      </c>
      <c r="E65" t="s">
        <v>30</v>
      </c>
      <c r="F65">
        <v>5</v>
      </c>
      <c r="G65" t="s">
        <v>43</v>
      </c>
      <c r="H65" t="s">
        <v>30</v>
      </c>
      <c r="I65">
        <v>5</v>
      </c>
      <c r="J65">
        <v>3</v>
      </c>
      <c r="K65">
        <v>0</v>
      </c>
      <c r="L65">
        <v>54</v>
      </c>
      <c r="M65" t="s">
        <v>20</v>
      </c>
      <c r="N65" t="s">
        <v>56</v>
      </c>
      <c r="O65">
        <v>21148</v>
      </c>
      <c r="P65">
        <v>144</v>
      </c>
      <c r="Q65" t="s">
        <v>46</v>
      </c>
      <c r="R65" t="str">
        <f t="shared" si="1"/>
        <v>No</v>
      </c>
    </row>
    <row r="66" spans="1:18" x14ac:dyDescent="0.35">
      <c r="A66" s="1">
        <v>40278</v>
      </c>
      <c r="B66">
        <v>0</v>
      </c>
      <c r="C66" t="s">
        <v>72</v>
      </c>
      <c r="D66" t="s">
        <v>29</v>
      </c>
      <c r="E66" t="s">
        <v>30</v>
      </c>
      <c r="F66">
        <v>6</v>
      </c>
      <c r="G66" t="s">
        <v>34</v>
      </c>
      <c r="H66" t="s">
        <v>30</v>
      </c>
      <c r="I66">
        <v>5</v>
      </c>
      <c r="J66">
        <v>2</v>
      </c>
      <c r="K66">
        <v>1</v>
      </c>
      <c r="L66">
        <v>54</v>
      </c>
      <c r="M66" t="s">
        <v>38</v>
      </c>
      <c r="N66" t="s">
        <v>35</v>
      </c>
      <c r="O66">
        <v>28337</v>
      </c>
      <c r="P66">
        <v>155</v>
      </c>
      <c r="Q66" t="s">
        <v>29</v>
      </c>
      <c r="R66" t="str">
        <f t="shared" si="1"/>
        <v>No</v>
      </c>
    </row>
    <row r="67" spans="1:18" x14ac:dyDescent="0.35">
      <c r="A67" s="1">
        <v>40278</v>
      </c>
      <c r="B67">
        <v>0</v>
      </c>
      <c r="C67" t="s">
        <v>72</v>
      </c>
      <c r="D67" t="s">
        <v>33</v>
      </c>
      <c r="E67" t="s">
        <v>30</v>
      </c>
      <c r="F67">
        <v>5</v>
      </c>
      <c r="G67" t="s">
        <v>36</v>
      </c>
      <c r="H67" t="s">
        <v>30</v>
      </c>
      <c r="I67">
        <v>5</v>
      </c>
      <c r="J67">
        <v>2</v>
      </c>
      <c r="K67">
        <v>4</v>
      </c>
      <c r="L67">
        <v>51</v>
      </c>
      <c r="M67" t="s">
        <v>38</v>
      </c>
      <c r="N67" t="s">
        <v>57</v>
      </c>
      <c r="O67">
        <v>35332</v>
      </c>
      <c r="P67">
        <v>181</v>
      </c>
      <c r="Q67" t="s">
        <v>36</v>
      </c>
      <c r="R67" t="str">
        <f t="shared" ref="R67:R130" si="2">IF(K67&gt;J67,"Yes","No")</f>
        <v>Yes</v>
      </c>
    </row>
    <row r="68" spans="1:18" x14ac:dyDescent="0.35">
      <c r="A68" s="1">
        <v>40278</v>
      </c>
      <c r="B68">
        <v>0</v>
      </c>
      <c r="C68" t="s">
        <v>72</v>
      </c>
      <c r="D68" t="s">
        <v>58</v>
      </c>
      <c r="E68" t="s">
        <v>30</v>
      </c>
      <c r="F68">
        <v>5</v>
      </c>
      <c r="G68" t="s">
        <v>37</v>
      </c>
      <c r="H68" t="s">
        <v>30</v>
      </c>
      <c r="I68">
        <v>5</v>
      </c>
      <c r="J68">
        <v>8</v>
      </c>
      <c r="K68">
        <v>3</v>
      </c>
      <c r="L68">
        <v>54</v>
      </c>
      <c r="M68" t="s">
        <v>20</v>
      </c>
      <c r="N68" t="s">
        <v>39</v>
      </c>
      <c r="O68">
        <v>37505</v>
      </c>
      <c r="P68">
        <v>167</v>
      </c>
      <c r="Q68" t="s">
        <v>58</v>
      </c>
      <c r="R68" t="str">
        <f t="shared" si="2"/>
        <v>No</v>
      </c>
    </row>
    <row r="69" spans="1:18" x14ac:dyDescent="0.35">
      <c r="A69" s="1">
        <v>40278</v>
      </c>
      <c r="B69">
        <v>0</v>
      </c>
      <c r="C69" t="s">
        <v>72</v>
      </c>
      <c r="D69" t="s">
        <v>59</v>
      </c>
      <c r="E69" t="s">
        <v>30</v>
      </c>
      <c r="F69">
        <v>5</v>
      </c>
      <c r="G69" t="s">
        <v>44</v>
      </c>
      <c r="H69" t="s">
        <v>30</v>
      </c>
      <c r="I69">
        <v>5</v>
      </c>
      <c r="J69">
        <v>10</v>
      </c>
      <c r="K69">
        <v>0</v>
      </c>
      <c r="L69">
        <v>54</v>
      </c>
      <c r="M69" t="s">
        <v>38</v>
      </c>
      <c r="N69" t="s">
        <v>45</v>
      </c>
      <c r="O69">
        <v>29892</v>
      </c>
      <c r="P69">
        <v>200</v>
      </c>
      <c r="Q69" t="s">
        <v>59</v>
      </c>
      <c r="R69" t="str">
        <f t="shared" si="2"/>
        <v>No</v>
      </c>
    </row>
    <row r="70" spans="1:18" x14ac:dyDescent="0.35">
      <c r="A70" s="1">
        <v>40278</v>
      </c>
      <c r="B70">
        <v>0</v>
      </c>
      <c r="C70" t="s">
        <v>72</v>
      </c>
      <c r="D70" t="s">
        <v>40</v>
      </c>
      <c r="E70" t="s">
        <v>30</v>
      </c>
      <c r="F70">
        <v>6</v>
      </c>
      <c r="G70" t="s">
        <v>47</v>
      </c>
      <c r="H70" t="s">
        <v>30</v>
      </c>
      <c r="I70">
        <v>5</v>
      </c>
      <c r="J70">
        <v>4</v>
      </c>
      <c r="K70">
        <v>3</v>
      </c>
      <c r="L70">
        <v>54</v>
      </c>
      <c r="M70" t="s">
        <v>38</v>
      </c>
      <c r="N70" t="s">
        <v>48</v>
      </c>
      <c r="O70">
        <v>26861</v>
      </c>
      <c r="P70">
        <v>173</v>
      </c>
      <c r="Q70" t="s">
        <v>40</v>
      </c>
      <c r="R70" t="str">
        <f t="shared" si="2"/>
        <v>No</v>
      </c>
    </row>
    <row r="71" spans="1:18" x14ac:dyDescent="0.35">
      <c r="A71" s="1">
        <v>40278</v>
      </c>
      <c r="B71">
        <v>0</v>
      </c>
      <c r="C71" t="s">
        <v>72</v>
      </c>
      <c r="D71" t="s">
        <v>23</v>
      </c>
      <c r="E71" t="s">
        <v>18</v>
      </c>
      <c r="F71">
        <v>5</v>
      </c>
      <c r="G71" t="s">
        <v>60</v>
      </c>
      <c r="H71" t="s">
        <v>18</v>
      </c>
      <c r="I71">
        <v>5</v>
      </c>
      <c r="J71">
        <v>6</v>
      </c>
      <c r="K71">
        <v>3</v>
      </c>
      <c r="L71">
        <v>54</v>
      </c>
      <c r="M71" t="s">
        <v>20</v>
      </c>
      <c r="N71" t="s">
        <v>61</v>
      </c>
      <c r="O71">
        <v>22400</v>
      </c>
      <c r="P71">
        <v>165</v>
      </c>
      <c r="Q71" t="s">
        <v>23</v>
      </c>
      <c r="R71" t="str">
        <f t="shared" si="2"/>
        <v>No</v>
      </c>
    </row>
    <row r="72" spans="1:18" x14ac:dyDescent="0.35">
      <c r="A72" s="1">
        <v>40278</v>
      </c>
      <c r="B72">
        <v>0</v>
      </c>
      <c r="C72" t="s">
        <v>72</v>
      </c>
      <c r="D72" t="s">
        <v>49</v>
      </c>
      <c r="E72" t="s">
        <v>18</v>
      </c>
      <c r="F72">
        <v>5</v>
      </c>
      <c r="G72" t="s">
        <v>53</v>
      </c>
      <c r="H72" t="s">
        <v>18</v>
      </c>
      <c r="I72">
        <v>5</v>
      </c>
      <c r="J72">
        <v>4</v>
      </c>
      <c r="K72">
        <v>3</v>
      </c>
      <c r="L72">
        <v>54</v>
      </c>
      <c r="M72" t="s">
        <v>38</v>
      </c>
      <c r="N72" t="s">
        <v>54</v>
      </c>
      <c r="O72">
        <v>27235</v>
      </c>
      <c r="P72">
        <v>152</v>
      </c>
      <c r="Q72" t="s">
        <v>49</v>
      </c>
      <c r="R72" t="str">
        <f t="shared" si="2"/>
        <v>No</v>
      </c>
    </row>
    <row r="73" spans="1:18" x14ac:dyDescent="0.35">
      <c r="A73" s="1">
        <v>40278</v>
      </c>
      <c r="B73">
        <v>0</v>
      </c>
      <c r="C73" t="s">
        <v>72</v>
      </c>
      <c r="D73" t="s">
        <v>62</v>
      </c>
      <c r="E73" t="s">
        <v>18</v>
      </c>
      <c r="F73">
        <v>5</v>
      </c>
      <c r="G73" t="s">
        <v>63</v>
      </c>
      <c r="H73" t="s">
        <v>18</v>
      </c>
      <c r="I73">
        <v>5</v>
      </c>
      <c r="J73">
        <v>5</v>
      </c>
      <c r="K73">
        <v>4</v>
      </c>
      <c r="L73">
        <v>84</v>
      </c>
      <c r="M73" t="s">
        <v>20</v>
      </c>
      <c r="N73" t="s">
        <v>64</v>
      </c>
      <c r="O73">
        <v>36090</v>
      </c>
      <c r="P73">
        <v>267</v>
      </c>
      <c r="Q73" t="s">
        <v>62</v>
      </c>
      <c r="R73" t="str">
        <f t="shared" si="2"/>
        <v>No</v>
      </c>
    </row>
    <row r="74" spans="1:18" x14ac:dyDescent="0.35">
      <c r="A74" s="1">
        <v>40278</v>
      </c>
      <c r="B74">
        <v>0</v>
      </c>
      <c r="C74" t="s">
        <v>72</v>
      </c>
      <c r="D74" t="s">
        <v>22</v>
      </c>
      <c r="E74" t="s">
        <v>18</v>
      </c>
      <c r="F74">
        <v>5</v>
      </c>
      <c r="G74" t="s">
        <v>17</v>
      </c>
      <c r="H74" t="s">
        <v>18</v>
      </c>
      <c r="I74">
        <v>5</v>
      </c>
      <c r="J74">
        <v>6</v>
      </c>
      <c r="K74">
        <v>7</v>
      </c>
      <c r="L74">
        <v>52</v>
      </c>
      <c r="M74" t="s">
        <v>20</v>
      </c>
      <c r="N74" t="s">
        <v>65</v>
      </c>
      <c r="O74">
        <v>25308</v>
      </c>
      <c r="P74">
        <v>209</v>
      </c>
      <c r="Q74" t="s">
        <v>17</v>
      </c>
      <c r="R74" t="str">
        <f t="shared" si="2"/>
        <v>Yes</v>
      </c>
    </row>
    <row r="75" spans="1:18" x14ac:dyDescent="0.35">
      <c r="A75" s="1">
        <v>40278</v>
      </c>
      <c r="B75">
        <v>0</v>
      </c>
      <c r="C75" t="s">
        <v>72</v>
      </c>
      <c r="D75" t="s">
        <v>25</v>
      </c>
      <c r="E75" t="s">
        <v>18</v>
      </c>
      <c r="F75">
        <v>5</v>
      </c>
      <c r="G75" t="s">
        <v>66</v>
      </c>
      <c r="H75" t="s">
        <v>18</v>
      </c>
      <c r="I75">
        <v>5</v>
      </c>
      <c r="J75">
        <v>9</v>
      </c>
      <c r="K75">
        <v>6</v>
      </c>
      <c r="L75">
        <v>54</v>
      </c>
      <c r="M75" t="s">
        <v>20</v>
      </c>
      <c r="N75" t="s">
        <v>67</v>
      </c>
      <c r="O75">
        <v>35138</v>
      </c>
      <c r="P75">
        <v>184</v>
      </c>
      <c r="Q75" t="s">
        <v>25</v>
      </c>
      <c r="R75" t="str">
        <f t="shared" si="2"/>
        <v>No</v>
      </c>
    </row>
    <row r="76" spans="1:18" x14ac:dyDescent="0.35">
      <c r="A76" s="1">
        <v>40278</v>
      </c>
      <c r="B76">
        <v>0</v>
      </c>
      <c r="C76" t="s">
        <v>72</v>
      </c>
      <c r="D76" t="s">
        <v>52</v>
      </c>
      <c r="E76" t="s">
        <v>18</v>
      </c>
      <c r="F76">
        <v>5</v>
      </c>
      <c r="G76" t="s">
        <v>68</v>
      </c>
      <c r="H76" t="s">
        <v>18</v>
      </c>
      <c r="I76">
        <v>5</v>
      </c>
      <c r="J76">
        <v>7</v>
      </c>
      <c r="K76">
        <v>1</v>
      </c>
      <c r="L76">
        <v>54</v>
      </c>
      <c r="M76" t="s">
        <v>38</v>
      </c>
      <c r="N76" t="s">
        <v>69</v>
      </c>
      <c r="O76">
        <v>42039</v>
      </c>
      <c r="P76">
        <v>161</v>
      </c>
      <c r="Q76" t="s">
        <v>52</v>
      </c>
      <c r="R76" t="str">
        <f t="shared" si="2"/>
        <v>No</v>
      </c>
    </row>
    <row r="77" spans="1:18" x14ac:dyDescent="0.35">
      <c r="A77" s="1">
        <v>40278</v>
      </c>
      <c r="B77">
        <v>0</v>
      </c>
      <c r="C77" t="s">
        <v>72</v>
      </c>
      <c r="D77" t="s">
        <v>26</v>
      </c>
      <c r="E77" t="s">
        <v>18</v>
      </c>
      <c r="F77">
        <v>5</v>
      </c>
      <c r="G77" t="s">
        <v>19</v>
      </c>
      <c r="H77" t="s">
        <v>18</v>
      </c>
      <c r="I77">
        <v>5</v>
      </c>
      <c r="J77">
        <v>4</v>
      </c>
      <c r="K77">
        <v>3</v>
      </c>
      <c r="L77">
        <v>54</v>
      </c>
      <c r="M77" t="s">
        <v>38</v>
      </c>
      <c r="N77" t="s">
        <v>21</v>
      </c>
      <c r="O77">
        <v>33044</v>
      </c>
      <c r="P77">
        <v>193</v>
      </c>
      <c r="Q77" t="s">
        <v>26</v>
      </c>
      <c r="R77" t="str">
        <f t="shared" si="2"/>
        <v>No</v>
      </c>
    </row>
    <row r="78" spans="1:18" x14ac:dyDescent="0.35">
      <c r="A78" s="1">
        <v>40278</v>
      </c>
      <c r="B78">
        <v>0</v>
      </c>
      <c r="C78" t="s">
        <v>72</v>
      </c>
      <c r="D78" t="s">
        <v>50</v>
      </c>
      <c r="E78" t="s">
        <v>18</v>
      </c>
      <c r="F78">
        <v>5</v>
      </c>
      <c r="G78" t="s">
        <v>70</v>
      </c>
      <c r="H78" t="s">
        <v>18</v>
      </c>
      <c r="I78">
        <v>5</v>
      </c>
      <c r="J78">
        <v>7</v>
      </c>
      <c r="K78">
        <v>2</v>
      </c>
      <c r="L78">
        <v>54</v>
      </c>
      <c r="M78" t="s">
        <v>20</v>
      </c>
      <c r="N78" t="s">
        <v>71</v>
      </c>
      <c r="O78">
        <v>42985</v>
      </c>
      <c r="P78">
        <v>186</v>
      </c>
      <c r="Q78" t="s">
        <v>50</v>
      </c>
      <c r="R78" t="str">
        <f t="shared" si="2"/>
        <v>No</v>
      </c>
    </row>
    <row r="79" spans="1:18" x14ac:dyDescent="0.35">
      <c r="A79" s="1">
        <v>40279</v>
      </c>
      <c r="B79">
        <v>0</v>
      </c>
      <c r="C79" t="s">
        <v>73</v>
      </c>
      <c r="D79" t="s">
        <v>41</v>
      </c>
      <c r="E79" t="s">
        <v>30</v>
      </c>
      <c r="F79">
        <v>7</v>
      </c>
      <c r="G79" t="s">
        <v>31</v>
      </c>
      <c r="H79" t="s">
        <v>30</v>
      </c>
      <c r="I79">
        <v>7</v>
      </c>
      <c r="J79">
        <v>9</v>
      </c>
      <c r="K79">
        <v>4</v>
      </c>
      <c r="L79">
        <v>54</v>
      </c>
      <c r="M79" t="s">
        <v>38</v>
      </c>
      <c r="N79" t="s">
        <v>32</v>
      </c>
      <c r="O79">
        <v>40601</v>
      </c>
      <c r="P79">
        <v>168</v>
      </c>
      <c r="Q79" t="s">
        <v>41</v>
      </c>
      <c r="R79" t="str">
        <f t="shared" si="2"/>
        <v>No</v>
      </c>
    </row>
    <row r="80" spans="1:18" x14ac:dyDescent="0.35">
      <c r="A80" s="1">
        <v>40279</v>
      </c>
      <c r="B80">
        <v>0</v>
      </c>
      <c r="C80" t="s">
        <v>73</v>
      </c>
      <c r="D80" t="s">
        <v>46</v>
      </c>
      <c r="E80" t="s">
        <v>30</v>
      </c>
      <c r="F80">
        <v>6</v>
      </c>
      <c r="G80" t="s">
        <v>43</v>
      </c>
      <c r="H80" t="s">
        <v>30</v>
      </c>
      <c r="I80">
        <v>6</v>
      </c>
      <c r="J80">
        <v>5</v>
      </c>
      <c r="K80">
        <v>2</v>
      </c>
      <c r="L80">
        <v>54</v>
      </c>
      <c r="M80" t="s">
        <v>38</v>
      </c>
      <c r="N80" t="s">
        <v>56</v>
      </c>
      <c r="O80">
        <v>22499</v>
      </c>
      <c r="P80">
        <v>142</v>
      </c>
      <c r="Q80" t="s">
        <v>46</v>
      </c>
      <c r="R80" t="str">
        <f t="shared" si="2"/>
        <v>No</v>
      </c>
    </row>
    <row r="81" spans="1:18" x14ac:dyDescent="0.35">
      <c r="A81" s="1">
        <v>40279</v>
      </c>
      <c r="B81">
        <v>0</v>
      </c>
      <c r="C81" t="s">
        <v>73</v>
      </c>
      <c r="D81" t="s">
        <v>29</v>
      </c>
      <c r="E81" t="s">
        <v>30</v>
      </c>
      <c r="F81">
        <v>7</v>
      </c>
      <c r="G81" t="s">
        <v>34</v>
      </c>
      <c r="H81" t="s">
        <v>30</v>
      </c>
      <c r="I81">
        <v>6</v>
      </c>
      <c r="J81">
        <v>4</v>
      </c>
      <c r="K81">
        <v>5</v>
      </c>
      <c r="L81">
        <v>51</v>
      </c>
      <c r="M81" t="s">
        <v>38</v>
      </c>
      <c r="N81" t="s">
        <v>35</v>
      </c>
      <c r="O81">
        <v>25550</v>
      </c>
      <c r="P81">
        <v>134</v>
      </c>
      <c r="Q81" t="s">
        <v>34</v>
      </c>
      <c r="R81" t="str">
        <f t="shared" si="2"/>
        <v>Yes</v>
      </c>
    </row>
    <row r="82" spans="1:18" x14ac:dyDescent="0.35">
      <c r="A82" s="1">
        <v>40279</v>
      </c>
      <c r="B82">
        <v>0</v>
      </c>
      <c r="C82" t="s">
        <v>73</v>
      </c>
      <c r="D82" t="s">
        <v>33</v>
      </c>
      <c r="E82" t="s">
        <v>30</v>
      </c>
      <c r="F82">
        <v>6</v>
      </c>
      <c r="G82" t="s">
        <v>36</v>
      </c>
      <c r="H82" t="s">
        <v>30</v>
      </c>
      <c r="I82">
        <v>6</v>
      </c>
      <c r="J82">
        <v>8</v>
      </c>
      <c r="K82">
        <v>9</v>
      </c>
      <c r="L82">
        <v>53</v>
      </c>
      <c r="M82" t="s">
        <v>38</v>
      </c>
      <c r="N82" t="s">
        <v>57</v>
      </c>
      <c r="O82">
        <v>26081</v>
      </c>
      <c r="P82">
        <v>208</v>
      </c>
      <c r="Q82" t="s">
        <v>36</v>
      </c>
      <c r="R82" t="str">
        <f t="shared" si="2"/>
        <v>Yes</v>
      </c>
    </row>
    <row r="83" spans="1:18" x14ac:dyDescent="0.35">
      <c r="A83" s="1">
        <v>40279</v>
      </c>
      <c r="B83">
        <v>0</v>
      </c>
      <c r="C83" t="s">
        <v>73</v>
      </c>
      <c r="D83" t="s">
        <v>58</v>
      </c>
      <c r="E83" t="s">
        <v>30</v>
      </c>
      <c r="F83">
        <v>6</v>
      </c>
      <c r="G83" t="s">
        <v>37</v>
      </c>
      <c r="H83" t="s">
        <v>30</v>
      </c>
      <c r="I83">
        <v>6</v>
      </c>
      <c r="J83">
        <v>8</v>
      </c>
      <c r="K83">
        <v>6</v>
      </c>
      <c r="L83">
        <v>54</v>
      </c>
      <c r="M83" t="s">
        <v>38</v>
      </c>
      <c r="N83" t="s">
        <v>39</v>
      </c>
      <c r="O83">
        <v>19240</v>
      </c>
      <c r="P83">
        <v>208</v>
      </c>
      <c r="Q83" t="s">
        <v>58</v>
      </c>
      <c r="R83" t="str">
        <f t="shared" si="2"/>
        <v>No</v>
      </c>
    </row>
    <row r="84" spans="1:18" x14ac:dyDescent="0.35">
      <c r="A84" s="1">
        <v>40279</v>
      </c>
      <c r="B84">
        <v>0</v>
      </c>
      <c r="C84" t="s">
        <v>73</v>
      </c>
      <c r="D84" t="s">
        <v>59</v>
      </c>
      <c r="E84" t="s">
        <v>30</v>
      </c>
      <c r="F84">
        <v>6</v>
      </c>
      <c r="G84" t="s">
        <v>44</v>
      </c>
      <c r="H84" t="s">
        <v>30</v>
      </c>
      <c r="I84">
        <v>6</v>
      </c>
      <c r="J84">
        <v>7</v>
      </c>
      <c r="K84">
        <v>3</v>
      </c>
      <c r="L84">
        <v>54</v>
      </c>
      <c r="M84" t="s">
        <v>38</v>
      </c>
      <c r="N84" t="s">
        <v>45</v>
      </c>
      <c r="O84">
        <v>31253</v>
      </c>
      <c r="P84">
        <v>193</v>
      </c>
      <c r="Q84" t="s">
        <v>59</v>
      </c>
      <c r="R84" t="str">
        <f t="shared" si="2"/>
        <v>No</v>
      </c>
    </row>
    <row r="85" spans="1:18" x14ac:dyDescent="0.35">
      <c r="A85" s="1">
        <v>40279</v>
      </c>
      <c r="B85">
        <v>0</v>
      </c>
      <c r="C85" t="s">
        <v>73</v>
      </c>
      <c r="D85" t="s">
        <v>40</v>
      </c>
      <c r="E85" t="s">
        <v>30</v>
      </c>
      <c r="F85">
        <v>7</v>
      </c>
      <c r="G85" t="s">
        <v>47</v>
      </c>
      <c r="H85" t="s">
        <v>30</v>
      </c>
      <c r="I85">
        <v>6</v>
      </c>
      <c r="J85">
        <v>2</v>
      </c>
      <c r="K85">
        <v>9</v>
      </c>
      <c r="L85">
        <v>51</v>
      </c>
      <c r="M85" t="s">
        <v>38</v>
      </c>
      <c r="N85" t="s">
        <v>48</v>
      </c>
      <c r="O85">
        <v>26846</v>
      </c>
      <c r="P85">
        <v>183</v>
      </c>
      <c r="Q85" t="s">
        <v>47</v>
      </c>
      <c r="R85" t="str">
        <f t="shared" si="2"/>
        <v>Yes</v>
      </c>
    </row>
    <row r="86" spans="1:18" x14ac:dyDescent="0.35">
      <c r="A86" s="1">
        <v>40279</v>
      </c>
      <c r="B86">
        <v>0</v>
      </c>
      <c r="C86" t="s">
        <v>73</v>
      </c>
      <c r="D86" t="s">
        <v>23</v>
      </c>
      <c r="E86" t="s">
        <v>18</v>
      </c>
      <c r="F86">
        <v>6</v>
      </c>
      <c r="G86" t="s">
        <v>60</v>
      </c>
      <c r="H86" t="s">
        <v>18</v>
      </c>
      <c r="I86">
        <v>6</v>
      </c>
      <c r="J86">
        <v>6</v>
      </c>
      <c r="K86">
        <v>15</v>
      </c>
      <c r="L86">
        <v>51</v>
      </c>
      <c r="M86" t="s">
        <v>38</v>
      </c>
      <c r="N86" t="s">
        <v>61</v>
      </c>
      <c r="O86">
        <v>21093</v>
      </c>
      <c r="P86">
        <v>176</v>
      </c>
      <c r="Q86" t="s">
        <v>60</v>
      </c>
      <c r="R86" t="str">
        <f t="shared" si="2"/>
        <v>Yes</v>
      </c>
    </row>
    <row r="87" spans="1:18" x14ac:dyDescent="0.35">
      <c r="A87" s="1">
        <v>40279</v>
      </c>
      <c r="B87">
        <v>0</v>
      </c>
      <c r="C87" t="s">
        <v>73</v>
      </c>
      <c r="D87" t="s">
        <v>49</v>
      </c>
      <c r="E87" t="s">
        <v>18</v>
      </c>
      <c r="F87">
        <v>6</v>
      </c>
      <c r="G87" t="s">
        <v>53</v>
      </c>
      <c r="H87" t="s">
        <v>18</v>
      </c>
      <c r="I87">
        <v>6</v>
      </c>
      <c r="J87">
        <v>1</v>
      </c>
      <c r="K87">
        <v>3</v>
      </c>
      <c r="L87">
        <v>51</v>
      </c>
      <c r="M87" t="s">
        <v>38</v>
      </c>
      <c r="N87" t="s">
        <v>54</v>
      </c>
      <c r="O87">
        <v>26945</v>
      </c>
      <c r="P87">
        <v>175</v>
      </c>
      <c r="Q87" t="s">
        <v>53</v>
      </c>
      <c r="R87" t="str">
        <f t="shared" si="2"/>
        <v>Yes</v>
      </c>
    </row>
    <row r="88" spans="1:18" x14ac:dyDescent="0.35">
      <c r="A88" s="1">
        <v>40279</v>
      </c>
      <c r="B88">
        <v>0</v>
      </c>
      <c r="C88" t="s">
        <v>73</v>
      </c>
      <c r="D88" t="s">
        <v>62</v>
      </c>
      <c r="E88" t="s">
        <v>18</v>
      </c>
      <c r="F88">
        <v>6</v>
      </c>
      <c r="G88" t="s">
        <v>63</v>
      </c>
      <c r="H88" t="s">
        <v>18</v>
      </c>
      <c r="I88">
        <v>6</v>
      </c>
      <c r="J88">
        <v>2</v>
      </c>
      <c r="K88">
        <v>4</v>
      </c>
      <c r="L88">
        <v>51</v>
      </c>
      <c r="M88" t="s">
        <v>38</v>
      </c>
      <c r="N88" t="s">
        <v>64</v>
      </c>
      <c r="O88">
        <v>39576</v>
      </c>
      <c r="P88">
        <v>193</v>
      </c>
      <c r="Q88" t="s">
        <v>63</v>
      </c>
      <c r="R88" t="str">
        <f t="shared" si="2"/>
        <v>Yes</v>
      </c>
    </row>
    <row r="89" spans="1:18" x14ac:dyDescent="0.35">
      <c r="A89" s="1">
        <v>40279</v>
      </c>
      <c r="B89">
        <v>0</v>
      </c>
      <c r="C89" t="s">
        <v>73</v>
      </c>
      <c r="D89" t="s">
        <v>22</v>
      </c>
      <c r="E89" t="s">
        <v>18</v>
      </c>
      <c r="F89">
        <v>6</v>
      </c>
      <c r="G89" t="s">
        <v>17</v>
      </c>
      <c r="H89" t="s">
        <v>18</v>
      </c>
      <c r="I89">
        <v>6</v>
      </c>
      <c r="J89">
        <v>5</v>
      </c>
      <c r="K89">
        <v>6</v>
      </c>
      <c r="L89">
        <v>51</v>
      </c>
      <c r="M89" t="s">
        <v>38</v>
      </c>
      <c r="N89" t="s">
        <v>65</v>
      </c>
      <c r="O89">
        <v>18758</v>
      </c>
      <c r="P89">
        <v>172</v>
      </c>
      <c r="Q89" t="s">
        <v>17</v>
      </c>
      <c r="R89" t="str">
        <f t="shared" si="2"/>
        <v>Yes</v>
      </c>
    </row>
    <row r="90" spans="1:18" x14ac:dyDescent="0.35">
      <c r="A90" s="1">
        <v>40279</v>
      </c>
      <c r="B90">
        <v>0</v>
      </c>
      <c r="C90" t="s">
        <v>73</v>
      </c>
      <c r="D90" t="s">
        <v>25</v>
      </c>
      <c r="E90" t="s">
        <v>18</v>
      </c>
      <c r="F90">
        <v>6</v>
      </c>
      <c r="G90" t="s">
        <v>66</v>
      </c>
      <c r="H90" t="s">
        <v>18</v>
      </c>
      <c r="I90">
        <v>6</v>
      </c>
      <c r="J90">
        <v>2</v>
      </c>
      <c r="K90">
        <v>1</v>
      </c>
      <c r="L90">
        <v>54</v>
      </c>
      <c r="M90" t="s">
        <v>38</v>
      </c>
      <c r="N90" t="s">
        <v>67</v>
      </c>
      <c r="O90">
        <v>28619</v>
      </c>
      <c r="P90">
        <v>141</v>
      </c>
      <c r="Q90" t="s">
        <v>25</v>
      </c>
      <c r="R90" t="str">
        <f t="shared" si="2"/>
        <v>No</v>
      </c>
    </row>
    <row r="91" spans="1:18" x14ac:dyDescent="0.35">
      <c r="A91" s="1">
        <v>40279</v>
      </c>
      <c r="B91">
        <v>0</v>
      </c>
      <c r="C91" t="s">
        <v>73</v>
      </c>
      <c r="D91" t="s">
        <v>52</v>
      </c>
      <c r="E91" t="s">
        <v>18</v>
      </c>
      <c r="F91">
        <v>6</v>
      </c>
      <c r="G91" t="s">
        <v>68</v>
      </c>
      <c r="H91" t="s">
        <v>18</v>
      </c>
      <c r="I91">
        <v>6</v>
      </c>
      <c r="J91">
        <v>7</v>
      </c>
      <c r="K91">
        <v>8</v>
      </c>
      <c r="L91">
        <v>52</v>
      </c>
      <c r="M91" t="s">
        <v>20</v>
      </c>
      <c r="N91" t="s">
        <v>69</v>
      </c>
      <c r="O91">
        <v>33294</v>
      </c>
      <c r="P91">
        <v>187</v>
      </c>
      <c r="Q91" t="s">
        <v>68</v>
      </c>
      <c r="R91" t="str">
        <f t="shared" si="2"/>
        <v>Yes</v>
      </c>
    </row>
    <row r="92" spans="1:18" x14ac:dyDescent="0.35">
      <c r="A92" s="1">
        <v>40279</v>
      </c>
      <c r="B92">
        <v>0</v>
      </c>
      <c r="C92" t="s">
        <v>73</v>
      </c>
      <c r="D92" t="s">
        <v>26</v>
      </c>
      <c r="E92" t="s">
        <v>18</v>
      </c>
      <c r="F92">
        <v>6</v>
      </c>
      <c r="G92" t="s">
        <v>19</v>
      </c>
      <c r="H92" t="s">
        <v>18</v>
      </c>
      <c r="I92">
        <v>6</v>
      </c>
      <c r="J92">
        <v>5</v>
      </c>
      <c r="K92">
        <v>2</v>
      </c>
      <c r="L92">
        <v>54</v>
      </c>
      <c r="M92" t="s">
        <v>38</v>
      </c>
      <c r="N92" t="s">
        <v>21</v>
      </c>
      <c r="O92">
        <v>33672</v>
      </c>
      <c r="P92">
        <v>173</v>
      </c>
      <c r="Q92" t="s">
        <v>26</v>
      </c>
      <c r="R92" t="str">
        <f t="shared" si="2"/>
        <v>No</v>
      </c>
    </row>
    <row r="93" spans="1:18" x14ac:dyDescent="0.35">
      <c r="A93" s="1">
        <v>40279</v>
      </c>
      <c r="B93">
        <v>0</v>
      </c>
      <c r="C93" t="s">
        <v>73</v>
      </c>
      <c r="D93" t="s">
        <v>50</v>
      </c>
      <c r="E93" t="s">
        <v>18</v>
      </c>
      <c r="F93">
        <v>6</v>
      </c>
      <c r="G93" t="s">
        <v>70</v>
      </c>
      <c r="H93" t="s">
        <v>18</v>
      </c>
      <c r="I93">
        <v>6</v>
      </c>
      <c r="J93">
        <v>3</v>
      </c>
      <c r="K93">
        <v>6</v>
      </c>
      <c r="L93">
        <v>51</v>
      </c>
      <c r="M93" t="s">
        <v>20</v>
      </c>
      <c r="N93" t="s">
        <v>71</v>
      </c>
      <c r="O93">
        <v>38062</v>
      </c>
      <c r="P93">
        <v>140</v>
      </c>
      <c r="Q93" t="s">
        <v>70</v>
      </c>
      <c r="R93" t="str">
        <f t="shared" si="2"/>
        <v>Yes</v>
      </c>
    </row>
    <row r="94" spans="1:18" x14ac:dyDescent="0.35">
      <c r="A94" s="1">
        <v>40280</v>
      </c>
      <c r="B94">
        <v>0</v>
      </c>
      <c r="C94" t="s">
        <v>74</v>
      </c>
      <c r="D94" t="s">
        <v>44</v>
      </c>
      <c r="E94" t="s">
        <v>30</v>
      </c>
      <c r="F94">
        <v>7</v>
      </c>
      <c r="G94" t="s">
        <v>43</v>
      </c>
      <c r="H94" t="s">
        <v>30</v>
      </c>
      <c r="I94">
        <v>7</v>
      </c>
      <c r="J94">
        <v>5</v>
      </c>
      <c r="K94">
        <v>1</v>
      </c>
      <c r="L94">
        <v>54</v>
      </c>
      <c r="M94" t="s">
        <v>20</v>
      </c>
      <c r="N94" t="s">
        <v>56</v>
      </c>
      <c r="O94">
        <v>9129</v>
      </c>
      <c r="P94">
        <v>171</v>
      </c>
      <c r="Q94" t="s">
        <v>44</v>
      </c>
      <c r="R94" t="str">
        <f t="shared" si="2"/>
        <v>No</v>
      </c>
    </row>
    <row r="95" spans="1:18" x14ac:dyDescent="0.35">
      <c r="A95" s="1">
        <v>40280</v>
      </c>
      <c r="B95">
        <v>0</v>
      </c>
      <c r="C95" t="s">
        <v>74</v>
      </c>
      <c r="D95" t="s">
        <v>47</v>
      </c>
      <c r="E95" t="s">
        <v>30</v>
      </c>
      <c r="F95">
        <v>7</v>
      </c>
      <c r="G95" t="s">
        <v>33</v>
      </c>
      <c r="H95" t="s">
        <v>30</v>
      </c>
      <c r="I95">
        <v>7</v>
      </c>
      <c r="J95">
        <v>4</v>
      </c>
      <c r="K95">
        <v>2</v>
      </c>
      <c r="L95">
        <v>60</v>
      </c>
      <c r="M95" t="s">
        <v>38</v>
      </c>
      <c r="N95" t="s">
        <v>75</v>
      </c>
      <c r="O95">
        <v>42061</v>
      </c>
      <c r="P95">
        <v>191</v>
      </c>
      <c r="Q95" t="s">
        <v>47</v>
      </c>
      <c r="R95" t="str">
        <f t="shared" si="2"/>
        <v>No</v>
      </c>
    </row>
    <row r="96" spans="1:18" x14ac:dyDescent="0.35">
      <c r="A96" s="1">
        <v>40280</v>
      </c>
      <c r="B96">
        <v>0</v>
      </c>
      <c r="C96" t="s">
        <v>74</v>
      </c>
      <c r="D96" t="s">
        <v>37</v>
      </c>
      <c r="E96" t="s">
        <v>30</v>
      </c>
      <c r="F96">
        <v>7</v>
      </c>
      <c r="G96" t="s">
        <v>36</v>
      </c>
      <c r="H96" t="s">
        <v>30</v>
      </c>
      <c r="I96">
        <v>7</v>
      </c>
      <c r="J96">
        <v>10</v>
      </c>
      <c r="K96">
        <v>5</v>
      </c>
      <c r="L96">
        <v>54</v>
      </c>
      <c r="M96" t="s">
        <v>38</v>
      </c>
      <c r="N96" t="s">
        <v>57</v>
      </c>
      <c r="O96">
        <v>17058</v>
      </c>
      <c r="P96">
        <v>206</v>
      </c>
      <c r="Q96" t="s">
        <v>37</v>
      </c>
      <c r="R96" t="str">
        <f t="shared" si="2"/>
        <v>No</v>
      </c>
    </row>
    <row r="97" spans="1:18" x14ac:dyDescent="0.35">
      <c r="A97" s="1">
        <v>40280</v>
      </c>
      <c r="B97">
        <v>0</v>
      </c>
      <c r="C97" t="s">
        <v>74</v>
      </c>
      <c r="D97" t="s">
        <v>58</v>
      </c>
      <c r="E97" t="s">
        <v>30</v>
      </c>
      <c r="F97">
        <v>7</v>
      </c>
      <c r="G97" t="s">
        <v>29</v>
      </c>
      <c r="H97" t="s">
        <v>30</v>
      </c>
      <c r="I97">
        <v>8</v>
      </c>
      <c r="J97">
        <v>2</v>
      </c>
      <c r="K97">
        <v>5</v>
      </c>
      <c r="L97">
        <v>51</v>
      </c>
      <c r="M97" t="s">
        <v>38</v>
      </c>
      <c r="N97" t="s">
        <v>76</v>
      </c>
      <c r="O97">
        <v>38145</v>
      </c>
      <c r="P97">
        <v>179</v>
      </c>
      <c r="Q97" t="s">
        <v>29</v>
      </c>
      <c r="R97" t="str">
        <f t="shared" si="2"/>
        <v>Yes</v>
      </c>
    </row>
    <row r="98" spans="1:18" x14ac:dyDescent="0.35">
      <c r="A98" s="1">
        <v>40280</v>
      </c>
      <c r="B98">
        <v>0</v>
      </c>
      <c r="C98" t="s">
        <v>74</v>
      </c>
      <c r="D98" t="s">
        <v>41</v>
      </c>
      <c r="E98" t="s">
        <v>30</v>
      </c>
      <c r="F98">
        <v>8</v>
      </c>
      <c r="G98" t="s">
        <v>40</v>
      </c>
      <c r="H98" t="s">
        <v>30</v>
      </c>
      <c r="I98">
        <v>8</v>
      </c>
      <c r="J98">
        <v>4</v>
      </c>
      <c r="K98">
        <v>0</v>
      </c>
      <c r="L98">
        <v>54</v>
      </c>
      <c r="M98" t="s">
        <v>38</v>
      </c>
      <c r="N98" t="s">
        <v>77</v>
      </c>
      <c r="O98">
        <v>45876</v>
      </c>
      <c r="P98">
        <v>140</v>
      </c>
      <c r="Q98" t="s">
        <v>41</v>
      </c>
      <c r="R98" t="str">
        <f t="shared" si="2"/>
        <v>No</v>
      </c>
    </row>
    <row r="99" spans="1:18" x14ac:dyDescent="0.35">
      <c r="A99" s="1">
        <v>40280</v>
      </c>
      <c r="B99">
        <v>0</v>
      </c>
      <c r="C99" t="s">
        <v>74</v>
      </c>
      <c r="D99" t="s">
        <v>34</v>
      </c>
      <c r="E99" t="s">
        <v>30</v>
      </c>
      <c r="F99">
        <v>7</v>
      </c>
      <c r="G99" t="s">
        <v>46</v>
      </c>
      <c r="H99" t="s">
        <v>30</v>
      </c>
      <c r="I99">
        <v>7</v>
      </c>
      <c r="J99">
        <v>8</v>
      </c>
      <c r="K99">
        <v>7</v>
      </c>
      <c r="L99">
        <v>66</v>
      </c>
      <c r="M99" t="s">
        <v>20</v>
      </c>
      <c r="N99" t="s">
        <v>78</v>
      </c>
      <c r="O99">
        <v>46321</v>
      </c>
      <c r="P99">
        <v>209</v>
      </c>
      <c r="Q99" t="s">
        <v>34</v>
      </c>
      <c r="R99" t="str">
        <f t="shared" si="2"/>
        <v>No</v>
      </c>
    </row>
    <row r="100" spans="1:18" x14ac:dyDescent="0.35">
      <c r="A100" s="1">
        <v>40280</v>
      </c>
      <c r="B100">
        <v>0</v>
      </c>
      <c r="C100" t="s">
        <v>74</v>
      </c>
      <c r="D100" t="s">
        <v>68</v>
      </c>
      <c r="E100" t="s">
        <v>18</v>
      </c>
      <c r="F100">
        <v>7</v>
      </c>
      <c r="G100" t="s">
        <v>49</v>
      </c>
      <c r="H100" t="s">
        <v>18</v>
      </c>
      <c r="I100">
        <v>7</v>
      </c>
      <c r="J100">
        <v>5</v>
      </c>
      <c r="K100">
        <v>9</v>
      </c>
      <c r="L100">
        <v>51</v>
      </c>
      <c r="M100" t="s">
        <v>38</v>
      </c>
      <c r="N100" t="s">
        <v>79</v>
      </c>
      <c r="O100">
        <v>41306</v>
      </c>
      <c r="P100">
        <v>179</v>
      </c>
      <c r="Q100" t="s">
        <v>49</v>
      </c>
      <c r="R100" t="str">
        <f t="shared" si="2"/>
        <v>Yes</v>
      </c>
    </row>
    <row r="101" spans="1:18" x14ac:dyDescent="0.35">
      <c r="A101" s="1">
        <v>40280</v>
      </c>
      <c r="B101">
        <v>0</v>
      </c>
      <c r="C101" t="s">
        <v>74</v>
      </c>
      <c r="D101" t="s">
        <v>53</v>
      </c>
      <c r="E101" t="s">
        <v>18</v>
      </c>
      <c r="F101">
        <v>7</v>
      </c>
      <c r="G101" t="s">
        <v>17</v>
      </c>
      <c r="H101" t="s">
        <v>18</v>
      </c>
      <c r="I101">
        <v>7</v>
      </c>
      <c r="J101">
        <v>6</v>
      </c>
      <c r="K101">
        <v>5</v>
      </c>
      <c r="L101">
        <v>60</v>
      </c>
      <c r="M101" t="s">
        <v>20</v>
      </c>
      <c r="N101" t="s">
        <v>65</v>
      </c>
      <c r="O101">
        <v>10119</v>
      </c>
      <c r="P101">
        <v>227</v>
      </c>
      <c r="Q101" t="s">
        <v>53</v>
      </c>
      <c r="R101" t="str">
        <f t="shared" si="2"/>
        <v>No</v>
      </c>
    </row>
    <row r="102" spans="1:18" x14ac:dyDescent="0.35">
      <c r="A102" s="1">
        <v>40280</v>
      </c>
      <c r="B102">
        <v>0</v>
      </c>
      <c r="C102" t="s">
        <v>74</v>
      </c>
      <c r="D102" t="s">
        <v>26</v>
      </c>
      <c r="E102" t="s">
        <v>18</v>
      </c>
      <c r="F102">
        <v>7</v>
      </c>
      <c r="G102" t="s">
        <v>25</v>
      </c>
      <c r="H102" t="s">
        <v>18</v>
      </c>
      <c r="I102">
        <v>7</v>
      </c>
      <c r="J102">
        <v>4</v>
      </c>
      <c r="K102">
        <v>7</v>
      </c>
      <c r="L102">
        <v>51</v>
      </c>
      <c r="M102" t="s">
        <v>38</v>
      </c>
      <c r="N102" t="s">
        <v>80</v>
      </c>
      <c r="O102">
        <v>44791</v>
      </c>
      <c r="P102">
        <v>165</v>
      </c>
      <c r="Q102" t="s">
        <v>25</v>
      </c>
      <c r="R102" t="str">
        <f t="shared" si="2"/>
        <v>Yes</v>
      </c>
    </row>
    <row r="103" spans="1:18" x14ac:dyDescent="0.35">
      <c r="A103" s="1">
        <v>40280</v>
      </c>
      <c r="B103">
        <v>0</v>
      </c>
      <c r="C103" t="s">
        <v>74</v>
      </c>
      <c r="D103" t="s">
        <v>50</v>
      </c>
      <c r="E103" t="s">
        <v>18</v>
      </c>
      <c r="F103">
        <v>7</v>
      </c>
      <c r="G103" t="s">
        <v>62</v>
      </c>
      <c r="H103" t="s">
        <v>18</v>
      </c>
      <c r="I103">
        <v>7</v>
      </c>
      <c r="J103">
        <v>2</v>
      </c>
      <c r="K103">
        <v>17</v>
      </c>
      <c r="L103">
        <v>51</v>
      </c>
      <c r="M103" t="s">
        <v>38</v>
      </c>
      <c r="N103" t="s">
        <v>81</v>
      </c>
      <c r="O103">
        <v>42843</v>
      </c>
      <c r="P103">
        <v>186</v>
      </c>
      <c r="Q103" t="s">
        <v>62</v>
      </c>
      <c r="R103" t="str">
        <f t="shared" si="2"/>
        <v>Yes</v>
      </c>
    </row>
    <row r="104" spans="1:18" x14ac:dyDescent="0.35">
      <c r="A104" s="1">
        <v>40280</v>
      </c>
      <c r="B104">
        <v>0</v>
      </c>
      <c r="C104" t="s">
        <v>74</v>
      </c>
      <c r="D104" t="s">
        <v>23</v>
      </c>
      <c r="E104" t="s">
        <v>18</v>
      </c>
      <c r="F104">
        <v>7</v>
      </c>
      <c r="G104" t="s">
        <v>70</v>
      </c>
      <c r="H104" t="s">
        <v>18</v>
      </c>
      <c r="I104">
        <v>7</v>
      </c>
      <c r="J104">
        <v>3</v>
      </c>
      <c r="K104">
        <v>9</v>
      </c>
      <c r="L104">
        <v>51</v>
      </c>
      <c r="M104" t="s">
        <v>20</v>
      </c>
      <c r="N104" t="s">
        <v>71</v>
      </c>
      <c r="O104">
        <v>26011</v>
      </c>
      <c r="P104">
        <v>181</v>
      </c>
      <c r="Q104" t="s">
        <v>70</v>
      </c>
      <c r="R104" t="str">
        <f t="shared" si="2"/>
        <v>Yes</v>
      </c>
    </row>
    <row r="105" spans="1:18" x14ac:dyDescent="0.35">
      <c r="A105" s="1">
        <v>40280</v>
      </c>
      <c r="B105">
        <v>0</v>
      </c>
      <c r="C105" t="s">
        <v>74</v>
      </c>
      <c r="D105" t="s">
        <v>66</v>
      </c>
      <c r="E105" t="s">
        <v>18</v>
      </c>
      <c r="F105">
        <v>7</v>
      </c>
      <c r="G105" t="s">
        <v>52</v>
      </c>
      <c r="H105" t="s">
        <v>18</v>
      </c>
      <c r="I105">
        <v>7</v>
      </c>
      <c r="J105">
        <v>0</v>
      </c>
      <c r="K105">
        <v>5</v>
      </c>
      <c r="L105">
        <v>51</v>
      </c>
      <c r="M105" t="s">
        <v>38</v>
      </c>
      <c r="N105" t="s">
        <v>82</v>
      </c>
      <c r="O105">
        <v>46918</v>
      </c>
      <c r="P105">
        <v>144</v>
      </c>
      <c r="Q105" t="s">
        <v>52</v>
      </c>
      <c r="R105" t="str">
        <f t="shared" si="2"/>
        <v>Yes</v>
      </c>
    </row>
    <row r="106" spans="1:18" x14ac:dyDescent="0.35">
      <c r="A106" s="1">
        <v>40281</v>
      </c>
      <c r="B106">
        <v>0</v>
      </c>
      <c r="C106" t="s">
        <v>83</v>
      </c>
      <c r="D106" t="s">
        <v>44</v>
      </c>
      <c r="E106" t="s">
        <v>30</v>
      </c>
      <c r="F106">
        <v>8</v>
      </c>
      <c r="G106" t="s">
        <v>43</v>
      </c>
      <c r="H106" t="s">
        <v>30</v>
      </c>
      <c r="I106">
        <v>8</v>
      </c>
      <c r="J106">
        <v>8</v>
      </c>
      <c r="K106">
        <v>6</v>
      </c>
      <c r="L106">
        <v>60</v>
      </c>
      <c r="M106" t="s">
        <v>20</v>
      </c>
      <c r="N106" t="s">
        <v>56</v>
      </c>
      <c r="O106">
        <v>13731</v>
      </c>
      <c r="P106">
        <v>212</v>
      </c>
      <c r="Q106" t="s">
        <v>44</v>
      </c>
      <c r="R106" t="str">
        <f t="shared" si="2"/>
        <v>No</v>
      </c>
    </row>
    <row r="107" spans="1:18" x14ac:dyDescent="0.35">
      <c r="A107" s="1">
        <v>40281</v>
      </c>
      <c r="B107">
        <v>0</v>
      </c>
      <c r="C107" t="s">
        <v>83</v>
      </c>
      <c r="D107" t="s">
        <v>37</v>
      </c>
      <c r="E107" t="s">
        <v>30</v>
      </c>
      <c r="F107">
        <v>8</v>
      </c>
      <c r="G107" t="s">
        <v>36</v>
      </c>
      <c r="H107" t="s">
        <v>30</v>
      </c>
      <c r="I107">
        <v>8</v>
      </c>
      <c r="J107">
        <v>5</v>
      </c>
      <c r="K107">
        <v>6</v>
      </c>
      <c r="L107">
        <v>51</v>
      </c>
      <c r="M107" t="s">
        <v>38</v>
      </c>
      <c r="N107" t="s">
        <v>57</v>
      </c>
      <c r="O107">
        <v>18414</v>
      </c>
      <c r="P107">
        <v>183</v>
      </c>
      <c r="Q107" t="s">
        <v>36</v>
      </c>
      <c r="R107" t="str">
        <f t="shared" si="2"/>
        <v>Yes</v>
      </c>
    </row>
    <row r="108" spans="1:18" x14ac:dyDescent="0.35">
      <c r="A108" s="1">
        <v>40281</v>
      </c>
      <c r="B108">
        <v>0</v>
      </c>
      <c r="C108" t="s">
        <v>83</v>
      </c>
      <c r="D108" t="s">
        <v>31</v>
      </c>
      <c r="E108" t="s">
        <v>30</v>
      </c>
      <c r="F108">
        <v>8</v>
      </c>
      <c r="G108" t="s">
        <v>59</v>
      </c>
      <c r="H108" t="s">
        <v>30</v>
      </c>
      <c r="I108">
        <v>7</v>
      </c>
      <c r="J108">
        <v>5</v>
      </c>
      <c r="K108">
        <v>7</v>
      </c>
      <c r="L108">
        <v>51</v>
      </c>
      <c r="M108" t="s">
        <v>38</v>
      </c>
      <c r="N108" t="s">
        <v>84</v>
      </c>
      <c r="O108">
        <v>49293</v>
      </c>
      <c r="P108">
        <v>196</v>
      </c>
      <c r="Q108" t="s">
        <v>59</v>
      </c>
      <c r="R108" t="str">
        <f t="shared" si="2"/>
        <v>Yes</v>
      </c>
    </row>
    <row r="109" spans="1:18" x14ac:dyDescent="0.35">
      <c r="A109" s="1">
        <v>40281</v>
      </c>
      <c r="B109">
        <v>0</v>
      </c>
      <c r="C109" t="s">
        <v>83</v>
      </c>
      <c r="D109" t="s">
        <v>41</v>
      </c>
      <c r="E109" t="s">
        <v>30</v>
      </c>
      <c r="F109">
        <v>9</v>
      </c>
      <c r="G109" t="s">
        <v>40</v>
      </c>
      <c r="H109" t="s">
        <v>30</v>
      </c>
      <c r="I109">
        <v>9</v>
      </c>
      <c r="J109">
        <v>0</v>
      </c>
      <c r="K109">
        <v>3</v>
      </c>
      <c r="L109">
        <v>51</v>
      </c>
      <c r="M109" t="s">
        <v>20</v>
      </c>
      <c r="N109" t="s">
        <v>77</v>
      </c>
      <c r="O109">
        <v>18043</v>
      </c>
      <c r="P109">
        <v>141</v>
      </c>
      <c r="Q109" t="s">
        <v>40</v>
      </c>
      <c r="R109" t="str">
        <f t="shared" si="2"/>
        <v>Yes</v>
      </c>
    </row>
    <row r="110" spans="1:18" x14ac:dyDescent="0.35">
      <c r="A110" s="1">
        <v>40281</v>
      </c>
      <c r="B110">
        <v>0</v>
      </c>
      <c r="C110" t="s">
        <v>83</v>
      </c>
      <c r="D110" t="s">
        <v>34</v>
      </c>
      <c r="E110" t="s">
        <v>30</v>
      </c>
      <c r="F110">
        <v>8</v>
      </c>
      <c r="G110" t="s">
        <v>46</v>
      </c>
      <c r="H110" t="s">
        <v>30</v>
      </c>
      <c r="I110">
        <v>8</v>
      </c>
      <c r="J110">
        <v>2</v>
      </c>
      <c r="K110">
        <v>4</v>
      </c>
      <c r="L110">
        <v>51</v>
      </c>
      <c r="M110" t="s">
        <v>20</v>
      </c>
      <c r="N110" t="s">
        <v>78</v>
      </c>
      <c r="O110">
        <v>12167</v>
      </c>
      <c r="P110">
        <v>131</v>
      </c>
      <c r="Q110" t="s">
        <v>46</v>
      </c>
      <c r="R110" t="str">
        <f t="shared" si="2"/>
        <v>Yes</v>
      </c>
    </row>
    <row r="111" spans="1:18" x14ac:dyDescent="0.35">
      <c r="A111" s="1">
        <v>40281</v>
      </c>
      <c r="B111">
        <v>0</v>
      </c>
      <c r="C111" t="s">
        <v>83</v>
      </c>
      <c r="D111" t="s">
        <v>19</v>
      </c>
      <c r="E111" t="s">
        <v>18</v>
      </c>
      <c r="F111">
        <v>7</v>
      </c>
      <c r="G111" t="s">
        <v>63</v>
      </c>
      <c r="H111" t="s">
        <v>18</v>
      </c>
      <c r="I111">
        <v>7</v>
      </c>
      <c r="J111">
        <v>3</v>
      </c>
      <c r="K111">
        <v>11</v>
      </c>
      <c r="L111">
        <v>51</v>
      </c>
      <c r="M111" t="s">
        <v>20</v>
      </c>
      <c r="N111" t="s">
        <v>64</v>
      </c>
      <c r="O111">
        <v>25110</v>
      </c>
      <c r="P111">
        <v>183</v>
      </c>
      <c r="Q111" t="s">
        <v>63</v>
      </c>
      <c r="R111" t="str">
        <f t="shared" si="2"/>
        <v>Yes</v>
      </c>
    </row>
    <row r="112" spans="1:18" x14ac:dyDescent="0.35">
      <c r="A112" s="1">
        <v>40281</v>
      </c>
      <c r="B112">
        <v>0</v>
      </c>
      <c r="C112" t="s">
        <v>83</v>
      </c>
      <c r="D112" t="s">
        <v>53</v>
      </c>
      <c r="E112" t="s">
        <v>18</v>
      </c>
      <c r="F112">
        <v>8</v>
      </c>
      <c r="G112" t="s">
        <v>17</v>
      </c>
      <c r="H112" t="s">
        <v>18</v>
      </c>
      <c r="I112">
        <v>8</v>
      </c>
      <c r="J112">
        <v>10</v>
      </c>
      <c r="K112">
        <v>8</v>
      </c>
      <c r="L112">
        <v>66</v>
      </c>
      <c r="M112" t="s">
        <v>20</v>
      </c>
      <c r="N112" t="s">
        <v>65</v>
      </c>
      <c r="O112">
        <v>10681</v>
      </c>
      <c r="P112">
        <v>220</v>
      </c>
      <c r="Q112" t="s">
        <v>53</v>
      </c>
      <c r="R112" t="str">
        <f t="shared" si="2"/>
        <v>No</v>
      </c>
    </row>
    <row r="113" spans="1:18" x14ac:dyDescent="0.35">
      <c r="A113" s="1">
        <v>40281</v>
      </c>
      <c r="B113">
        <v>0</v>
      </c>
      <c r="C113" t="s">
        <v>83</v>
      </c>
      <c r="D113" t="s">
        <v>60</v>
      </c>
      <c r="E113" t="s">
        <v>18</v>
      </c>
      <c r="F113">
        <v>7</v>
      </c>
      <c r="G113" t="s">
        <v>22</v>
      </c>
      <c r="H113" t="s">
        <v>18</v>
      </c>
      <c r="I113">
        <v>7</v>
      </c>
      <c r="J113">
        <v>5</v>
      </c>
      <c r="K113">
        <v>9</v>
      </c>
      <c r="L113">
        <v>51</v>
      </c>
      <c r="M113" t="s">
        <v>38</v>
      </c>
      <c r="N113" t="s">
        <v>85</v>
      </c>
      <c r="O113">
        <v>56000</v>
      </c>
      <c r="P113">
        <v>222</v>
      </c>
      <c r="Q113" t="s">
        <v>22</v>
      </c>
      <c r="R113" t="str">
        <f t="shared" si="2"/>
        <v>Yes</v>
      </c>
    </row>
    <row r="114" spans="1:18" x14ac:dyDescent="0.35">
      <c r="A114" s="1">
        <v>40281</v>
      </c>
      <c r="B114">
        <v>0</v>
      </c>
      <c r="C114" t="s">
        <v>83</v>
      </c>
      <c r="D114" t="s">
        <v>23</v>
      </c>
      <c r="E114" t="s">
        <v>18</v>
      </c>
      <c r="F114">
        <v>8</v>
      </c>
      <c r="G114" t="s">
        <v>70</v>
      </c>
      <c r="H114" t="s">
        <v>18</v>
      </c>
      <c r="I114">
        <v>8</v>
      </c>
      <c r="J114">
        <v>6</v>
      </c>
      <c r="K114">
        <v>5</v>
      </c>
      <c r="L114">
        <v>54</v>
      </c>
      <c r="M114" t="s">
        <v>20</v>
      </c>
      <c r="N114" t="s">
        <v>71</v>
      </c>
      <c r="O114">
        <v>28030</v>
      </c>
      <c r="P114">
        <v>179</v>
      </c>
      <c r="Q114" t="s">
        <v>23</v>
      </c>
      <c r="R114" t="str">
        <f t="shared" si="2"/>
        <v>No</v>
      </c>
    </row>
    <row r="115" spans="1:18" x14ac:dyDescent="0.35">
      <c r="A115" s="1">
        <v>40282</v>
      </c>
      <c r="B115">
        <v>0</v>
      </c>
      <c r="C115" t="s">
        <v>16</v>
      </c>
      <c r="D115" t="s">
        <v>44</v>
      </c>
      <c r="E115" t="s">
        <v>30</v>
      </c>
      <c r="F115">
        <v>9</v>
      </c>
      <c r="G115" t="s">
        <v>43</v>
      </c>
      <c r="H115" t="s">
        <v>30</v>
      </c>
      <c r="I115">
        <v>9</v>
      </c>
      <c r="J115">
        <v>9</v>
      </c>
      <c r="K115">
        <v>1</v>
      </c>
      <c r="L115">
        <v>54</v>
      </c>
      <c r="M115" t="s">
        <v>38</v>
      </c>
      <c r="N115" t="s">
        <v>56</v>
      </c>
      <c r="O115">
        <v>10248</v>
      </c>
      <c r="P115">
        <v>160</v>
      </c>
      <c r="Q115" t="s">
        <v>44</v>
      </c>
      <c r="R115" t="str">
        <f t="shared" si="2"/>
        <v>No</v>
      </c>
    </row>
    <row r="116" spans="1:18" x14ac:dyDescent="0.35">
      <c r="A116" s="1">
        <v>40282</v>
      </c>
      <c r="B116">
        <v>0</v>
      </c>
      <c r="C116" t="s">
        <v>16</v>
      </c>
      <c r="D116" t="s">
        <v>47</v>
      </c>
      <c r="E116" t="s">
        <v>30</v>
      </c>
      <c r="F116">
        <v>8</v>
      </c>
      <c r="G116" t="s">
        <v>33</v>
      </c>
      <c r="H116" t="s">
        <v>30</v>
      </c>
      <c r="I116">
        <v>8</v>
      </c>
      <c r="J116">
        <v>6</v>
      </c>
      <c r="K116">
        <v>2</v>
      </c>
      <c r="L116">
        <v>54</v>
      </c>
      <c r="M116" t="s">
        <v>20</v>
      </c>
      <c r="N116" t="s">
        <v>75</v>
      </c>
      <c r="O116">
        <v>10071</v>
      </c>
      <c r="P116">
        <v>194</v>
      </c>
      <c r="Q116" t="s">
        <v>47</v>
      </c>
      <c r="R116" t="str">
        <f t="shared" si="2"/>
        <v>No</v>
      </c>
    </row>
    <row r="117" spans="1:18" x14ac:dyDescent="0.35">
      <c r="A117" s="1">
        <v>40282</v>
      </c>
      <c r="B117">
        <v>0</v>
      </c>
      <c r="C117" t="s">
        <v>16</v>
      </c>
      <c r="D117" t="s">
        <v>37</v>
      </c>
      <c r="E117" t="s">
        <v>30</v>
      </c>
      <c r="F117">
        <v>9</v>
      </c>
      <c r="G117" t="s">
        <v>36</v>
      </c>
      <c r="H117" t="s">
        <v>30</v>
      </c>
      <c r="I117">
        <v>9</v>
      </c>
      <c r="J117">
        <v>7</v>
      </c>
      <c r="K117">
        <v>3</v>
      </c>
      <c r="L117">
        <v>54</v>
      </c>
      <c r="M117" t="s">
        <v>38</v>
      </c>
      <c r="N117" t="s">
        <v>57</v>
      </c>
      <c r="O117">
        <v>19262</v>
      </c>
      <c r="P117">
        <v>170</v>
      </c>
      <c r="Q117" t="s">
        <v>37</v>
      </c>
      <c r="R117" t="str">
        <f t="shared" si="2"/>
        <v>No</v>
      </c>
    </row>
    <row r="118" spans="1:18" x14ac:dyDescent="0.35">
      <c r="A118" s="1">
        <v>40282</v>
      </c>
      <c r="B118">
        <v>0</v>
      </c>
      <c r="C118" t="s">
        <v>16</v>
      </c>
      <c r="D118" t="s">
        <v>58</v>
      </c>
      <c r="E118" t="s">
        <v>30</v>
      </c>
      <c r="F118">
        <v>8</v>
      </c>
      <c r="G118" t="s">
        <v>29</v>
      </c>
      <c r="H118" t="s">
        <v>30</v>
      </c>
      <c r="I118">
        <v>9</v>
      </c>
      <c r="J118">
        <v>6</v>
      </c>
      <c r="K118">
        <v>3</v>
      </c>
      <c r="L118">
        <v>54</v>
      </c>
      <c r="M118" t="s">
        <v>38</v>
      </c>
      <c r="N118" t="s">
        <v>76</v>
      </c>
      <c r="O118">
        <v>38164</v>
      </c>
      <c r="P118">
        <v>204</v>
      </c>
      <c r="Q118" t="s">
        <v>58</v>
      </c>
      <c r="R118" t="str">
        <f t="shared" si="2"/>
        <v>No</v>
      </c>
    </row>
    <row r="119" spans="1:18" x14ac:dyDescent="0.35">
      <c r="A119" s="1">
        <v>40282</v>
      </c>
      <c r="B119">
        <v>0</v>
      </c>
      <c r="C119" t="s">
        <v>16</v>
      </c>
      <c r="D119" t="s">
        <v>31</v>
      </c>
      <c r="E119" t="s">
        <v>30</v>
      </c>
      <c r="F119">
        <v>9</v>
      </c>
      <c r="G119" t="s">
        <v>59</v>
      </c>
      <c r="H119" t="s">
        <v>30</v>
      </c>
      <c r="I119">
        <v>8</v>
      </c>
      <c r="J119">
        <v>5</v>
      </c>
      <c r="K119">
        <v>3</v>
      </c>
      <c r="L119">
        <v>54</v>
      </c>
      <c r="M119" t="s">
        <v>38</v>
      </c>
      <c r="N119" t="s">
        <v>84</v>
      </c>
      <c r="O119">
        <v>42372</v>
      </c>
      <c r="P119">
        <v>192</v>
      </c>
      <c r="Q119" t="s">
        <v>31</v>
      </c>
      <c r="R119" t="str">
        <f t="shared" si="2"/>
        <v>No</v>
      </c>
    </row>
    <row r="120" spans="1:18" x14ac:dyDescent="0.35">
      <c r="A120" s="1">
        <v>40282</v>
      </c>
      <c r="B120">
        <v>0</v>
      </c>
      <c r="C120" t="s">
        <v>16</v>
      </c>
      <c r="D120" t="s">
        <v>41</v>
      </c>
      <c r="E120" t="s">
        <v>30</v>
      </c>
      <c r="F120">
        <v>10</v>
      </c>
      <c r="G120" t="s">
        <v>40</v>
      </c>
      <c r="H120" t="s">
        <v>30</v>
      </c>
      <c r="I120">
        <v>10</v>
      </c>
      <c r="J120">
        <v>2</v>
      </c>
      <c r="K120">
        <v>4</v>
      </c>
      <c r="L120">
        <v>51</v>
      </c>
      <c r="M120" t="s">
        <v>20</v>
      </c>
      <c r="N120" t="s">
        <v>77</v>
      </c>
      <c r="O120">
        <v>15978</v>
      </c>
      <c r="P120">
        <v>165</v>
      </c>
      <c r="Q120" t="s">
        <v>40</v>
      </c>
      <c r="R120" t="str">
        <f t="shared" si="2"/>
        <v>Yes</v>
      </c>
    </row>
    <row r="121" spans="1:18" x14ac:dyDescent="0.35">
      <c r="A121" s="1">
        <v>40282</v>
      </c>
      <c r="B121">
        <v>0</v>
      </c>
      <c r="C121" t="s">
        <v>16</v>
      </c>
      <c r="D121" t="s">
        <v>34</v>
      </c>
      <c r="E121" t="s">
        <v>30</v>
      </c>
      <c r="F121">
        <v>9</v>
      </c>
      <c r="G121" t="s">
        <v>46</v>
      </c>
      <c r="H121" t="s">
        <v>30</v>
      </c>
      <c r="I121">
        <v>9</v>
      </c>
      <c r="J121">
        <v>11</v>
      </c>
      <c r="K121">
        <v>1</v>
      </c>
      <c r="L121">
        <v>54</v>
      </c>
      <c r="M121" t="s">
        <v>20</v>
      </c>
      <c r="N121" t="s">
        <v>78</v>
      </c>
      <c r="O121">
        <v>10610</v>
      </c>
      <c r="P121">
        <v>167</v>
      </c>
      <c r="Q121" t="s">
        <v>34</v>
      </c>
      <c r="R121" t="str">
        <f t="shared" si="2"/>
        <v>No</v>
      </c>
    </row>
    <row r="122" spans="1:18" x14ac:dyDescent="0.35">
      <c r="A122" s="1">
        <v>40282</v>
      </c>
      <c r="B122">
        <v>0</v>
      </c>
      <c r="C122" t="s">
        <v>16</v>
      </c>
      <c r="D122" t="s">
        <v>68</v>
      </c>
      <c r="E122" t="s">
        <v>18</v>
      </c>
      <c r="F122">
        <v>8</v>
      </c>
      <c r="G122" t="s">
        <v>49</v>
      </c>
      <c r="H122" t="s">
        <v>18</v>
      </c>
      <c r="I122">
        <v>8</v>
      </c>
      <c r="J122">
        <v>6</v>
      </c>
      <c r="K122">
        <v>7</v>
      </c>
      <c r="L122">
        <v>51</v>
      </c>
      <c r="M122" t="s">
        <v>38</v>
      </c>
      <c r="N122" t="s">
        <v>79</v>
      </c>
      <c r="O122">
        <v>39565</v>
      </c>
      <c r="P122">
        <v>184</v>
      </c>
      <c r="Q122" t="s">
        <v>49</v>
      </c>
      <c r="R122" t="str">
        <f t="shared" si="2"/>
        <v>Yes</v>
      </c>
    </row>
    <row r="123" spans="1:18" x14ac:dyDescent="0.35">
      <c r="A123" s="1">
        <v>40282</v>
      </c>
      <c r="B123">
        <v>0</v>
      </c>
      <c r="C123" t="s">
        <v>16</v>
      </c>
      <c r="D123" t="s">
        <v>19</v>
      </c>
      <c r="E123" t="s">
        <v>18</v>
      </c>
      <c r="F123">
        <v>8</v>
      </c>
      <c r="G123" t="s">
        <v>63</v>
      </c>
      <c r="H123" t="s">
        <v>18</v>
      </c>
      <c r="I123">
        <v>8</v>
      </c>
      <c r="J123">
        <v>5</v>
      </c>
      <c r="K123">
        <v>6</v>
      </c>
      <c r="L123">
        <v>57</v>
      </c>
      <c r="M123" t="s">
        <v>20</v>
      </c>
      <c r="N123" t="s">
        <v>64</v>
      </c>
      <c r="O123">
        <v>26310</v>
      </c>
      <c r="P123">
        <v>213</v>
      </c>
      <c r="Q123" t="s">
        <v>63</v>
      </c>
      <c r="R123" t="str">
        <f t="shared" si="2"/>
        <v>Yes</v>
      </c>
    </row>
    <row r="124" spans="1:18" x14ac:dyDescent="0.35">
      <c r="A124" s="1">
        <v>40282</v>
      </c>
      <c r="B124">
        <v>0</v>
      </c>
      <c r="C124" t="s">
        <v>16</v>
      </c>
      <c r="D124" t="s">
        <v>53</v>
      </c>
      <c r="E124" t="s">
        <v>18</v>
      </c>
      <c r="F124">
        <v>9</v>
      </c>
      <c r="G124" t="s">
        <v>17</v>
      </c>
      <c r="H124" t="s">
        <v>18</v>
      </c>
      <c r="I124">
        <v>9</v>
      </c>
      <c r="J124">
        <v>3</v>
      </c>
      <c r="K124">
        <v>5</v>
      </c>
      <c r="L124">
        <v>51</v>
      </c>
      <c r="M124" t="s">
        <v>20</v>
      </c>
      <c r="N124" t="s">
        <v>65</v>
      </c>
      <c r="O124">
        <v>14390</v>
      </c>
      <c r="P124">
        <v>181</v>
      </c>
      <c r="Q124" t="s">
        <v>17</v>
      </c>
      <c r="R124" t="str">
        <f t="shared" si="2"/>
        <v>Yes</v>
      </c>
    </row>
    <row r="125" spans="1:18" x14ac:dyDescent="0.35">
      <c r="A125" s="1">
        <v>40282</v>
      </c>
      <c r="B125">
        <v>0</v>
      </c>
      <c r="C125" t="s">
        <v>16</v>
      </c>
      <c r="D125" t="s">
        <v>60</v>
      </c>
      <c r="E125" t="s">
        <v>18</v>
      </c>
      <c r="F125">
        <v>8</v>
      </c>
      <c r="G125" t="s">
        <v>22</v>
      </c>
      <c r="H125" t="s">
        <v>18</v>
      </c>
      <c r="I125">
        <v>8</v>
      </c>
      <c r="J125">
        <v>9</v>
      </c>
      <c r="K125">
        <v>7</v>
      </c>
      <c r="L125">
        <v>66</v>
      </c>
      <c r="M125" t="s">
        <v>20</v>
      </c>
      <c r="N125" t="s">
        <v>85</v>
      </c>
      <c r="O125">
        <v>44621</v>
      </c>
      <c r="P125">
        <v>297</v>
      </c>
      <c r="Q125" t="s">
        <v>60</v>
      </c>
      <c r="R125" t="str">
        <f t="shared" si="2"/>
        <v>No</v>
      </c>
    </row>
    <row r="126" spans="1:18" x14ac:dyDescent="0.35">
      <c r="A126" s="1">
        <v>40282</v>
      </c>
      <c r="B126">
        <v>0</v>
      </c>
      <c r="C126" t="s">
        <v>16</v>
      </c>
      <c r="D126" t="s">
        <v>26</v>
      </c>
      <c r="E126" t="s">
        <v>18</v>
      </c>
      <c r="F126">
        <v>8</v>
      </c>
      <c r="G126" t="s">
        <v>25</v>
      </c>
      <c r="H126" t="s">
        <v>18</v>
      </c>
      <c r="I126">
        <v>8</v>
      </c>
      <c r="J126">
        <v>7</v>
      </c>
      <c r="K126">
        <v>14</v>
      </c>
      <c r="L126">
        <v>51</v>
      </c>
      <c r="M126" t="s">
        <v>20</v>
      </c>
      <c r="N126" t="s">
        <v>80</v>
      </c>
      <c r="O126">
        <v>45438</v>
      </c>
      <c r="P126">
        <v>199</v>
      </c>
      <c r="Q126" t="s">
        <v>25</v>
      </c>
      <c r="R126" t="str">
        <f t="shared" si="2"/>
        <v>Yes</v>
      </c>
    </row>
    <row r="127" spans="1:18" x14ac:dyDescent="0.35">
      <c r="A127" s="1">
        <v>40282</v>
      </c>
      <c r="B127">
        <v>0</v>
      </c>
      <c r="C127" t="s">
        <v>16</v>
      </c>
      <c r="D127" t="s">
        <v>50</v>
      </c>
      <c r="E127" t="s">
        <v>18</v>
      </c>
      <c r="F127">
        <v>8</v>
      </c>
      <c r="G127" t="s">
        <v>62</v>
      </c>
      <c r="H127" t="s">
        <v>18</v>
      </c>
      <c r="I127">
        <v>8</v>
      </c>
      <c r="J127">
        <v>6</v>
      </c>
      <c r="K127">
        <v>1</v>
      </c>
      <c r="L127">
        <v>54</v>
      </c>
      <c r="M127" t="s">
        <v>20</v>
      </c>
      <c r="N127" t="s">
        <v>81</v>
      </c>
      <c r="O127">
        <v>24969</v>
      </c>
      <c r="P127">
        <v>179</v>
      </c>
      <c r="Q127" t="s">
        <v>50</v>
      </c>
      <c r="R127" t="str">
        <f t="shared" si="2"/>
        <v>No</v>
      </c>
    </row>
    <row r="128" spans="1:18" x14ac:dyDescent="0.35">
      <c r="A128" s="1">
        <v>40282</v>
      </c>
      <c r="B128">
        <v>0</v>
      </c>
      <c r="C128" t="s">
        <v>16</v>
      </c>
      <c r="D128" t="s">
        <v>23</v>
      </c>
      <c r="E128" t="s">
        <v>18</v>
      </c>
      <c r="F128">
        <v>9</v>
      </c>
      <c r="G128" t="s">
        <v>70</v>
      </c>
      <c r="H128" t="s">
        <v>18</v>
      </c>
      <c r="I128">
        <v>9</v>
      </c>
      <c r="J128">
        <v>0</v>
      </c>
      <c r="K128">
        <v>6</v>
      </c>
      <c r="L128">
        <v>51</v>
      </c>
      <c r="M128" t="s">
        <v>38</v>
      </c>
      <c r="N128" t="s">
        <v>71</v>
      </c>
      <c r="O128">
        <v>29028</v>
      </c>
      <c r="P128">
        <v>128</v>
      </c>
      <c r="Q128" t="s">
        <v>70</v>
      </c>
      <c r="R128" t="str">
        <f t="shared" si="2"/>
        <v>Yes</v>
      </c>
    </row>
    <row r="129" spans="1:18" x14ac:dyDescent="0.35">
      <c r="A129" s="1">
        <v>40282</v>
      </c>
      <c r="B129">
        <v>0</v>
      </c>
      <c r="C129" t="s">
        <v>16</v>
      </c>
      <c r="D129" t="s">
        <v>66</v>
      </c>
      <c r="E129" t="s">
        <v>18</v>
      </c>
      <c r="F129">
        <v>8</v>
      </c>
      <c r="G129" t="s">
        <v>52</v>
      </c>
      <c r="H129" t="s">
        <v>18</v>
      </c>
      <c r="I129">
        <v>8</v>
      </c>
      <c r="J129">
        <v>1</v>
      </c>
      <c r="K129">
        <v>2</v>
      </c>
      <c r="L129">
        <v>51</v>
      </c>
      <c r="M129" t="s">
        <v>20</v>
      </c>
      <c r="N129" t="s">
        <v>82</v>
      </c>
      <c r="O129">
        <v>35883</v>
      </c>
      <c r="P129">
        <v>158</v>
      </c>
      <c r="Q129" t="s">
        <v>52</v>
      </c>
      <c r="R129" t="str">
        <f t="shared" si="2"/>
        <v>Yes</v>
      </c>
    </row>
    <row r="130" spans="1:18" x14ac:dyDescent="0.35">
      <c r="A130" s="1">
        <v>40283</v>
      </c>
      <c r="B130">
        <v>0</v>
      </c>
      <c r="C130" t="s">
        <v>28</v>
      </c>
      <c r="D130" t="s">
        <v>47</v>
      </c>
      <c r="E130" t="s">
        <v>30</v>
      </c>
      <c r="F130">
        <v>9</v>
      </c>
      <c r="G130" t="s">
        <v>33</v>
      </c>
      <c r="H130" t="s">
        <v>30</v>
      </c>
      <c r="I130">
        <v>9</v>
      </c>
      <c r="J130">
        <v>2</v>
      </c>
      <c r="K130">
        <v>3</v>
      </c>
      <c r="L130">
        <v>51</v>
      </c>
      <c r="M130" t="s">
        <v>38</v>
      </c>
      <c r="N130" t="s">
        <v>75</v>
      </c>
      <c r="O130">
        <v>10198</v>
      </c>
      <c r="P130">
        <v>123</v>
      </c>
      <c r="Q130" t="s">
        <v>33</v>
      </c>
      <c r="R130" t="str">
        <f t="shared" si="2"/>
        <v>Yes</v>
      </c>
    </row>
    <row r="131" spans="1:18" x14ac:dyDescent="0.35">
      <c r="A131" s="1">
        <v>40283</v>
      </c>
      <c r="B131">
        <v>0</v>
      </c>
      <c r="C131" t="s">
        <v>28</v>
      </c>
      <c r="D131" t="s">
        <v>58</v>
      </c>
      <c r="E131" t="s">
        <v>30</v>
      </c>
      <c r="F131">
        <v>9</v>
      </c>
      <c r="G131" t="s">
        <v>29</v>
      </c>
      <c r="H131" t="s">
        <v>30</v>
      </c>
      <c r="I131">
        <v>10</v>
      </c>
      <c r="J131">
        <v>0</v>
      </c>
      <c r="K131">
        <v>8</v>
      </c>
      <c r="L131">
        <v>51</v>
      </c>
      <c r="M131" t="s">
        <v>38</v>
      </c>
      <c r="N131" t="s">
        <v>76</v>
      </c>
      <c r="O131">
        <v>38341</v>
      </c>
      <c r="P131">
        <v>158</v>
      </c>
      <c r="Q131" t="s">
        <v>29</v>
      </c>
      <c r="R131" t="str">
        <f t="shared" ref="R131:R194" si="3">IF(K131&gt;J131,"Yes","No")</f>
        <v>Yes</v>
      </c>
    </row>
    <row r="132" spans="1:18" x14ac:dyDescent="0.35">
      <c r="A132" s="1">
        <v>40283</v>
      </c>
      <c r="B132">
        <v>0</v>
      </c>
      <c r="C132" t="s">
        <v>28</v>
      </c>
      <c r="D132" t="s">
        <v>31</v>
      </c>
      <c r="E132" t="s">
        <v>30</v>
      </c>
      <c r="F132">
        <v>10</v>
      </c>
      <c r="G132" t="s">
        <v>59</v>
      </c>
      <c r="H132" t="s">
        <v>30</v>
      </c>
      <c r="I132">
        <v>9</v>
      </c>
      <c r="J132">
        <v>2</v>
      </c>
      <c r="K132">
        <v>6</v>
      </c>
      <c r="L132">
        <v>51</v>
      </c>
      <c r="M132" t="s">
        <v>20</v>
      </c>
      <c r="N132" t="s">
        <v>84</v>
      </c>
      <c r="O132">
        <v>44722</v>
      </c>
      <c r="P132">
        <v>213</v>
      </c>
      <c r="Q132" t="s">
        <v>59</v>
      </c>
      <c r="R132" t="str">
        <f t="shared" si="3"/>
        <v>Yes</v>
      </c>
    </row>
    <row r="133" spans="1:18" x14ac:dyDescent="0.35">
      <c r="A133" s="1">
        <v>40283</v>
      </c>
      <c r="B133">
        <v>0</v>
      </c>
      <c r="C133" t="s">
        <v>28</v>
      </c>
      <c r="D133" t="s">
        <v>43</v>
      </c>
      <c r="E133" t="s">
        <v>30</v>
      </c>
      <c r="F133">
        <v>10</v>
      </c>
      <c r="G133" t="s">
        <v>41</v>
      </c>
      <c r="H133" t="s">
        <v>30</v>
      </c>
      <c r="I133">
        <v>11</v>
      </c>
      <c r="J133">
        <v>2</v>
      </c>
      <c r="K133">
        <v>6</v>
      </c>
      <c r="L133">
        <v>51</v>
      </c>
      <c r="M133" t="s">
        <v>20</v>
      </c>
      <c r="N133" t="s">
        <v>42</v>
      </c>
      <c r="O133">
        <v>17382</v>
      </c>
      <c r="P133">
        <v>164</v>
      </c>
      <c r="Q133" t="s">
        <v>41</v>
      </c>
      <c r="R133" t="str">
        <f t="shared" si="3"/>
        <v>Yes</v>
      </c>
    </row>
    <row r="134" spans="1:18" x14ac:dyDescent="0.35">
      <c r="A134" s="1">
        <v>40283</v>
      </c>
      <c r="B134">
        <v>0</v>
      </c>
      <c r="C134" t="s">
        <v>28</v>
      </c>
      <c r="D134" t="s">
        <v>34</v>
      </c>
      <c r="E134" t="s">
        <v>30</v>
      </c>
      <c r="F134">
        <v>10</v>
      </c>
      <c r="G134" t="s">
        <v>46</v>
      </c>
      <c r="H134" t="s">
        <v>30</v>
      </c>
      <c r="I134">
        <v>10</v>
      </c>
      <c r="J134">
        <v>3</v>
      </c>
      <c r="K134">
        <v>7</v>
      </c>
      <c r="L134">
        <v>51</v>
      </c>
      <c r="M134" t="s">
        <v>20</v>
      </c>
      <c r="N134" t="s">
        <v>78</v>
      </c>
      <c r="O134">
        <v>10744</v>
      </c>
      <c r="P134">
        <v>167</v>
      </c>
      <c r="Q134" t="s">
        <v>46</v>
      </c>
      <c r="R134" t="str">
        <f t="shared" si="3"/>
        <v>Yes</v>
      </c>
    </row>
    <row r="135" spans="1:18" x14ac:dyDescent="0.35">
      <c r="A135" s="1">
        <v>40283</v>
      </c>
      <c r="B135">
        <v>0</v>
      </c>
      <c r="C135" t="s">
        <v>28</v>
      </c>
      <c r="D135" t="s">
        <v>68</v>
      </c>
      <c r="E135" t="s">
        <v>18</v>
      </c>
      <c r="F135">
        <v>9</v>
      </c>
      <c r="G135" t="s">
        <v>49</v>
      </c>
      <c r="H135" t="s">
        <v>18</v>
      </c>
      <c r="I135">
        <v>9</v>
      </c>
      <c r="J135">
        <v>8</v>
      </c>
      <c r="K135">
        <v>6</v>
      </c>
      <c r="L135">
        <v>54</v>
      </c>
      <c r="M135" t="s">
        <v>38</v>
      </c>
      <c r="N135" t="s">
        <v>79</v>
      </c>
      <c r="O135">
        <v>38026</v>
      </c>
      <c r="P135">
        <v>209</v>
      </c>
      <c r="Q135" t="s">
        <v>68</v>
      </c>
      <c r="R135" t="str">
        <f t="shared" si="3"/>
        <v>No</v>
      </c>
    </row>
    <row r="136" spans="1:18" x14ac:dyDescent="0.35">
      <c r="A136" s="1">
        <v>40283</v>
      </c>
      <c r="B136">
        <v>0</v>
      </c>
      <c r="C136" t="s">
        <v>28</v>
      </c>
      <c r="D136" t="s">
        <v>19</v>
      </c>
      <c r="E136" t="s">
        <v>18</v>
      </c>
      <c r="F136">
        <v>9</v>
      </c>
      <c r="G136" t="s">
        <v>63</v>
      </c>
      <c r="H136" t="s">
        <v>18</v>
      </c>
      <c r="I136">
        <v>9</v>
      </c>
      <c r="J136">
        <v>5</v>
      </c>
      <c r="K136">
        <v>0</v>
      </c>
      <c r="L136">
        <v>54</v>
      </c>
      <c r="M136" t="s">
        <v>38</v>
      </c>
      <c r="N136" t="s">
        <v>64</v>
      </c>
      <c r="O136">
        <v>26195</v>
      </c>
      <c r="P136">
        <v>160</v>
      </c>
      <c r="Q136" t="s">
        <v>19</v>
      </c>
      <c r="R136" t="str">
        <f t="shared" si="3"/>
        <v>No</v>
      </c>
    </row>
    <row r="137" spans="1:18" x14ac:dyDescent="0.35">
      <c r="A137" s="1">
        <v>40283</v>
      </c>
      <c r="B137">
        <v>0</v>
      </c>
      <c r="C137" t="s">
        <v>28</v>
      </c>
      <c r="D137" t="s">
        <v>53</v>
      </c>
      <c r="E137" t="s">
        <v>18</v>
      </c>
      <c r="F137">
        <v>10</v>
      </c>
      <c r="G137" t="s">
        <v>17</v>
      </c>
      <c r="H137" t="s">
        <v>18</v>
      </c>
      <c r="I137">
        <v>10</v>
      </c>
      <c r="J137">
        <v>2</v>
      </c>
      <c r="K137">
        <v>10</v>
      </c>
      <c r="L137">
        <v>51</v>
      </c>
      <c r="M137" t="s">
        <v>20</v>
      </c>
      <c r="N137" t="s">
        <v>65</v>
      </c>
      <c r="O137">
        <v>12912</v>
      </c>
      <c r="P137">
        <v>187</v>
      </c>
      <c r="Q137" t="s">
        <v>17</v>
      </c>
      <c r="R137" t="str">
        <f t="shared" si="3"/>
        <v>Yes</v>
      </c>
    </row>
    <row r="138" spans="1:18" x14ac:dyDescent="0.35">
      <c r="A138" s="1">
        <v>40283</v>
      </c>
      <c r="B138">
        <v>0</v>
      </c>
      <c r="C138" t="s">
        <v>28</v>
      </c>
      <c r="D138" t="s">
        <v>60</v>
      </c>
      <c r="E138" t="s">
        <v>18</v>
      </c>
      <c r="F138">
        <v>9</v>
      </c>
      <c r="G138" t="s">
        <v>22</v>
      </c>
      <c r="H138" t="s">
        <v>18</v>
      </c>
      <c r="I138">
        <v>9</v>
      </c>
      <c r="J138">
        <v>5</v>
      </c>
      <c r="K138">
        <v>6</v>
      </c>
      <c r="L138">
        <v>58</v>
      </c>
      <c r="M138" t="s">
        <v>20</v>
      </c>
      <c r="N138" t="s">
        <v>85</v>
      </c>
      <c r="O138">
        <v>39697</v>
      </c>
      <c r="P138">
        <v>222</v>
      </c>
      <c r="Q138" t="s">
        <v>22</v>
      </c>
      <c r="R138" t="str">
        <f t="shared" si="3"/>
        <v>Yes</v>
      </c>
    </row>
    <row r="139" spans="1:18" x14ac:dyDescent="0.35">
      <c r="A139" s="1">
        <v>40283</v>
      </c>
      <c r="B139">
        <v>0</v>
      </c>
      <c r="C139" t="s">
        <v>28</v>
      </c>
      <c r="D139" t="s">
        <v>26</v>
      </c>
      <c r="E139" t="s">
        <v>18</v>
      </c>
      <c r="F139">
        <v>9</v>
      </c>
      <c r="G139" t="s">
        <v>25</v>
      </c>
      <c r="H139" t="s">
        <v>18</v>
      </c>
      <c r="I139">
        <v>9</v>
      </c>
      <c r="J139">
        <v>7</v>
      </c>
      <c r="K139">
        <v>5</v>
      </c>
      <c r="L139">
        <v>54</v>
      </c>
      <c r="M139" t="s">
        <v>38</v>
      </c>
      <c r="N139" t="s">
        <v>80</v>
      </c>
      <c r="O139">
        <v>44157</v>
      </c>
      <c r="P139">
        <v>207</v>
      </c>
      <c r="Q139" t="s">
        <v>26</v>
      </c>
      <c r="R139" t="str">
        <f t="shared" si="3"/>
        <v>No</v>
      </c>
    </row>
    <row r="140" spans="1:18" x14ac:dyDescent="0.35">
      <c r="A140" s="1">
        <v>40283</v>
      </c>
      <c r="B140">
        <v>0</v>
      </c>
      <c r="C140" t="s">
        <v>28</v>
      </c>
      <c r="D140" t="s">
        <v>50</v>
      </c>
      <c r="E140" t="s">
        <v>18</v>
      </c>
      <c r="F140">
        <v>9</v>
      </c>
      <c r="G140" t="s">
        <v>62</v>
      </c>
      <c r="H140" t="s">
        <v>18</v>
      </c>
      <c r="I140">
        <v>9</v>
      </c>
      <c r="J140">
        <v>6</v>
      </c>
      <c r="K140">
        <v>2</v>
      </c>
      <c r="L140">
        <v>54</v>
      </c>
      <c r="M140" t="s">
        <v>38</v>
      </c>
      <c r="N140" t="s">
        <v>81</v>
      </c>
      <c r="O140">
        <v>16356</v>
      </c>
      <c r="P140">
        <v>181</v>
      </c>
      <c r="Q140" t="s">
        <v>50</v>
      </c>
      <c r="R140" t="str">
        <f t="shared" si="3"/>
        <v>No</v>
      </c>
    </row>
    <row r="141" spans="1:18" x14ac:dyDescent="0.35">
      <c r="A141" s="1">
        <v>40283</v>
      </c>
      <c r="B141">
        <v>0</v>
      </c>
      <c r="C141" t="s">
        <v>28</v>
      </c>
      <c r="D141" t="s">
        <v>66</v>
      </c>
      <c r="E141" t="s">
        <v>18</v>
      </c>
      <c r="F141">
        <v>9</v>
      </c>
      <c r="G141" t="s">
        <v>52</v>
      </c>
      <c r="H141" t="s">
        <v>18</v>
      </c>
      <c r="I141">
        <v>9</v>
      </c>
      <c r="J141">
        <v>5</v>
      </c>
      <c r="K141">
        <v>1</v>
      </c>
      <c r="L141">
        <v>54</v>
      </c>
      <c r="M141" t="s">
        <v>38</v>
      </c>
      <c r="N141" t="s">
        <v>82</v>
      </c>
      <c r="O141">
        <v>35371</v>
      </c>
      <c r="P141">
        <v>154</v>
      </c>
      <c r="Q141" t="s">
        <v>66</v>
      </c>
      <c r="R141" t="str">
        <f t="shared" si="3"/>
        <v>No</v>
      </c>
    </row>
    <row r="142" spans="1:18" x14ac:dyDescent="0.35">
      <c r="A142" s="1">
        <v>40284</v>
      </c>
      <c r="B142">
        <v>0</v>
      </c>
      <c r="C142" t="s">
        <v>55</v>
      </c>
      <c r="D142" t="s">
        <v>44</v>
      </c>
      <c r="E142" t="s">
        <v>30</v>
      </c>
      <c r="F142">
        <v>10</v>
      </c>
      <c r="G142" t="s">
        <v>58</v>
      </c>
      <c r="H142" t="s">
        <v>30</v>
      </c>
      <c r="I142">
        <v>10</v>
      </c>
      <c r="J142">
        <v>3</v>
      </c>
      <c r="K142">
        <v>1</v>
      </c>
      <c r="L142">
        <v>72</v>
      </c>
      <c r="M142" t="s">
        <v>20</v>
      </c>
      <c r="N142" t="s">
        <v>86</v>
      </c>
      <c r="O142">
        <v>37084</v>
      </c>
      <c r="P142">
        <v>258</v>
      </c>
      <c r="Q142" t="s">
        <v>44</v>
      </c>
      <c r="R142" t="str">
        <f t="shared" si="3"/>
        <v>No</v>
      </c>
    </row>
    <row r="143" spans="1:18" x14ac:dyDescent="0.35">
      <c r="A143" s="1">
        <v>40284</v>
      </c>
      <c r="B143">
        <v>0</v>
      </c>
      <c r="C143" t="s">
        <v>55</v>
      </c>
      <c r="D143" t="s">
        <v>34</v>
      </c>
      <c r="E143" t="s">
        <v>30</v>
      </c>
      <c r="F143">
        <v>11</v>
      </c>
      <c r="G143" t="s">
        <v>33</v>
      </c>
      <c r="H143" t="s">
        <v>30</v>
      </c>
      <c r="I143">
        <v>10</v>
      </c>
      <c r="J143">
        <v>2</v>
      </c>
      <c r="K143">
        <v>6</v>
      </c>
      <c r="L143">
        <v>51</v>
      </c>
      <c r="M143" t="s">
        <v>20</v>
      </c>
      <c r="N143" t="s">
        <v>75</v>
      </c>
      <c r="O143">
        <v>10421</v>
      </c>
      <c r="P143">
        <v>124</v>
      </c>
      <c r="Q143" t="s">
        <v>33</v>
      </c>
      <c r="R143" t="str">
        <f t="shared" si="3"/>
        <v>Yes</v>
      </c>
    </row>
    <row r="144" spans="1:18" x14ac:dyDescent="0.35">
      <c r="A144" s="1">
        <v>40284</v>
      </c>
      <c r="B144">
        <v>0</v>
      </c>
      <c r="C144" t="s">
        <v>55</v>
      </c>
      <c r="D144" t="s">
        <v>37</v>
      </c>
      <c r="E144" t="s">
        <v>30</v>
      </c>
      <c r="F144">
        <v>10</v>
      </c>
      <c r="G144" t="s">
        <v>29</v>
      </c>
      <c r="H144" t="s">
        <v>30</v>
      </c>
      <c r="I144">
        <v>11</v>
      </c>
      <c r="J144">
        <v>3</v>
      </c>
      <c r="K144">
        <v>10</v>
      </c>
      <c r="L144">
        <v>51</v>
      </c>
      <c r="M144" t="s">
        <v>20</v>
      </c>
      <c r="N144" t="s">
        <v>76</v>
      </c>
      <c r="O144">
        <v>38532</v>
      </c>
      <c r="P144">
        <v>184</v>
      </c>
      <c r="Q144" t="s">
        <v>29</v>
      </c>
      <c r="R144" t="str">
        <f t="shared" si="3"/>
        <v>Yes</v>
      </c>
    </row>
    <row r="145" spans="1:18" x14ac:dyDescent="0.35">
      <c r="A145" s="1">
        <v>40284</v>
      </c>
      <c r="B145">
        <v>0</v>
      </c>
      <c r="C145" t="s">
        <v>55</v>
      </c>
      <c r="D145" t="s">
        <v>47</v>
      </c>
      <c r="E145" t="s">
        <v>30</v>
      </c>
      <c r="F145">
        <v>10</v>
      </c>
      <c r="G145" t="s">
        <v>59</v>
      </c>
      <c r="H145" t="s">
        <v>30</v>
      </c>
      <c r="I145">
        <v>10</v>
      </c>
      <c r="J145">
        <v>1</v>
      </c>
      <c r="K145">
        <v>5</v>
      </c>
      <c r="L145">
        <v>36</v>
      </c>
      <c r="M145" t="s">
        <v>20</v>
      </c>
      <c r="N145" t="s">
        <v>84</v>
      </c>
      <c r="O145">
        <v>42145</v>
      </c>
      <c r="P145">
        <v>118</v>
      </c>
      <c r="Q145" t="s">
        <v>59</v>
      </c>
      <c r="R145" t="str">
        <f t="shared" si="3"/>
        <v>Yes</v>
      </c>
    </row>
    <row r="146" spans="1:18" x14ac:dyDescent="0.35">
      <c r="A146" s="1">
        <v>40284</v>
      </c>
      <c r="B146">
        <v>0</v>
      </c>
      <c r="C146" t="s">
        <v>55</v>
      </c>
      <c r="D146" t="s">
        <v>43</v>
      </c>
      <c r="E146" t="s">
        <v>30</v>
      </c>
      <c r="F146">
        <v>11</v>
      </c>
      <c r="G146" t="s">
        <v>41</v>
      </c>
      <c r="H146" t="s">
        <v>30</v>
      </c>
      <c r="I146">
        <v>12</v>
      </c>
      <c r="J146">
        <v>2</v>
      </c>
      <c r="K146">
        <v>4</v>
      </c>
      <c r="L146">
        <v>51</v>
      </c>
      <c r="M146" t="s">
        <v>20</v>
      </c>
      <c r="N146" t="s">
        <v>42</v>
      </c>
      <c r="O146">
        <v>12225</v>
      </c>
      <c r="P146">
        <v>129</v>
      </c>
      <c r="Q146" t="s">
        <v>41</v>
      </c>
      <c r="R146" t="str">
        <f t="shared" si="3"/>
        <v>Yes</v>
      </c>
    </row>
    <row r="147" spans="1:18" x14ac:dyDescent="0.35">
      <c r="A147" s="1">
        <v>40284</v>
      </c>
      <c r="B147">
        <v>0</v>
      </c>
      <c r="C147" t="s">
        <v>55</v>
      </c>
      <c r="D147" t="s">
        <v>36</v>
      </c>
      <c r="E147" t="s">
        <v>30</v>
      </c>
      <c r="F147">
        <v>10</v>
      </c>
      <c r="G147" t="s">
        <v>40</v>
      </c>
      <c r="H147" t="s">
        <v>30</v>
      </c>
      <c r="I147">
        <v>11</v>
      </c>
      <c r="J147">
        <v>3</v>
      </c>
      <c r="K147">
        <v>11</v>
      </c>
      <c r="L147">
        <v>51</v>
      </c>
      <c r="M147" t="s">
        <v>20</v>
      </c>
      <c r="N147" t="s">
        <v>77</v>
      </c>
      <c r="O147">
        <v>39999</v>
      </c>
      <c r="P147">
        <v>177</v>
      </c>
      <c r="Q147" t="s">
        <v>40</v>
      </c>
      <c r="R147" t="str">
        <f t="shared" si="3"/>
        <v>Yes</v>
      </c>
    </row>
    <row r="148" spans="1:18" x14ac:dyDescent="0.35">
      <c r="A148" s="1">
        <v>40284</v>
      </c>
      <c r="B148">
        <v>0</v>
      </c>
      <c r="C148" t="s">
        <v>55</v>
      </c>
      <c r="D148" t="s">
        <v>31</v>
      </c>
      <c r="E148" t="s">
        <v>30</v>
      </c>
      <c r="F148">
        <v>11</v>
      </c>
      <c r="G148" t="s">
        <v>46</v>
      </c>
      <c r="H148" t="s">
        <v>30</v>
      </c>
      <c r="I148">
        <v>11</v>
      </c>
      <c r="J148">
        <v>7</v>
      </c>
      <c r="K148">
        <v>5</v>
      </c>
      <c r="L148">
        <v>54</v>
      </c>
      <c r="M148" t="s">
        <v>20</v>
      </c>
      <c r="N148" t="s">
        <v>78</v>
      </c>
      <c r="O148">
        <v>14779</v>
      </c>
      <c r="P148">
        <v>168</v>
      </c>
      <c r="Q148" t="s">
        <v>31</v>
      </c>
      <c r="R148" t="str">
        <f t="shared" si="3"/>
        <v>No</v>
      </c>
    </row>
    <row r="149" spans="1:18" x14ac:dyDescent="0.35">
      <c r="A149" s="1">
        <v>40284</v>
      </c>
      <c r="B149">
        <v>0</v>
      </c>
      <c r="C149" t="s">
        <v>55</v>
      </c>
      <c r="D149" t="s">
        <v>63</v>
      </c>
      <c r="E149" t="s">
        <v>18</v>
      </c>
      <c r="F149">
        <v>10</v>
      </c>
      <c r="G149" t="s">
        <v>50</v>
      </c>
      <c r="H149" t="s">
        <v>18</v>
      </c>
      <c r="I149">
        <v>10</v>
      </c>
      <c r="J149">
        <v>5</v>
      </c>
      <c r="K149">
        <v>9</v>
      </c>
      <c r="L149">
        <v>51</v>
      </c>
      <c r="M149" t="s">
        <v>20</v>
      </c>
      <c r="N149" t="s">
        <v>51</v>
      </c>
      <c r="O149">
        <v>27692</v>
      </c>
      <c r="P149">
        <v>197</v>
      </c>
      <c r="Q149" t="s">
        <v>50</v>
      </c>
      <c r="R149" t="str">
        <f t="shared" si="3"/>
        <v>Yes</v>
      </c>
    </row>
    <row r="150" spans="1:18" x14ac:dyDescent="0.35">
      <c r="A150" s="1">
        <v>40284</v>
      </c>
      <c r="B150">
        <v>0</v>
      </c>
      <c r="C150" t="s">
        <v>55</v>
      </c>
      <c r="D150" t="s">
        <v>66</v>
      </c>
      <c r="E150" t="s">
        <v>18</v>
      </c>
      <c r="F150">
        <v>10</v>
      </c>
      <c r="G150" t="s">
        <v>49</v>
      </c>
      <c r="H150" t="s">
        <v>18</v>
      </c>
      <c r="I150">
        <v>10</v>
      </c>
      <c r="J150">
        <v>2</v>
      </c>
      <c r="K150">
        <v>7</v>
      </c>
      <c r="L150">
        <v>51</v>
      </c>
      <c r="M150" t="s">
        <v>38</v>
      </c>
      <c r="N150" t="s">
        <v>79</v>
      </c>
      <c r="O150">
        <v>37291</v>
      </c>
      <c r="P150">
        <v>144</v>
      </c>
      <c r="Q150" t="s">
        <v>49</v>
      </c>
      <c r="R150" t="str">
        <f t="shared" si="3"/>
        <v>Yes</v>
      </c>
    </row>
    <row r="151" spans="1:18" x14ac:dyDescent="0.35">
      <c r="A151" s="1">
        <v>40284</v>
      </c>
      <c r="B151">
        <v>0</v>
      </c>
      <c r="C151" t="s">
        <v>55</v>
      </c>
      <c r="D151" t="s">
        <v>70</v>
      </c>
      <c r="E151" t="s">
        <v>18</v>
      </c>
      <c r="F151">
        <v>10</v>
      </c>
      <c r="G151" t="s">
        <v>22</v>
      </c>
      <c r="H151" t="s">
        <v>18</v>
      </c>
      <c r="I151">
        <v>10</v>
      </c>
      <c r="J151">
        <v>8</v>
      </c>
      <c r="K151">
        <v>10</v>
      </c>
      <c r="L151">
        <v>51</v>
      </c>
      <c r="M151" t="s">
        <v>20</v>
      </c>
      <c r="N151" t="s">
        <v>85</v>
      </c>
      <c r="O151">
        <v>49319</v>
      </c>
      <c r="P151">
        <v>178</v>
      </c>
      <c r="Q151" t="s">
        <v>22</v>
      </c>
      <c r="R151" t="str">
        <f t="shared" si="3"/>
        <v>Yes</v>
      </c>
    </row>
    <row r="152" spans="1:18" x14ac:dyDescent="0.35">
      <c r="A152" s="1">
        <v>40284</v>
      </c>
      <c r="B152">
        <v>0</v>
      </c>
      <c r="C152" t="s">
        <v>55</v>
      </c>
      <c r="D152" t="s">
        <v>17</v>
      </c>
      <c r="E152" t="s">
        <v>18</v>
      </c>
      <c r="F152">
        <v>11</v>
      </c>
      <c r="G152" t="s">
        <v>25</v>
      </c>
      <c r="H152" t="s">
        <v>18</v>
      </c>
      <c r="I152">
        <v>10</v>
      </c>
      <c r="J152">
        <v>6</v>
      </c>
      <c r="K152">
        <v>8</v>
      </c>
      <c r="L152">
        <v>51</v>
      </c>
      <c r="M152" t="s">
        <v>20</v>
      </c>
      <c r="N152" t="s">
        <v>80</v>
      </c>
      <c r="O152">
        <v>45245</v>
      </c>
      <c r="P152">
        <v>183</v>
      </c>
      <c r="Q152" t="s">
        <v>25</v>
      </c>
      <c r="R152" t="str">
        <f t="shared" si="3"/>
        <v>Yes</v>
      </c>
    </row>
    <row r="153" spans="1:18" x14ac:dyDescent="0.35">
      <c r="A153" s="1">
        <v>40284</v>
      </c>
      <c r="B153">
        <v>0</v>
      </c>
      <c r="C153" t="s">
        <v>55</v>
      </c>
      <c r="D153" t="s">
        <v>53</v>
      </c>
      <c r="E153" t="s">
        <v>18</v>
      </c>
      <c r="F153">
        <v>11</v>
      </c>
      <c r="G153" t="s">
        <v>23</v>
      </c>
      <c r="H153" t="s">
        <v>18</v>
      </c>
      <c r="I153">
        <v>10</v>
      </c>
      <c r="J153">
        <v>3</v>
      </c>
      <c r="K153">
        <v>4</v>
      </c>
      <c r="L153">
        <v>53</v>
      </c>
      <c r="M153" t="s">
        <v>20</v>
      </c>
      <c r="N153" t="s">
        <v>24</v>
      </c>
      <c r="O153">
        <v>14758</v>
      </c>
      <c r="P153">
        <v>169</v>
      </c>
      <c r="Q153" t="s">
        <v>23</v>
      </c>
      <c r="R153" t="str">
        <f t="shared" si="3"/>
        <v>Yes</v>
      </c>
    </row>
    <row r="154" spans="1:18" x14ac:dyDescent="0.35">
      <c r="A154" s="1">
        <v>40284</v>
      </c>
      <c r="B154">
        <v>0</v>
      </c>
      <c r="C154" t="s">
        <v>55</v>
      </c>
      <c r="D154" t="s">
        <v>60</v>
      </c>
      <c r="E154" t="s">
        <v>18</v>
      </c>
      <c r="F154">
        <v>10</v>
      </c>
      <c r="G154" t="s">
        <v>62</v>
      </c>
      <c r="H154" t="s">
        <v>18</v>
      </c>
      <c r="I154">
        <v>10</v>
      </c>
      <c r="J154">
        <v>3</v>
      </c>
      <c r="K154">
        <v>6</v>
      </c>
      <c r="L154">
        <v>53</v>
      </c>
      <c r="M154" t="s">
        <v>20</v>
      </c>
      <c r="N154" t="s">
        <v>81</v>
      </c>
      <c r="O154">
        <v>26632</v>
      </c>
      <c r="P154">
        <v>200</v>
      </c>
      <c r="Q154" t="s">
        <v>62</v>
      </c>
      <c r="R154" t="str">
        <f t="shared" si="3"/>
        <v>Yes</v>
      </c>
    </row>
    <row r="155" spans="1:18" x14ac:dyDescent="0.35">
      <c r="A155" s="1">
        <v>40284</v>
      </c>
      <c r="B155">
        <v>0</v>
      </c>
      <c r="C155" t="s">
        <v>55</v>
      </c>
      <c r="D155" t="s">
        <v>19</v>
      </c>
      <c r="E155" t="s">
        <v>18</v>
      </c>
      <c r="F155">
        <v>10</v>
      </c>
      <c r="G155" t="s">
        <v>52</v>
      </c>
      <c r="H155" t="s">
        <v>18</v>
      </c>
      <c r="I155">
        <v>10</v>
      </c>
      <c r="J155">
        <v>3</v>
      </c>
      <c r="K155">
        <v>4</v>
      </c>
      <c r="L155">
        <v>51</v>
      </c>
      <c r="M155" t="s">
        <v>20</v>
      </c>
      <c r="N155" t="s">
        <v>82</v>
      </c>
      <c r="O155">
        <v>40101</v>
      </c>
      <c r="P155">
        <v>173</v>
      </c>
      <c r="Q155" t="s">
        <v>52</v>
      </c>
      <c r="R155" t="str">
        <f t="shared" si="3"/>
        <v>Yes</v>
      </c>
    </row>
    <row r="156" spans="1:18" x14ac:dyDescent="0.35">
      <c r="A156" s="1">
        <v>40284</v>
      </c>
      <c r="B156">
        <v>0</v>
      </c>
      <c r="C156" t="s">
        <v>55</v>
      </c>
      <c r="D156" t="s">
        <v>68</v>
      </c>
      <c r="E156" t="s">
        <v>18</v>
      </c>
      <c r="F156">
        <v>10</v>
      </c>
      <c r="G156" t="s">
        <v>26</v>
      </c>
      <c r="H156" t="s">
        <v>18</v>
      </c>
      <c r="I156">
        <v>10</v>
      </c>
      <c r="J156">
        <v>3</v>
      </c>
      <c r="K156">
        <v>5</v>
      </c>
      <c r="L156">
        <v>51</v>
      </c>
      <c r="M156" t="s">
        <v>20</v>
      </c>
      <c r="N156" t="s">
        <v>27</v>
      </c>
      <c r="O156">
        <v>17234</v>
      </c>
      <c r="P156">
        <v>178</v>
      </c>
      <c r="Q156" t="s">
        <v>26</v>
      </c>
      <c r="R156" t="str">
        <f t="shared" si="3"/>
        <v>Yes</v>
      </c>
    </row>
    <row r="157" spans="1:18" x14ac:dyDescent="0.35">
      <c r="A157" s="1">
        <v>40285</v>
      </c>
      <c r="B157">
        <v>0</v>
      </c>
      <c r="C157" t="s">
        <v>72</v>
      </c>
      <c r="D157" t="s">
        <v>44</v>
      </c>
      <c r="E157" t="s">
        <v>30</v>
      </c>
      <c r="F157">
        <v>11</v>
      </c>
      <c r="G157" t="s">
        <v>58</v>
      </c>
      <c r="H157" t="s">
        <v>30</v>
      </c>
      <c r="I157">
        <v>11</v>
      </c>
      <c r="J157">
        <v>6</v>
      </c>
      <c r="K157">
        <v>5</v>
      </c>
      <c r="L157">
        <v>54</v>
      </c>
      <c r="M157" t="s">
        <v>20</v>
      </c>
      <c r="N157" t="s">
        <v>86</v>
      </c>
      <c r="O157">
        <v>37022</v>
      </c>
      <c r="P157">
        <v>199</v>
      </c>
      <c r="Q157" t="s">
        <v>44</v>
      </c>
      <c r="R157" t="str">
        <f t="shared" si="3"/>
        <v>No</v>
      </c>
    </row>
    <row r="158" spans="1:18" x14ac:dyDescent="0.35">
      <c r="A158" s="1">
        <v>40285</v>
      </c>
      <c r="B158">
        <v>0</v>
      </c>
      <c r="C158" t="s">
        <v>72</v>
      </c>
      <c r="D158" t="s">
        <v>34</v>
      </c>
      <c r="E158" t="s">
        <v>30</v>
      </c>
      <c r="F158">
        <v>12</v>
      </c>
      <c r="G158" t="s">
        <v>33</v>
      </c>
      <c r="H158" t="s">
        <v>30</v>
      </c>
      <c r="I158">
        <v>11</v>
      </c>
      <c r="J158">
        <v>2</v>
      </c>
      <c r="K158">
        <v>3</v>
      </c>
      <c r="L158">
        <v>51</v>
      </c>
      <c r="M158" t="s">
        <v>38</v>
      </c>
      <c r="N158" t="s">
        <v>75</v>
      </c>
      <c r="O158">
        <v>12885</v>
      </c>
      <c r="P158">
        <v>144</v>
      </c>
      <c r="Q158" t="s">
        <v>33</v>
      </c>
      <c r="R158" t="str">
        <f t="shared" si="3"/>
        <v>Yes</v>
      </c>
    </row>
    <row r="159" spans="1:18" x14ac:dyDescent="0.35">
      <c r="A159" s="1">
        <v>40285</v>
      </c>
      <c r="B159">
        <v>0</v>
      </c>
      <c r="C159" t="s">
        <v>72</v>
      </c>
      <c r="D159" t="s">
        <v>37</v>
      </c>
      <c r="E159" t="s">
        <v>30</v>
      </c>
      <c r="F159">
        <v>11</v>
      </c>
      <c r="G159" t="s">
        <v>29</v>
      </c>
      <c r="H159" t="s">
        <v>30</v>
      </c>
      <c r="I159">
        <v>12</v>
      </c>
      <c r="J159">
        <v>5</v>
      </c>
      <c r="K159">
        <v>6</v>
      </c>
      <c r="L159">
        <v>51</v>
      </c>
      <c r="M159" t="s">
        <v>38</v>
      </c>
      <c r="N159" t="s">
        <v>76</v>
      </c>
      <c r="O159">
        <v>38564</v>
      </c>
      <c r="P159">
        <v>157</v>
      </c>
      <c r="Q159" t="s">
        <v>29</v>
      </c>
      <c r="R159" t="str">
        <f t="shared" si="3"/>
        <v>Yes</v>
      </c>
    </row>
    <row r="160" spans="1:18" x14ac:dyDescent="0.35">
      <c r="A160" s="1">
        <v>40285</v>
      </c>
      <c r="B160">
        <v>0</v>
      </c>
      <c r="C160" t="s">
        <v>72</v>
      </c>
      <c r="D160" t="s">
        <v>47</v>
      </c>
      <c r="E160" t="s">
        <v>30</v>
      </c>
      <c r="F160">
        <v>11</v>
      </c>
      <c r="G160" t="s">
        <v>59</v>
      </c>
      <c r="H160" t="s">
        <v>30</v>
      </c>
      <c r="I160">
        <v>11</v>
      </c>
      <c r="J160">
        <v>3</v>
      </c>
      <c r="K160">
        <v>7</v>
      </c>
      <c r="L160">
        <v>51</v>
      </c>
      <c r="M160" t="s">
        <v>38</v>
      </c>
      <c r="N160" t="s">
        <v>84</v>
      </c>
      <c r="O160">
        <v>44963</v>
      </c>
      <c r="P160">
        <v>185</v>
      </c>
      <c r="Q160" t="s">
        <v>59</v>
      </c>
      <c r="R160" t="str">
        <f t="shared" si="3"/>
        <v>Yes</v>
      </c>
    </row>
    <row r="161" spans="1:18" x14ac:dyDescent="0.35">
      <c r="A161" s="1">
        <v>40285</v>
      </c>
      <c r="B161">
        <v>0</v>
      </c>
      <c r="C161" t="s">
        <v>72</v>
      </c>
      <c r="D161" t="s">
        <v>43</v>
      </c>
      <c r="E161" t="s">
        <v>30</v>
      </c>
      <c r="F161">
        <v>12</v>
      </c>
      <c r="G161" t="s">
        <v>41</v>
      </c>
      <c r="H161" t="s">
        <v>30</v>
      </c>
      <c r="I161">
        <v>13</v>
      </c>
      <c r="J161">
        <v>3</v>
      </c>
      <c r="K161">
        <v>4</v>
      </c>
      <c r="L161">
        <v>52</v>
      </c>
      <c r="M161" t="s">
        <v>38</v>
      </c>
      <c r="N161" t="s">
        <v>42</v>
      </c>
      <c r="O161">
        <v>15072</v>
      </c>
      <c r="P161">
        <v>168</v>
      </c>
      <c r="Q161" t="s">
        <v>41</v>
      </c>
      <c r="R161" t="str">
        <f t="shared" si="3"/>
        <v>Yes</v>
      </c>
    </row>
    <row r="162" spans="1:18" x14ac:dyDescent="0.35">
      <c r="A162" s="1">
        <v>40285</v>
      </c>
      <c r="B162">
        <v>0</v>
      </c>
      <c r="C162" t="s">
        <v>72</v>
      </c>
      <c r="D162" t="s">
        <v>36</v>
      </c>
      <c r="E162" t="s">
        <v>30</v>
      </c>
      <c r="F162">
        <v>11</v>
      </c>
      <c r="G162" t="s">
        <v>40</v>
      </c>
      <c r="H162" t="s">
        <v>30</v>
      </c>
      <c r="I162">
        <v>12</v>
      </c>
      <c r="J162">
        <v>2</v>
      </c>
      <c r="K162">
        <v>4</v>
      </c>
      <c r="L162">
        <v>51</v>
      </c>
      <c r="M162" t="s">
        <v>20</v>
      </c>
      <c r="N162" t="s">
        <v>77</v>
      </c>
      <c r="O162">
        <v>31647</v>
      </c>
      <c r="P162">
        <v>155</v>
      </c>
      <c r="Q162" t="s">
        <v>40</v>
      </c>
      <c r="R162" t="str">
        <f t="shared" si="3"/>
        <v>Yes</v>
      </c>
    </row>
    <row r="163" spans="1:18" x14ac:dyDescent="0.35">
      <c r="A163" s="1">
        <v>40285</v>
      </c>
      <c r="B163">
        <v>0</v>
      </c>
      <c r="C163" t="s">
        <v>72</v>
      </c>
      <c r="D163" t="s">
        <v>31</v>
      </c>
      <c r="E163" t="s">
        <v>30</v>
      </c>
      <c r="F163">
        <v>12</v>
      </c>
      <c r="G163" t="s">
        <v>46</v>
      </c>
      <c r="H163" t="s">
        <v>30</v>
      </c>
      <c r="I163">
        <v>12</v>
      </c>
      <c r="J163">
        <v>6</v>
      </c>
      <c r="K163">
        <v>3</v>
      </c>
      <c r="L163">
        <v>54</v>
      </c>
      <c r="M163" t="s">
        <v>38</v>
      </c>
      <c r="N163" t="s">
        <v>78</v>
      </c>
      <c r="O163">
        <v>17187</v>
      </c>
      <c r="P163">
        <v>161</v>
      </c>
      <c r="Q163" t="s">
        <v>31</v>
      </c>
      <c r="R163" t="str">
        <f t="shared" si="3"/>
        <v>No</v>
      </c>
    </row>
    <row r="164" spans="1:18" x14ac:dyDescent="0.35">
      <c r="A164" s="1">
        <v>40285</v>
      </c>
      <c r="B164">
        <v>0</v>
      </c>
      <c r="C164" t="s">
        <v>72</v>
      </c>
      <c r="D164" t="s">
        <v>63</v>
      </c>
      <c r="E164" t="s">
        <v>18</v>
      </c>
      <c r="F164">
        <v>11</v>
      </c>
      <c r="G164" t="s">
        <v>50</v>
      </c>
      <c r="H164" t="s">
        <v>18</v>
      </c>
      <c r="I164">
        <v>11</v>
      </c>
      <c r="J164">
        <v>4</v>
      </c>
      <c r="K164">
        <v>0</v>
      </c>
      <c r="L164">
        <v>54</v>
      </c>
      <c r="M164" t="s">
        <v>20</v>
      </c>
      <c r="N164" t="s">
        <v>51</v>
      </c>
      <c r="O164">
        <v>32602</v>
      </c>
      <c r="P164">
        <v>151</v>
      </c>
      <c r="Q164" t="s">
        <v>63</v>
      </c>
      <c r="R164" t="str">
        <f t="shared" si="3"/>
        <v>No</v>
      </c>
    </row>
    <row r="165" spans="1:18" x14ac:dyDescent="0.35">
      <c r="A165" s="1">
        <v>40285</v>
      </c>
      <c r="B165">
        <v>0</v>
      </c>
      <c r="C165" t="s">
        <v>72</v>
      </c>
      <c r="D165" t="s">
        <v>66</v>
      </c>
      <c r="E165" t="s">
        <v>18</v>
      </c>
      <c r="F165">
        <v>11</v>
      </c>
      <c r="G165" t="s">
        <v>49</v>
      </c>
      <c r="H165" t="s">
        <v>18</v>
      </c>
      <c r="I165">
        <v>11</v>
      </c>
      <c r="J165">
        <v>4</v>
      </c>
      <c r="K165">
        <v>3</v>
      </c>
      <c r="L165">
        <v>54</v>
      </c>
      <c r="M165" t="s">
        <v>38</v>
      </c>
      <c r="N165" t="s">
        <v>79</v>
      </c>
      <c r="O165">
        <v>40471</v>
      </c>
      <c r="P165">
        <v>160</v>
      </c>
      <c r="Q165" t="s">
        <v>66</v>
      </c>
      <c r="R165" t="str">
        <f t="shared" si="3"/>
        <v>No</v>
      </c>
    </row>
    <row r="166" spans="1:18" x14ac:dyDescent="0.35">
      <c r="A166" s="1">
        <v>40285</v>
      </c>
      <c r="B166">
        <v>0</v>
      </c>
      <c r="C166" t="s">
        <v>72</v>
      </c>
      <c r="D166" t="s">
        <v>70</v>
      </c>
      <c r="E166" t="s">
        <v>18</v>
      </c>
      <c r="F166">
        <v>11</v>
      </c>
      <c r="G166" t="s">
        <v>22</v>
      </c>
      <c r="H166" t="s">
        <v>18</v>
      </c>
      <c r="I166">
        <v>11</v>
      </c>
      <c r="J166">
        <v>9</v>
      </c>
      <c r="K166">
        <v>0</v>
      </c>
      <c r="L166">
        <v>54</v>
      </c>
      <c r="M166" t="s">
        <v>38</v>
      </c>
      <c r="N166" t="s">
        <v>85</v>
      </c>
      <c r="O166">
        <v>44734</v>
      </c>
      <c r="P166">
        <v>185</v>
      </c>
      <c r="Q166" t="s">
        <v>70</v>
      </c>
      <c r="R166" t="str">
        <f t="shared" si="3"/>
        <v>No</v>
      </c>
    </row>
    <row r="167" spans="1:18" x14ac:dyDescent="0.35">
      <c r="A167" s="1">
        <v>40285</v>
      </c>
      <c r="B167">
        <v>0</v>
      </c>
      <c r="C167" t="s">
        <v>72</v>
      </c>
      <c r="D167" t="s">
        <v>17</v>
      </c>
      <c r="E167" t="s">
        <v>18</v>
      </c>
      <c r="F167">
        <v>12</v>
      </c>
      <c r="G167" t="s">
        <v>25</v>
      </c>
      <c r="H167" t="s">
        <v>18</v>
      </c>
      <c r="I167">
        <v>11</v>
      </c>
      <c r="J167">
        <v>5</v>
      </c>
      <c r="K167">
        <v>1</v>
      </c>
      <c r="L167">
        <v>54</v>
      </c>
      <c r="M167" t="s">
        <v>20</v>
      </c>
      <c r="N167" t="s">
        <v>80</v>
      </c>
      <c r="O167">
        <v>45305</v>
      </c>
      <c r="P167">
        <v>140</v>
      </c>
      <c r="Q167" t="s">
        <v>17</v>
      </c>
      <c r="R167" t="str">
        <f t="shared" si="3"/>
        <v>No</v>
      </c>
    </row>
    <row r="168" spans="1:18" x14ac:dyDescent="0.35">
      <c r="A168" s="1">
        <v>40285</v>
      </c>
      <c r="B168">
        <v>0</v>
      </c>
      <c r="C168" t="s">
        <v>72</v>
      </c>
      <c r="D168" t="s">
        <v>53</v>
      </c>
      <c r="E168" t="s">
        <v>18</v>
      </c>
      <c r="F168">
        <v>12</v>
      </c>
      <c r="G168" t="s">
        <v>23</v>
      </c>
      <c r="H168" t="s">
        <v>18</v>
      </c>
      <c r="I168">
        <v>11</v>
      </c>
      <c r="J168">
        <v>4</v>
      </c>
      <c r="K168">
        <v>5</v>
      </c>
      <c r="L168">
        <v>53</v>
      </c>
      <c r="M168" t="s">
        <v>20</v>
      </c>
      <c r="N168" t="s">
        <v>24</v>
      </c>
      <c r="O168">
        <v>25196</v>
      </c>
      <c r="P168">
        <v>178</v>
      </c>
      <c r="Q168" t="s">
        <v>23</v>
      </c>
      <c r="R168" t="str">
        <f t="shared" si="3"/>
        <v>Yes</v>
      </c>
    </row>
    <row r="169" spans="1:18" x14ac:dyDescent="0.35">
      <c r="A169" s="1">
        <v>40285</v>
      </c>
      <c r="B169">
        <v>0</v>
      </c>
      <c r="C169" t="s">
        <v>72</v>
      </c>
      <c r="D169" t="s">
        <v>60</v>
      </c>
      <c r="E169" t="s">
        <v>18</v>
      </c>
      <c r="F169">
        <v>11</v>
      </c>
      <c r="G169" t="s">
        <v>62</v>
      </c>
      <c r="H169" t="s">
        <v>18</v>
      </c>
      <c r="I169">
        <v>11</v>
      </c>
      <c r="J169">
        <v>0</v>
      </c>
      <c r="K169">
        <v>5</v>
      </c>
      <c r="L169">
        <v>51</v>
      </c>
      <c r="M169" t="s">
        <v>20</v>
      </c>
      <c r="N169" t="s">
        <v>81</v>
      </c>
      <c r="O169">
        <v>31324</v>
      </c>
      <c r="P169">
        <v>186</v>
      </c>
      <c r="Q169" t="s">
        <v>62</v>
      </c>
      <c r="R169" t="str">
        <f t="shared" si="3"/>
        <v>Yes</v>
      </c>
    </row>
    <row r="170" spans="1:18" x14ac:dyDescent="0.35">
      <c r="A170" s="1">
        <v>40285</v>
      </c>
      <c r="B170">
        <v>0</v>
      </c>
      <c r="C170" t="s">
        <v>72</v>
      </c>
      <c r="D170" t="s">
        <v>19</v>
      </c>
      <c r="E170" t="s">
        <v>18</v>
      </c>
      <c r="F170">
        <v>11</v>
      </c>
      <c r="G170" t="s">
        <v>52</v>
      </c>
      <c r="H170" t="s">
        <v>18</v>
      </c>
      <c r="I170">
        <v>11</v>
      </c>
      <c r="J170">
        <v>2</v>
      </c>
      <c r="K170">
        <v>1</v>
      </c>
      <c r="L170">
        <v>120</v>
      </c>
      <c r="M170" t="s">
        <v>38</v>
      </c>
      <c r="N170" t="s">
        <v>82</v>
      </c>
      <c r="O170">
        <v>43709</v>
      </c>
      <c r="P170">
        <v>413</v>
      </c>
      <c r="Q170" t="s">
        <v>19</v>
      </c>
      <c r="R170" t="str">
        <f t="shared" si="3"/>
        <v>No</v>
      </c>
    </row>
    <row r="171" spans="1:18" x14ac:dyDescent="0.35">
      <c r="A171" s="1">
        <v>40285</v>
      </c>
      <c r="B171">
        <v>0</v>
      </c>
      <c r="C171" t="s">
        <v>72</v>
      </c>
      <c r="D171" t="s">
        <v>68</v>
      </c>
      <c r="E171" t="s">
        <v>18</v>
      </c>
      <c r="F171">
        <v>11</v>
      </c>
      <c r="G171" t="s">
        <v>26</v>
      </c>
      <c r="H171" t="s">
        <v>18</v>
      </c>
      <c r="I171">
        <v>11</v>
      </c>
      <c r="J171">
        <v>0</v>
      </c>
      <c r="K171">
        <v>8</v>
      </c>
      <c r="L171">
        <v>51</v>
      </c>
      <c r="M171" t="s">
        <v>38</v>
      </c>
      <c r="N171" t="s">
        <v>27</v>
      </c>
      <c r="O171">
        <v>18673</v>
      </c>
      <c r="P171">
        <v>146</v>
      </c>
      <c r="Q171" t="s">
        <v>26</v>
      </c>
      <c r="R171" t="str">
        <f t="shared" si="3"/>
        <v>Yes</v>
      </c>
    </row>
    <row r="172" spans="1:18" x14ac:dyDescent="0.35">
      <c r="A172" s="1">
        <v>40286</v>
      </c>
      <c r="B172">
        <v>0</v>
      </c>
      <c r="C172" t="s">
        <v>73</v>
      </c>
      <c r="D172" t="s">
        <v>44</v>
      </c>
      <c r="E172" t="s">
        <v>30</v>
      </c>
      <c r="F172">
        <v>12</v>
      </c>
      <c r="G172" t="s">
        <v>58</v>
      </c>
      <c r="H172" t="s">
        <v>30</v>
      </c>
      <c r="I172">
        <v>12</v>
      </c>
      <c r="J172">
        <v>7</v>
      </c>
      <c r="K172">
        <v>1</v>
      </c>
      <c r="L172">
        <v>54</v>
      </c>
      <c r="M172" t="s">
        <v>38</v>
      </c>
      <c r="N172" t="s">
        <v>86</v>
      </c>
      <c r="O172">
        <v>37143</v>
      </c>
      <c r="P172">
        <v>185</v>
      </c>
      <c r="Q172" t="s">
        <v>44</v>
      </c>
      <c r="R172" t="str">
        <f t="shared" si="3"/>
        <v>No</v>
      </c>
    </row>
    <row r="173" spans="1:18" x14ac:dyDescent="0.35">
      <c r="A173" s="1">
        <v>40286</v>
      </c>
      <c r="B173">
        <v>0</v>
      </c>
      <c r="C173" t="s">
        <v>73</v>
      </c>
      <c r="D173" t="s">
        <v>34</v>
      </c>
      <c r="E173" t="s">
        <v>30</v>
      </c>
      <c r="F173">
        <v>13</v>
      </c>
      <c r="G173" t="s">
        <v>33</v>
      </c>
      <c r="H173" t="s">
        <v>30</v>
      </c>
      <c r="I173">
        <v>12</v>
      </c>
      <c r="J173">
        <v>4</v>
      </c>
      <c r="K173">
        <v>7</v>
      </c>
      <c r="L173">
        <v>51</v>
      </c>
      <c r="M173" t="s">
        <v>38</v>
      </c>
      <c r="N173" t="s">
        <v>75</v>
      </c>
      <c r="O173">
        <v>10564</v>
      </c>
      <c r="P173">
        <v>187</v>
      </c>
      <c r="Q173" t="s">
        <v>33</v>
      </c>
      <c r="R173" t="str">
        <f t="shared" si="3"/>
        <v>Yes</v>
      </c>
    </row>
    <row r="174" spans="1:18" x14ac:dyDescent="0.35">
      <c r="A174" s="1">
        <v>40286</v>
      </c>
      <c r="B174">
        <v>0</v>
      </c>
      <c r="C174" t="s">
        <v>73</v>
      </c>
      <c r="D174" t="s">
        <v>37</v>
      </c>
      <c r="E174" t="s">
        <v>30</v>
      </c>
      <c r="F174">
        <v>12</v>
      </c>
      <c r="G174" t="s">
        <v>29</v>
      </c>
      <c r="H174" t="s">
        <v>30</v>
      </c>
      <c r="I174">
        <v>13</v>
      </c>
      <c r="J174">
        <v>10</v>
      </c>
      <c r="K174">
        <v>5</v>
      </c>
      <c r="L174">
        <v>54</v>
      </c>
      <c r="M174" t="s">
        <v>38</v>
      </c>
      <c r="N174" t="s">
        <v>76</v>
      </c>
      <c r="O174">
        <v>38544</v>
      </c>
      <c r="P174">
        <v>190</v>
      </c>
      <c r="Q174" t="s">
        <v>37</v>
      </c>
      <c r="R174" t="str">
        <f t="shared" si="3"/>
        <v>No</v>
      </c>
    </row>
    <row r="175" spans="1:18" x14ac:dyDescent="0.35">
      <c r="A175" s="1">
        <v>40286</v>
      </c>
      <c r="B175">
        <v>0</v>
      </c>
      <c r="C175" t="s">
        <v>73</v>
      </c>
      <c r="D175" t="s">
        <v>47</v>
      </c>
      <c r="E175" t="s">
        <v>30</v>
      </c>
      <c r="F175">
        <v>12</v>
      </c>
      <c r="G175" t="s">
        <v>59</v>
      </c>
      <c r="H175" t="s">
        <v>30</v>
      </c>
      <c r="I175">
        <v>12</v>
      </c>
      <c r="J175">
        <v>2</v>
      </c>
      <c r="K175">
        <v>5</v>
      </c>
      <c r="L175">
        <v>51</v>
      </c>
      <c r="M175" t="s">
        <v>38</v>
      </c>
      <c r="N175" t="s">
        <v>84</v>
      </c>
      <c r="O175">
        <v>44121</v>
      </c>
      <c r="P175">
        <v>172</v>
      </c>
      <c r="Q175" t="s">
        <v>59</v>
      </c>
      <c r="R175" t="str">
        <f t="shared" si="3"/>
        <v>Yes</v>
      </c>
    </row>
    <row r="176" spans="1:18" x14ac:dyDescent="0.35">
      <c r="A176" s="1">
        <v>40286</v>
      </c>
      <c r="B176">
        <v>0</v>
      </c>
      <c r="C176" t="s">
        <v>73</v>
      </c>
      <c r="D176" t="s">
        <v>43</v>
      </c>
      <c r="E176" t="s">
        <v>30</v>
      </c>
      <c r="F176">
        <v>13</v>
      </c>
      <c r="G176" t="s">
        <v>41</v>
      </c>
      <c r="H176" t="s">
        <v>30</v>
      </c>
      <c r="I176">
        <v>14</v>
      </c>
      <c r="J176">
        <v>8</v>
      </c>
      <c r="K176">
        <v>3</v>
      </c>
      <c r="L176">
        <v>54</v>
      </c>
      <c r="M176" t="s">
        <v>38</v>
      </c>
      <c r="N176" t="s">
        <v>42</v>
      </c>
      <c r="O176">
        <v>14451</v>
      </c>
      <c r="P176">
        <v>152</v>
      </c>
      <c r="Q176" t="s">
        <v>43</v>
      </c>
      <c r="R176" t="str">
        <f t="shared" si="3"/>
        <v>No</v>
      </c>
    </row>
    <row r="177" spans="1:18" x14ac:dyDescent="0.35">
      <c r="A177" s="1">
        <v>40286</v>
      </c>
      <c r="B177">
        <v>0</v>
      </c>
      <c r="C177" t="s">
        <v>73</v>
      </c>
      <c r="D177" t="s">
        <v>36</v>
      </c>
      <c r="E177" t="s">
        <v>30</v>
      </c>
      <c r="F177">
        <v>12</v>
      </c>
      <c r="G177" t="s">
        <v>40</v>
      </c>
      <c r="H177" t="s">
        <v>30</v>
      </c>
      <c r="I177">
        <v>13</v>
      </c>
      <c r="J177">
        <v>4</v>
      </c>
      <c r="K177">
        <v>2</v>
      </c>
      <c r="L177">
        <v>54</v>
      </c>
      <c r="M177" t="s">
        <v>38</v>
      </c>
      <c r="N177" t="s">
        <v>77</v>
      </c>
      <c r="O177">
        <v>30419</v>
      </c>
      <c r="P177">
        <v>181</v>
      </c>
      <c r="Q177" t="s">
        <v>36</v>
      </c>
      <c r="R177" t="str">
        <f t="shared" si="3"/>
        <v>No</v>
      </c>
    </row>
    <row r="178" spans="1:18" x14ac:dyDescent="0.35">
      <c r="A178" s="1">
        <v>40286</v>
      </c>
      <c r="B178">
        <v>0</v>
      </c>
      <c r="C178" t="s">
        <v>73</v>
      </c>
      <c r="D178" t="s">
        <v>31</v>
      </c>
      <c r="E178" t="s">
        <v>30</v>
      </c>
      <c r="F178">
        <v>13</v>
      </c>
      <c r="G178" t="s">
        <v>46</v>
      </c>
      <c r="H178" t="s">
        <v>30</v>
      </c>
      <c r="I178">
        <v>13</v>
      </c>
      <c r="J178">
        <v>3</v>
      </c>
      <c r="K178">
        <v>1</v>
      </c>
      <c r="L178">
        <v>54</v>
      </c>
      <c r="M178" t="s">
        <v>38</v>
      </c>
      <c r="N178" t="s">
        <v>78</v>
      </c>
      <c r="O178">
        <v>14246</v>
      </c>
      <c r="P178">
        <v>141</v>
      </c>
      <c r="Q178" t="s">
        <v>31</v>
      </c>
      <c r="R178" t="str">
        <f t="shared" si="3"/>
        <v>No</v>
      </c>
    </row>
    <row r="179" spans="1:18" x14ac:dyDescent="0.35">
      <c r="A179" s="1">
        <v>40286</v>
      </c>
      <c r="B179">
        <v>0</v>
      </c>
      <c r="C179" t="s">
        <v>73</v>
      </c>
      <c r="D179" t="s">
        <v>63</v>
      </c>
      <c r="E179" t="s">
        <v>18</v>
      </c>
      <c r="F179">
        <v>12</v>
      </c>
      <c r="G179" t="s">
        <v>50</v>
      </c>
      <c r="H179" t="s">
        <v>18</v>
      </c>
      <c r="I179">
        <v>12</v>
      </c>
      <c r="J179">
        <v>3</v>
      </c>
      <c r="K179">
        <v>4</v>
      </c>
      <c r="L179">
        <v>53</v>
      </c>
      <c r="M179" t="s">
        <v>38</v>
      </c>
      <c r="N179" t="s">
        <v>51</v>
      </c>
      <c r="O179">
        <v>26546</v>
      </c>
      <c r="P179">
        <v>193</v>
      </c>
      <c r="Q179" t="s">
        <v>50</v>
      </c>
      <c r="R179" t="str">
        <f t="shared" si="3"/>
        <v>Yes</v>
      </c>
    </row>
    <row r="180" spans="1:18" x14ac:dyDescent="0.35">
      <c r="A180" s="1">
        <v>40286</v>
      </c>
      <c r="B180">
        <v>0</v>
      </c>
      <c r="C180" t="s">
        <v>73</v>
      </c>
      <c r="D180" t="s">
        <v>66</v>
      </c>
      <c r="E180" t="s">
        <v>18</v>
      </c>
      <c r="F180">
        <v>12</v>
      </c>
      <c r="G180" t="s">
        <v>49</v>
      </c>
      <c r="H180" t="s">
        <v>18</v>
      </c>
      <c r="I180">
        <v>12</v>
      </c>
      <c r="J180">
        <v>3</v>
      </c>
      <c r="K180">
        <v>2</v>
      </c>
      <c r="L180">
        <v>60</v>
      </c>
      <c r="M180" t="s">
        <v>38</v>
      </c>
      <c r="N180" t="s">
        <v>79</v>
      </c>
      <c r="O180">
        <v>39506</v>
      </c>
      <c r="P180">
        <v>174</v>
      </c>
      <c r="Q180" t="s">
        <v>66</v>
      </c>
      <c r="R180" t="str">
        <f t="shared" si="3"/>
        <v>No</v>
      </c>
    </row>
    <row r="181" spans="1:18" x14ac:dyDescent="0.35">
      <c r="A181" s="1">
        <v>40286</v>
      </c>
      <c r="B181">
        <v>0</v>
      </c>
      <c r="C181" t="s">
        <v>73</v>
      </c>
      <c r="D181" t="s">
        <v>70</v>
      </c>
      <c r="E181" t="s">
        <v>18</v>
      </c>
      <c r="F181">
        <v>12</v>
      </c>
      <c r="G181" t="s">
        <v>22</v>
      </c>
      <c r="H181" t="s">
        <v>18</v>
      </c>
      <c r="I181">
        <v>12</v>
      </c>
      <c r="J181">
        <v>1</v>
      </c>
      <c r="K181">
        <v>2</v>
      </c>
      <c r="L181">
        <v>51</v>
      </c>
      <c r="M181" t="s">
        <v>38</v>
      </c>
      <c r="N181" t="s">
        <v>85</v>
      </c>
      <c r="O181">
        <v>50433</v>
      </c>
      <c r="P181">
        <v>156</v>
      </c>
      <c r="Q181" t="s">
        <v>22</v>
      </c>
      <c r="R181" t="str">
        <f t="shared" si="3"/>
        <v>Yes</v>
      </c>
    </row>
    <row r="182" spans="1:18" x14ac:dyDescent="0.35">
      <c r="A182" s="1">
        <v>40286</v>
      </c>
      <c r="B182">
        <v>0</v>
      </c>
      <c r="C182" t="s">
        <v>73</v>
      </c>
      <c r="D182" t="s">
        <v>17</v>
      </c>
      <c r="E182" t="s">
        <v>18</v>
      </c>
      <c r="F182">
        <v>13</v>
      </c>
      <c r="G182" t="s">
        <v>25</v>
      </c>
      <c r="H182" t="s">
        <v>18</v>
      </c>
      <c r="I182">
        <v>12</v>
      </c>
      <c r="J182">
        <v>2</v>
      </c>
      <c r="K182">
        <v>0</v>
      </c>
      <c r="L182">
        <v>54</v>
      </c>
      <c r="M182" t="s">
        <v>38</v>
      </c>
      <c r="N182" t="s">
        <v>80</v>
      </c>
      <c r="O182">
        <v>45405</v>
      </c>
      <c r="P182">
        <v>149</v>
      </c>
      <c r="Q182" t="s">
        <v>17</v>
      </c>
      <c r="R182" t="str">
        <f t="shared" si="3"/>
        <v>No</v>
      </c>
    </row>
    <row r="183" spans="1:18" x14ac:dyDescent="0.35">
      <c r="A183" s="1">
        <v>40286</v>
      </c>
      <c r="B183">
        <v>0</v>
      </c>
      <c r="C183" t="s">
        <v>73</v>
      </c>
      <c r="D183" t="s">
        <v>53</v>
      </c>
      <c r="E183" t="s">
        <v>18</v>
      </c>
      <c r="F183">
        <v>13</v>
      </c>
      <c r="G183" t="s">
        <v>23</v>
      </c>
      <c r="H183" t="s">
        <v>18</v>
      </c>
      <c r="I183">
        <v>12</v>
      </c>
      <c r="J183">
        <v>3</v>
      </c>
      <c r="K183">
        <v>5</v>
      </c>
      <c r="L183">
        <v>51</v>
      </c>
      <c r="M183" t="s">
        <v>38</v>
      </c>
      <c r="N183" t="s">
        <v>24</v>
      </c>
      <c r="O183">
        <v>13860</v>
      </c>
      <c r="P183">
        <v>149</v>
      </c>
      <c r="Q183" t="s">
        <v>23</v>
      </c>
      <c r="R183" t="str">
        <f t="shared" si="3"/>
        <v>Yes</v>
      </c>
    </row>
    <row r="184" spans="1:18" x14ac:dyDescent="0.35">
      <c r="A184" s="1">
        <v>40286</v>
      </c>
      <c r="B184">
        <v>0</v>
      </c>
      <c r="C184" t="s">
        <v>73</v>
      </c>
      <c r="D184" t="s">
        <v>60</v>
      </c>
      <c r="E184" t="s">
        <v>18</v>
      </c>
      <c r="F184">
        <v>12</v>
      </c>
      <c r="G184" t="s">
        <v>62</v>
      </c>
      <c r="H184" t="s">
        <v>18</v>
      </c>
      <c r="I184">
        <v>12</v>
      </c>
      <c r="J184">
        <v>3</v>
      </c>
      <c r="K184">
        <v>5</v>
      </c>
      <c r="L184">
        <v>51</v>
      </c>
      <c r="M184" t="s">
        <v>38</v>
      </c>
      <c r="N184" t="s">
        <v>81</v>
      </c>
      <c r="O184">
        <v>20634</v>
      </c>
      <c r="P184">
        <v>183</v>
      </c>
      <c r="Q184" t="s">
        <v>62</v>
      </c>
      <c r="R184" t="str">
        <f t="shared" si="3"/>
        <v>Yes</v>
      </c>
    </row>
    <row r="185" spans="1:18" x14ac:dyDescent="0.35">
      <c r="A185" s="1">
        <v>40286</v>
      </c>
      <c r="B185">
        <v>0</v>
      </c>
      <c r="C185" t="s">
        <v>73</v>
      </c>
      <c r="D185" t="s">
        <v>19</v>
      </c>
      <c r="E185" t="s">
        <v>18</v>
      </c>
      <c r="F185">
        <v>12</v>
      </c>
      <c r="G185" t="s">
        <v>52</v>
      </c>
      <c r="H185" t="s">
        <v>18</v>
      </c>
      <c r="I185">
        <v>12</v>
      </c>
      <c r="J185">
        <v>3</v>
      </c>
      <c r="K185">
        <v>5</v>
      </c>
      <c r="L185">
        <v>51</v>
      </c>
      <c r="M185" t="s">
        <v>20</v>
      </c>
      <c r="N185" t="s">
        <v>82</v>
      </c>
      <c r="O185">
        <v>40007</v>
      </c>
      <c r="P185">
        <v>163</v>
      </c>
      <c r="Q185" t="s">
        <v>52</v>
      </c>
      <c r="R185" t="str">
        <f t="shared" si="3"/>
        <v>Yes</v>
      </c>
    </row>
    <row r="186" spans="1:18" x14ac:dyDescent="0.35">
      <c r="A186" s="1">
        <v>40286</v>
      </c>
      <c r="B186">
        <v>0</v>
      </c>
      <c r="C186" t="s">
        <v>73</v>
      </c>
      <c r="D186" t="s">
        <v>68</v>
      </c>
      <c r="E186" t="s">
        <v>18</v>
      </c>
      <c r="F186">
        <v>12</v>
      </c>
      <c r="G186" t="s">
        <v>26</v>
      </c>
      <c r="H186" t="s">
        <v>18</v>
      </c>
      <c r="I186">
        <v>12</v>
      </c>
      <c r="J186">
        <v>11</v>
      </c>
      <c r="K186">
        <v>7</v>
      </c>
      <c r="L186">
        <v>54</v>
      </c>
      <c r="M186" t="s">
        <v>38</v>
      </c>
      <c r="N186" t="s">
        <v>27</v>
      </c>
      <c r="O186">
        <v>18789</v>
      </c>
      <c r="P186">
        <v>209</v>
      </c>
      <c r="Q186" t="s">
        <v>68</v>
      </c>
      <c r="R186" t="str">
        <f t="shared" si="3"/>
        <v>No</v>
      </c>
    </row>
    <row r="187" spans="1:18" x14ac:dyDescent="0.35">
      <c r="A187" s="1">
        <v>40287</v>
      </c>
      <c r="B187">
        <v>0</v>
      </c>
      <c r="C187" t="s">
        <v>74</v>
      </c>
      <c r="D187" t="s">
        <v>36</v>
      </c>
      <c r="E187" t="s">
        <v>30</v>
      </c>
      <c r="F187">
        <v>13</v>
      </c>
      <c r="G187" t="s">
        <v>31</v>
      </c>
      <c r="H187" t="s">
        <v>30</v>
      </c>
      <c r="I187">
        <v>14</v>
      </c>
      <c r="J187">
        <v>0</v>
      </c>
      <c r="K187">
        <v>2</v>
      </c>
      <c r="L187">
        <v>51</v>
      </c>
      <c r="M187" t="s">
        <v>20</v>
      </c>
      <c r="N187" t="s">
        <v>32</v>
      </c>
      <c r="O187">
        <v>36006</v>
      </c>
      <c r="P187">
        <v>139</v>
      </c>
      <c r="Q187" t="s">
        <v>31</v>
      </c>
      <c r="R187" t="str">
        <f t="shared" si="3"/>
        <v>Yes</v>
      </c>
    </row>
    <row r="188" spans="1:18" x14ac:dyDescent="0.35">
      <c r="A188" s="1">
        <v>40287</v>
      </c>
      <c r="B188">
        <v>0</v>
      </c>
      <c r="C188" t="s">
        <v>74</v>
      </c>
      <c r="D188" t="s">
        <v>44</v>
      </c>
      <c r="E188" t="s">
        <v>30</v>
      </c>
      <c r="F188">
        <v>13</v>
      </c>
      <c r="G188" t="s">
        <v>58</v>
      </c>
      <c r="H188" t="s">
        <v>30</v>
      </c>
      <c r="I188">
        <v>13</v>
      </c>
      <c r="J188">
        <v>8</v>
      </c>
      <c r="K188">
        <v>2</v>
      </c>
      <c r="L188">
        <v>54</v>
      </c>
      <c r="M188" t="s">
        <v>38</v>
      </c>
      <c r="N188" t="s">
        <v>86</v>
      </c>
      <c r="O188">
        <v>37609</v>
      </c>
      <c r="P188">
        <v>169</v>
      </c>
      <c r="Q188" t="s">
        <v>44</v>
      </c>
      <c r="R188" t="str">
        <f t="shared" si="3"/>
        <v>No</v>
      </c>
    </row>
    <row r="189" spans="1:18" x14ac:dyDescent="0.35">
      <c r="A189" s="1">
        <v>40287</v>
      </c>
      <c r="B189">
        <v>0</v>
      </c>
      <c r="C189" t="s">
        <v>74</v>
      </c>
      <c r="D189" t="s">
        <v>43</v>
      </c>
      <c r="E189" t="s">
        <v>30</v>
      </c>
      <c r="F189">
        <v>14</v>
      </c>
      <c r="G189" t="s">
        <v>40</v>
      </c>
      <c r="H189" t="s">
        <v>30</v>
      </c>
      <c r="I189">
        <v>14</v>
      </c>
      <c r="J189">
        <v>2</v>
      </c>
      <c r="K189">
        <v>8</v>
      </c>
      <c r="L189">
        <v>51</v>
      </c>
      <c r="M189" t="s">
        <v>20</v>
      </c>
      <c r="N189" t="s">
        <v>77</v>
      </c>
      <c r="O189">
        <v>14528</v>
      </c>
      <c r="P189">
        <v>144</v>
      </c>
      <c r="Q189" t="s">
        <v>40</v>
      </c>
      <c r="R189" t="str">
        <f t="shared" si="3"/>
        <v>Yes</v>
      </c>
    </row>
    <row r="190" spans="1:18" x14ac:dyDescent="0.35">
      <c r="A190" s="1">
        <v>40287</v>
      </c>
      <c r="B190">
        <v>0</v>
      </c>
      <c r="C190" t="s">
        <v>74</v>
      </c>
      <c r="D190" t="s">
        <v>37</v>
      </c>
      <c r="E190" t="s">
        <v>30</v>
      </c>
      <c r="F190">
        <v>13</v>
      </c>
      <c r="G190" t="s">
        <v>46</v>
      </c>
      <c r="H190" t="s">
        <v>30</v>
      </c>
      <c r="I190">
        <v>14</v>
      </c>
      <c r="J190">
        <v>1</v>
      </c>
      <c r="K190">
        <v>8</v>
      </c>
      <c r="L190">
        <v>51</v>
      </c>
      <c r="M190" t="s">
        <v>20</v>
      </c>
      <c r="N190" t="s">
        <v>78</v>
      </c>
      <c r="O190">
        <v>10314</v>
      </c>
      <c r="P190">
        <v>162</v>
      </c>
      <c r="Q190" t="s">
        <v>46</v>
      </c>
      <c r="R190" t="str">
        <f t="shared" si="3"/>
        <v>Yes</v>
      </c>
    </row>
    <row r="191" spans="1:18" x14ac:dyDescent="0.35">
      <c r="A191" s="1">
        <v>40287</v>
      </c>
      <c r="B191">
        <v>0</v>
      </c>
      <c r="C191" t="s">
        <v>74</v>
      </c>
      <c r="D191" t="s">
        <v>52</v>
      </c>
      <c r="E191" t="s">
        <v>18</v>
      </c>
      <c r="F191">
        <v>13</v>
      </c>
      <c r="G191" t="s">
        <v>60</v>
      </c>
      <c r="H191" t="s">
        <v>18</v>
      </c>
      <c r="I191">
        <v>13</v>
      </c>
      <c r="J191">
        <v>4</v>
      </c>
      <c r="K191">
        <v>2</v>
      </c>
      <c r="L191">
        <v>54</v>
      </c>
      <c r="M191" t="s">
        <v>20</v>
      </c>
      <c r="N191" t="s">
        <v>61</v>
      </c>
      <c r="O191">
        <v>24167</v>
      </c>
      <c r="P191">
        <v>188</v>
      </c>
      <c r="Q191" t="s">
        <v>52</v>
      </c>
      <c r="R191" t="str">
        <f t="shared" si="3"/>
        <v>No</v>
      </c>
    </row>
    <row r="192" spans="1:18" x14ac:dyDescent="0.35">
      <c r="A192" s="1">
        <v>40287</v>
      </c>
      <c r="B192">
        <v>0</v>
      </c>
      <c r="C192" t="s">
        <v>74</v>
      </c>
      <c r="D192" t="s">
        <v>49</v>
      </c>
      <c r="E192" t="s">
        <v>18</v>
      </c>
      <c r="F192">
        <v>13</v>
      </c>
      <c r="G192" t="s">
        <v>19</v>
      </c>
      <c r="H192" t="s">
        <v>18</v>
      </c>
      <c r="I192">
        <v>13</v>
      </c>
      <c r="J192">
        <v>1</v>
      </c>
      <c r="K192">
        <v>6</v>
      </c>
      <c r="L192">
        <v>51</v>
      </c>
      <c r="M192" t="s">
        <v>20</v>
      </c>
      <c r="N192" t="s">
        <v>21</v>
      </c>
      <c r="O192">
        <v>27940</v>
      </c>
      <c r="P192">
        <v>182</v>
      </c>
      <c r="Q192" t="s">
        <v>19</v>
      </c>
      <c r="R192" t="str">
        <f t="shared" si="3"/>
        <v>Yes</v>
      </c>
    </row>
    <row r="193" spans="1:18" x14ac:dyDescent="0.35">
      <c r="A193" s="1">
        <v>40287</v>
      </c>
      <c r="B193">
        <v>0</v>
      </c>
      <c r="C193" t="s">
        <v>74</v>
      </c>
      <c r="D193" t="s">
        <v>70</v>
      </c>
      <c r="E193" t="s">
        <v>18</v>
      </c>
      <c r="F193">
        <v>13</v>
      </c>
      <c r="G193" t="s">
        <v>62</v>
      </c>
      <c r="H193" t="s">
        <v>18</v>
      </c>
      <c r="I193">
        <v>13</v>
      </c>
      <c r="J193">
        <v>2</v>
      </c>
      <c r="K193">
        <v>3</v>
      </c>
      <c r="L193">
        <v>57</v>
      </c>
      <c r="M193" t="s">
        <v>20</v>
      </c>
      <c r="N193" t="s">
        <v>81</v>
      </c>
      <c r="O193">
        <v>17087</v>
      </c>
      <c r="P193">
        <v>172</v>
      </c>
      <c r="Q193" t="s">
        <v>62</v>
      </c>
      <c r="R193" t="str">
        <f t="shared" si="3"/>
        <v>Yes</v>
      </c>
    </row>
    <row r="194" spans="1:18" x14ac:dyDescent="0.35">
      <c r="A194" s="1">
        <v>40287</v>
      </c>
      <c r="B194">
        <v>0</v>
      </c>
      <c r="C194" t="s">
        <v>74</v>
      </c>
      <c r="D194" t="s">
        <v>63</v>
      </c>
      <c r="E194" t="s">
        <v>18</v>
      </c>
      <c r="F194">
        <v>13</v>
      </c>
      <c r="G194" t="s">
        <v>26</v>
      </c>
      <c r="H194" t="s">
        <v>18</v>
      </c>
      <c r="I194">
        <v>13</v>
      </c>
      <c r="J194">
        <v>2</v>
      </c>
      <c r="K194">
        <v>5</v>
      </c>
      <c r="L194">
        <v>51</v>
      </c>
      <c r="M194" t="s">
        <v>20</v>
      </c>
      <c r="N194" t="s">
        <v>27</v>
      </c>
      <c r="O194">
        <v>11623</v>
      </c>
      <c r="P194">
        <v>161</v>
      </c>
      <c r="Q194" t="s">
        <v>26</v>
      </c>
      <c r="R194" t="str">
        <f t="shared" si="3"/>
        <v>Yes</v>
      </c>
    </row>
    <row r="195" spans="1:18" x14ac:dyDescent="0.35">
      <c r="A195" s="1">
        <v>40288</v>
      </c>
      <c r="B195">
        <v>0</v>
      </c>
      <c r="C195" t="s">
        <v>83</v>
      </c>
      <c r="D195" t="s">
        <v>36</v>
      </c>
      <c r="E195" t="s">
        <v>30</v>
      </c>
      <c r="F195">
        <v>14</v>
      </c>
      <c r="G195" t="s">
        <v>31</v>
      </c>
      <c r="H195" t="s">
        <v>30</v>
      </c>
      <c r="I195">
        <v>15</v>
      </c>
      <c r="J195">
        <v>5</v>
      </c>
      <c r="K195">
        <v>6</v>
      </c>
      <c r="L195">
        <v>51</v>
      </c>
      <c r="M195" t="s">
        <v>20</v>
      </c>
      <c r="N195" t="s">
        <v>32</v>
      </c>
      <c r="O195">
        <v>35266</v>
      </c>
      <c r="P195">
        <v>189</v>
      </c>
      <c r="Q195" t="s">
        <v>31</v>
      </c>
      <c r="R195" t="str">
        <f t="shared" ref="R195:R258" si="4">IF(K195&gt;J195,"Yes","No")</f>
        <v>Yes</v>
      </c>
    </row>
    <row r="196" spans="1:18" x14ac:dyDescent="0.35">
      <c r="A196" s="1">
        <v>40288</v>
      </c>
      <c r="B196">
        <v>0</v>
      </c>
      <c r="C196" t="s">
        <v>83</v>
      </c>
      <c r="D196" t="s">
        <v>47</v>
      </c>
      <c r="E196" t="s">
        <v>30</v>
      </c>
      <c r="F196">
        <v>13</v>
      </c>
      <c r="G196" t="s">
        <v>58</v>
      </c>
      <c r="H196" t="s">
        <v>30</v>
      </c>
      <c r="I196">
        <v>14</v>
      </c>
      <c r="J196">
        <v>6</v>
      </c>
      <c r="K196">
        <v>7</v>
      </c>
      <c r="L196">
        <v>53</v>
      </c>
      <c r="M196" t="s">
        <v>20</v>
      </c>
      <c r="N196" t="s">
        <v>86</v>
      </c>
      <c r="O196">
        <v>37614</v>
      </c>
      <c r="P196">
        <v>226</v>
      </c>
      <c r="Q196" t="s">
        <v>58</v>
      </c>
      <c r="R196" t="str">
        <f t="shared" si="4"/>
        <v>Yes</v>
      </c>
    </row>
    <row r="197" spans="1:18" x14ac:dyDescent="0.35">
      <c r="A197" s="1">
        <v>40288</v>
      </c>
      <c r="B197">
        <v>0</v>
      </c>
      <c r="C197" t="s">
        <v>83</v>
      </c>
      <c r="D197" t="s">
        <v>44</v>
      </c>
      <c r="E197" t="s">
        <v>30</v>
      </c>
      <c r="F197">
        <v>14</v>
      </c>
      <c r="G197" t="s">
        <v>34</v>
      </c>
      <c r="H197" t="s">
        <v>30</v>
      </c>
      <c r="I197">
        <v>14</v>
      </c>
      <c r="J197">
        <v>1</v>
      </c>
      <c r="K197">
        <v>4</v>
      </c>
      <c r="L197">
        <v>51</v>
      </c>
      <c r="M197" t="s">
        <v>20</v>
      </c>
      <c r="N197" t="s">
        <v>35</v>
      </c>
      <c r="O197">
        <v>19260</v>
      </c>
      <c r="P197">
        <v>142</v>
      </c>
      <c r="Q197" t="s">
        <v>34</v>
      </c>
      <c r="R197" t="str">
        <f t="shared" si="4"/>
        <v>Yes</v>
      </c>
    </row>
    <row r="198" spans="1:18" x14ac:dyDescent="0.35">
      <c r="A198" s="1">
        <v>40288</v>
      </c>
      <c r="B198">
        <v>0</v>
      </c>
      <c r="C198" t="s">
        <v>83</v>
      </c>
      <c r="D198" t="s">
        <v>33</v>
      </c>
      <c r="E198" t="s">
        <v>30</v>
      </c>
      <c r="F198">
        <v>13</v>
      </c>
      <c r="G198" t="s">
        <v>29</v>
      </c>
      <c r="H198" t="s">
        <v>30</v>
      </c>
      <c r="I198">
        <v>14</v>
      </c>
      <c r="J198">
        <v>1</v>
      </c>
      <c r="K198">
        <v>5</v>
      </c>
      <c r="L198">
        <v>51</v>
      </c>
      <c r="M198" t="s">
        <v>20</v>
      </c>
      <c r="N198" t="s">
        <v>76</v>
      </c>
      <c r="O198">
        <v>38985</v>
      </c>
      <c r="P198">
        <v>143</v>
      </c>
      <c r="Q198" t="s">
        <v>29</v>
      </c>
      <c r="R198" t="str">
        <f t="shared" si="4"/>
        <v>Yes</v>
      </c>
    </row>
    <row r="199" spans="1:18" x14ac:dyDescent="0.35">
      <c r="A199" s="1">
        <v>40288</v>
      </c>
      <c r="B199">
        <v>0</v>
      </c>
      <c r="C199" t="s">
        <v>83</v>
      </c>
      <c r="D199" t="s">
        <v>59</v>
      </c>
      <c r="E199" t="s">
        <v>30</v>
      </c>
      <c r="F199">
        <v>13</v>
      </c>
      <c r="G199" t="s">
        <v>41</v>
      </c>
      <c r="H199" t="s">
        <v>30</v>
      </c>
      <c r="I199">
        <v>15</v>
      </c>
      <c r="J199">
        <v>7</v>
      </c>
      <c r="K199">
        <v>3</v>
      </c>
      <c r="L199">
        <v>54</v>
      </c>
      <c r="M199" t="s">
        <v>20</v>
      </c>
      <c r="N199" t="s">
        <v>42</v>
      </c>
      <c r="O199">
        <v>19849</v>
      </c>
      <c r="P199">
        <v>201</v>
      </c>
      <c r="Q199" t="s">
        <v>59</v>
      </c>
      <c r="R199" t="str">
        <f t="shared" si="4"/>
        <v>No</v>
      </c>
    </row>
    <row r="200" spans="1:18" x14ac:dyDescent="0.35">
      <c r="A200" s="1">
        <v>40288</v>
      </c>
      <c r="B200">
        <v>0</v>
      </c>
      <c r="C200" t="s">
        <v>83</v>
      </c>
      <c r="D200" t="s">
        <v>43</v>
      </c>
      <c r="E200" t="s">
        <v>30</v>
      </c>
      <c r="F200">
        <v>15</v>
      </c>
      <c r="G200" t="s">
        <v>40</v>
      </c>
      <c r="H200" t="s">
        <v>30</v>
      </c>
      <c r="I200">
        <v>15</v>
      </c>
      <c r="J200">
        <v>1</v>
      </c>
      <c r="K200">
        <v>3</v>
      </c>
      <c r="L200">
        <v>51</v>
      </c>
      <c r="M200" t="s">
        <v>20</v>
      </c>
      <c r="N200" t="s">
        <v>77</v>
      </c>
      <c r="O200">
        <v>15931</v>
      </c>
      <c r="P200">
        <v>141</v>
      </c>
      <c r="Q200" t="s">
        <v>40</v>
      </c>
      <c r="R200" t="str">
        <f t="shared" si="4"/>
        <v>Yes</v>
      </c>
    </row>
    <row r="201" spans="1:18" x14ac:dyDescent="0.35">
      <c r="A201" s="1">
        <v>40288</v>
      </c>
      <c r="B201">
        <v>0</v>
      </c>
      <c r="C201" t="s">
        <v>83</v>
      </c>
      <c r="D201" t="s">
        <v>37</v>
      </c>
      <c r="E201" t="s">
        <v>30</v>
      </c>
      <c r="F201">
        <v>14</v>
      </c>
      <c r="G201" t="s">
        <v>46</v>
      </c>
      <c r="H201" t="s">
        <v>30</v>
      </c>
      <c r="I201">
        <v>15</v>
      </c>
      <c r="J201">
        <v>3</v>
      </c>
      <c r="K201">
        <v>4</v>
      </c>
      <c r="L201">
        <v>51</v>
      </c>
      <c r="M201" t="s">
        <v>20</v>
      </c>
      <c r="N201" t="s">
        <v>78</v>
      </c>
      <c r="O201">
        <v>10565</v>
      </c>
      <c r="P201">
        <v>150</v>
      </c>
      <c r="Q201" t="s">
        <v>46</v>
      </c>
      <c r="R201" t="str">
        <f t="shared" si="4"/>
        <v>Yes</v>
      </c>
    </row>
    <row r="202" spans="1:18" x14ac:dyDescent="0.35">
      <c r="A202" s="1">
        <v>40288</v>
      </c>
      <c r="B202">
        <v>0</v>
      </c>
      <c r="C202" t="s">
        <v>83</v>
      </c>
      <c r="D202" t="s">
        <v>52</v>
      </c>
      <c r="E202" t="s">
        <v>18</v>
      </c>
      <c r="F202">
        <v>14</v>
      </c>
      <c r="G202" t="s">
        <v>60</v>
      </c>
      <c r="H202" t="s">
        <v>18</v>
      </c>
      <c r="I202">
        <v>14</v>
      </c>
      <c r="J202">
        <v>7</v>
      </c>
      <c r="K202">
        <v>9</v>
      </c>
      <c r="L202">
        <v>51</v>
      </c>
      <c r="M202" t="s">
        <v>20</v>
      </c>
      <c r="N202" t="s">
        <v>61</v>
      </c>
      <c r="O202">
        <v>19855</v>
      </c>
      <c r="P202">
        <v>184</v>
      </c>
      <c r="Q202" t="s">
        <v>60</v>
      </c>
      <c r="R202" t="str">
        <f t="shared" si="4"/>
        <v>Yes</v>
      </c>
    </row>
    <row r="203" spans="1:18" x14ac:dyDescent="0.35">
      <c r="A203" s="1">
        <v>40288</v>
      </c>
      <c r="B203">
        <v>0</v>
      </c>
      <c r="C203" t="s">
        <v>83</v>
      </c>
      <c r="D203" t="s">
        <v>25</v>
      </c>
      <c r="E203" t="s">
        <v>18</v>
      </c>
      <c r="F203">
        <v>13</v>
      </c>
      <c r="G203" t="s">
        <v>50</v>
      </c>
      <c r="H203" t="s">
        <v>18</v>
      </c>
      <c r="I203">
        <v>13</v>
      </c>
      <c r="J203">
        <v>3</v>
      </c>
      <c r="K203">
        <v>4</v>
      </c>
      <c r="L203">
        <v>57</v>
      </c>
      <c r="M203" t="s">
        <v>20</v>
      </c>
      <c r="N203" t="s">
        <v>51</v>
      </c>
      <c r="O203">
        <v>18032</v>
      </c>
      <c r="P203">
        <v>192</v>
      </c>
      <c r="Q203" t="s">
        <v>50</v>
      </c>
      <c r="R203" t="str">
        <f t="shared" si="4"/>
        <v>Yes</v>
      </c>
    </row>
    <row r="204" spans="1:18" x14ac:dyDescent="0.35">
      <c r="A204" s="1">
        <v>40288</v>
      </c>
      <c r="B204">
        <v>0</v>
      </c>
      <c r="C204" t="s">
        <v>83</v>
      </c>
      <c r="D204" t="s">
        <v>22</v>
      </c>
      <c r="E204" t="s">
        <v>18</v>
      </c>
      <c r="F204">
        <v>13</v>
      </c>
      <c r="G204" t="s">
        <v>53</v>
      </c>
      <c r="H204" t="s">
        <v>18</v>
      </c>
      <c r="I204">
        <v>14</v>
      </c>
      <c r="J204">
        <v>9</v>
      </c>
      <c r="K204">
        <v>11</v>
      </c>
      <c r="L204">
        <v>51</v>
      </c>
      <c r="M204" t="s">
        <v>20</v>
      </c>
      <c r="N204" t="s">
        <v>54</v>
      </c>
      <c r="O204">
        <v>12965</v>
      </c>
      <c r="P204">
        <v>195</v>
      </c>
      <c r="Q204" t="s">
        <v>53</v>
      </c>
      <c r="R204" t="str">
        <f t="shared" si="4"/>
        <v>Yes</v>
      </c>
    </row>
    <row r="205" spans="1:18" x14ac:dyDescent="0.35">
      <c r="A205" s="1">
        <v>40288</v>
      </c>
      <c r="B205">
        <v>0</v>
      </c>
      <c r="C205" t="s">
        <v>83</v>
      </c>
      <c r="D205" t="s">
        <v>17</v>
      </c>
      <c r="E205" t="s">
        <v>18</v>
      </c>
      <c r="F205">
        <v>14</v>
      </c>
      <c r="G205" t="s">
        <v>66</v>
      </c>
      <c r="H205" t="s">
        <v>18</v>
      </c>
      <c r="I205">
        <v>13</v>
      </c>
      <c r="J205">
        <v>5</v>
      </c>
      <c r="K205">
        <v>7</v>
      </c>
      <c r="L205">
        <v>51</v>
      </c>
      <c r="M205" t="s">
        <v>20</v>
      </c>
      <c r="N205" t="s">
        <v>67</v>
      </c>
      <c r="O205">
        <v>24135</v>
      </c>
      <c r="P205">
        <v>161</v>
      </c>
      <c r="Q205" t="s">
        <v>66</v>
      </c>
      <c r="R205" t="str">
        <f t="shared" si="4"/>
        <v>Yes</v>
      </c>
    </row>
    <row r="206" spans="1:18" x14ac:dyDescent="0.35">
      <c r="A206" s="1">
        <v>40288</v>
      </c>
      <c r="B206">
        <v>0</v>
      </c>
      <c r="C206" t="s">
        <v>83</v>
      </c>
      <c r="D206" t="s">
        <v>49</v>
      </c>
      <c r="E206" t="s">
        <v>18</v>
      </c>
      <c r="F206">
        <v>14</v>
      </c>
      <c r="G206" t="s">
        <v>19</v>
      </c>
      <c r="H206" t="s">
        <v>18</v>
      </c>
      <c r="I206">
        <v>14</v>
      </c>
      <c r="J206">
        <v>0</v>
      </c>
      <c r="K206">
        <v>4</v>
      </c>
      <c r="L206">
        <v>51</v>
      </c>
      <c r="M206" t="s">
        <v>20</v>
      </c>
      <c r="N206" t="s">
        <v>21</v>
      </c>
      <c r="O206">
        <v>27502</v>
      </c>
      <c r="P206">
        <v>160</v>
      </c>
      <c r="Q206" t="s">
        <v>19</v>
      </c>
      <c r="R206" t="str">
        <f t="shared" si="4"/>
        <v>Yes</v>
      </c>
    </row>
    <row r="207" spans="1:18" x14ac:dyDescent="0.35">
      <c r="A207" s="1">
        <v>40288</v>
      </c>
      <c r="B207">
        <v>0</v>
      </c>
      <c r="C207" t="s">
        <v>83</v>
      </c>
      <c r="D207" t="s">
        <v>68</v>
      </c>
      <c r="E207" t="s">
        <v>18</v>
      </c>
      <c r="F207">
        <v>13</v>
      </c>
      <c r="G207" t="s">
        <v>23</v>
      </c>
      <c r="H207" t="s">
        <v>18</v>
      </c>
      <c r="I207">
        <v>13</v>
      </c>
      <c r="J207">
        <v>8</v>
      </c>
      <c r="K207">
        <v>1</v>
      </c>
      <c r="L207">
        <v>54</v>
      </c>
      <c r="M207" t="s">
        <v>20</v>
      </c>
      <c r="N207" t="s">
        <v>24</v>
      </c>
      <c r="O207">
        <v>9386</v>
      </c>
      <c r="P207">
        <v>169</v>
      </c>
      <c r="Q207" t="s">
        <v>68</v>
      </c>
      <c r="R207" t="str">
        <f t="shared" si="4"/>
        <v>No</v>
      </c>
    </row>
    <row r="208" spans="1:18" x14ac:dyDescent="0.35">
      <c r="A208" s="1">
        <v>40288</v>
      </c>
      <c r="B208">
        <v>0</v>
      </c>
      <c r="C208" t="s">
        <v>83</v>
      </c>
      <c r="D208" t="s">
        <v>70</v>
      </c>
      <c r="E208" t="s">
        <v>18</v>
      </c>
      <c r="F208">
        <v>14</v>
      </c>
      <c r="G208" t="s">
        <v>62</v>
      </c>
      <c r="H208" t="s">
        <v>18</v>
      </c>
      <c r="I208">
        <v>14</v>
      </c>
      <c r="J208">
        <v>0</v>
      </c>
      <c r="K208">
        <v>1</v>
      </c>
      <c r="L208">
        <v>51</v>
      </c>
      <c r="M208" t="s">
        <v>20</v>
      </c>
      <c r="N208" t="s">
        <v>81</v>
      </c>
      <c r="O208">
        <v>17822</v>
      </c>
      <c r="P208">
        <v>147</v>
      </c>
      <c r="Q208" t="s">
        <v>62</v>
      </c>
      <c r="R208" t="str">
        <f t="shared" si="4"/>
        <v>Yes</v>
      </c>
    </row>
    <row r="209" spans="1:18" x14ac:dyDescent="0.35">
      <c r="A209" s="1">
        <v>40288</v>
      </c>
      <c r="B209">
        <v>0</v>
      </c>
      <c r="C209" t="s">
        <v>83</v>
      </c>
      <c r="D209" t="s">
        <v>63</v>
      </c>
      <c r="E209" t="s">
        <v>18</v>
      </c>
      <c r="F209">
        <v>14</v>
      </c>
      <c r="G209" t="s">
        <v>26</v>
      </c>
      <c r="H209" t="s">
        <v>18</v>
      </c>
      <c r="I209">
        <v>14</v>
      </c>
      <c r="J209">
        <v>10</v>
      </c>
      <c r="K209">
        <v>4</v>
      </c>
      <c r="L209">
        <v>54</v>
      </c>
      <c r="M209" t="s">
        <v>20</v>
      </c>
      <c r="N209" t="s">
        <v>27</v>
      </c>
      <c r="O209">
        <v>15037</v>
      </c>
      <c r="P209">
        <v>207</v>
      </c>
      <c r="Q209" t="s">
        <v>63</v>
      </c>
      <c r="R209" t="str">
        <f t="shared" si="4"/>
        <v>No</v>
      </c>
    </row>
    <row r="210" spans="1:18" x14ac:dyDescent="0.35">
      <c r="A210" s="1">
        <v>40289</v>
      </c>
      <c r="B210">
        <v>0</v>
      </c>
      <c r="C210" t="s">
        <v>16</v>
      </c>
      <c r="D210" t="s">
        <v>36</v>
      </c>
      <c r="E210" t="s">
        <v>30</v>
      </c>
      <c r="F210">
        <v>15</v>
      </c>
      <c r="G210" t="s">
        <v>31</v>
      </c>
      <c r="H210" t="s">
        <v>30</v>
      </c>
      <c r="I210">
        <v>16</v>
      </c>
      <c r="J210">
        <v>4</v>
      </c>
      <c r="K210">
        <v>3</v>
      </c>
      <c r="L210">
        <v>54</v>
      </c>
      <c r="M210" t="s">
        <v>20</v>
      </c>
      <c r="N210" t="s">
        <v>32</v>
      </c>
      <c r="O210">
        <v>35279</v>
      </c>
      <c r="P210">
        <v>175</v>
      </c>
      <c r="Q210" t="s">
        <v>36</v>
      </c>
      <c r="R210" t="str">
        <f t="shared" si="4"/>
        <v>No</v>
      </c>
    </row>
    <row r="211" spans="1:18" x14ac:dyDescent="0.35">
      <c r="A211" s="1">
        <v>40289</v>
      </c>
      <c r="B211">
        <v>0</v>
      </c>
      <c r="C211" t="s">
        <v>16</v>
      </c>
      <c r="D211" t="s">
        <v>47</v>
      </c>
      <c r="E211" t="s">
        <v>30</v>
      </c>
      <c r="F211">
        <v>14</v>
      </c>
      <c r="G211" t="s">
        <v>58</v>
      </c>
      <c r="H211" t="s">
        <v>30</v>
      </c>
      <c r="I211">
        <v>15</v>
      </c>
      <c r="J211">
        <v>7</v>
      </c>
      <c r="K211">
        <v>8</v>
      </c>
      <c r="L211">
        <v>71</v>
      </c>
      <c r="M211" t="s">
        <v>20</v>
      </c>
      <c r="N211" t="s">
        <v>86</v>
      </c>
      <c r="O211">
        <v>37518</v>
      </c>
      <c r="P211">
        <v>229</v>
      </c>
      <c r="Q211" t="s">
        <v>58</v>
      </c>
      <c r="R211" t="str">
        <f t="shared" si="4"/>
        <v>Yes</v>
      </c>
    </row>
    <row r="212" spans="1:18" x14ac:dyDescent="0.35">
      <c r="A212" s="1">
        <v>40289</v>
      </c>
      <c r="B212">
        <v>0</v>
      </c>
      <c r="C212" t="s">
        <v>16</v>
      </c>
      <c r="D212" t="s">
        <v>44</v>
      </c>
      <c r="E212" t="s">
        <v>30</v>
      </c>
      <c r="F212">
        <v>15</v>
      </c>
      <c r="G212" t="s">
        <v>34</v>
      </c>
      <c r="H212" t="s">
        <v>30</v>
      </c>
      <c r="I212">
        <v>15</v>
      </c>
      <c r="J212">
        <v>12</v>
      </c>
      <c r="K212">
        <v>0</v>
      </c>
      <c r="L212">
        <v>54</v>
      </c>
      <c r="M212" t="s">
        <v>20</v>
      </c>
      <c r="N212" t="s">
        <v>35</v>
      </c>
      <c r="O212">
        <v>17023</v>
      </c>
      <c r="P212">
        <v>180</v>
      </c>
      <c r="Q212" t="s">
        <v>44</v>
      </c>
      <c r="R212" t="str">
        <f t="shared" si="4"/>
        <v>No</v>
      </c>
    </row>
    <row r="213" spans="1:18" x14ac:dyDescent="0.35">
      <c r="A213" s="1">
        <v>40289</v>
      </c>
      <c r="B213">
        <v>0</v>
      </c>
      <c r="C213" t="s">
        <v>16</v>
      </c>
      <c r="D213" t="s">
        <v>33</v>
      </c>
      <c r="E213" t="s">
        <v>30</v>
      </c>
      <c r="F213">
        <v>14</v>
      </c>
      <c r="G213" t="s">
        <v>29</v>
      </c>
      <c r="H213" t="s">
        <v>30</v>
      </c>
      <c r="I213">
        <v>15</v>
      </c>
      <c r="J213">
        <v>0</v>
      </c>
      <c r="K213">
        <v>6</v>
      </c>
      <c r="L213">
        <v>51</v>
      </c>
      <c r="M213" t="s">
        <v>20</v>
      </c>
      <c r="N213" t="s">
        <v>76</v>
      </c>
      <c r="O213">
        <v>39044</v>
      </c>
      <c r="P213">
        <v>149</v>
      </c>
      <c r="Q213" t="s">
        <v>29</v>
      </c>
      <c r="R213" t="str">
        <f t="shared" si="4"/>
        <v>Yes</v>
      </c>
    </row>
    <row r="214" spans="1:18" x14ac:dyDescent="0.35">
      <c r="A214" s="1">
        <v>40289</v>
      </c>
      <c r="B214">
        <v>0</v>
      </c>
      <c r="C214" t="s">
        <v>16</v>
      </c>
      <c r="D214" t="s">
        <v>59</v>
      </c>
      <c r="E214" t="s">
        <v>30</v>
      </c>
      <c r="F214">
        <v>14</v>
      </c>
      <c r="G214" t="s">
        <v>41</v>
      </c>
      <c r="H214" t="s">
        <v>30</v>
      </c>
      <c r="I214">
        <v>16</v>
      </c>
      <c r="J214">
        <v>3</v>
      </c>
      <c r="K214">
        <v>1</v>
      </c>
      <c r="L214">
        <v>54</v>
      </c>
      <c r="M214" t="s">
        <v>20</v>
      </c>
      <c r="N214" t="s">
        <v>42</v>
      </c>
      <c r="O214">
        <v>30211</v>
      </c>
      <c r="P214">
        <v>167</v>
      </c>
      <c r="Q214" t="s">
        <v>59</v>
      </c>
      <c r="R214" t="str">
        <f t="shared" si="4"/>
        <v>No</v>
      </c>
    </row>
    <row r="215" spans="1:18" x14ac:dyDescent="0.35">
      <c r="A215" s="1">
        <v>40289</v>
      </c>
      <c r="B215">
        <v>0</v>
      </c>
      <c r="C215" t="s">
        <v>16</v>
      </c>
      <c r="D215" t="s">
        <v>43</v>
      </c>
      <c r="E215" t="s">
        <v>30</v>
      </c>
      <c r="F215">
        <v>16</v>
      </c>
      <c r="G215" t="s">
        <v>40</v>
      </c>
      <c r="H215" t="s">
        <v>30</v>
      </c>
      <c r="I215">
        <v>16</v>
      </c>
      <c r="J215">
        <v>1</v>
      </c>
      <c r="K215">
        <v>4</v>
      </c>
      <c r="L215">
        <v>51</v>
      </c>
      <c r="M215" t="s">
        <v>20</v>
      </c>
      <c r="N215" t="s">
        <v>77</v>
      </c>
      <c r="O215">
        <v>18401</v>
      </c>
      <c r="P215">
        <v>128</v>
      </c>
      <c r="Q215" t="s">
        <v>40</v>
      </c>
      <c r="R215" t="str">
        <f t="shared" si="4"/>
        <v>Yes</v>
      </c>
    </row>
    <row r="216" spans="1:18" x14ac:dyDescent="0.35">
      <c r="A216" s="1">
        <v>40289</v>
      </c>
      <c r="B216">
        <v>0</v>
      </c>
      <c r="C216" t="s">
        <v>16</v>
      </c>
      <c r="D216" t="s">
        <v>37</v>
      </c>
      <c r="E216" t="s">
        <v>30</v>
      </c>
      <c r="F216">
        <v>15</v>
      </c>
      <c r="G216" t="s">
        <v>46</v>
      </c>
      <c r="H216" t="s">
        <v>30</v>
      </c>
      <c r="I216">
        <v>16</v>
      </c>
      <c r="J216">
        <v>4</v>
      </c>
      <c r="K216">
        <v>3</v>
      </c>
      <c r="L216">
        <v>60</v>
      </c>
      <c r="M216" t="s">
        <v>38</v>
      </c>
      <c r="N216" t="s">
        <v>78</v>
      </c>
      <c r="O216">
        <v>15577</v>
      </c>
      <c r="P216">
        <v>160</v>
      </c>
      <c r="Q216" t="s">
        <v>37</v>
      </c>
      <c r="R216" t="str">
        <f t="shared" si="4"/>
        <v>No</v>
      </c>
    </row>
    <row r="217" spans="1:18" x14ac:dyDescent="0.35">
      <c r="A217" s="1">
        <v>40289</v>
      </c>
      <c r="B217">
        <v>0</v>
      </c>
      <c r="C217" t="s">
        <v>16</v>
      </c>
      <c r="D217" t="s">
        <v>52</v>
      </c>
      <c r="E217" t="s">
        <v>18</v>
      </c>
      <c r="F217">
        <v>15</v>
      </c>
      <c r="G217" t="s">
        <v>60</v>
      </c>
      <c r="H217" t="s">
        <v>18</v>
      </c>
      <c r="I217">
        <v>15</v>
      </c>
      <c r="J217">
        <v>9</v>
      </c>
      <c r="K217">
        <v>4</v>
      </c>
      <c r="L217">
        <v>54</v>
      </c>
      <c r="M217" t="s">
        <v>20</v>
      </c>
      <c r="N217" t="s">
        <v>61</v>
      </c>
      <c r="O217">
        <v>19165</v>
      </c>
      <c r="P217">
        <v>170</v>
      </c>
      <c r="Q217" t="s">
        <v>52</v>
      </c>
      <c r="R217" t="str">
        <f t="shared" si="4"/>
        <v>No</v>
      </c>
    </row>
    <row r="218" spans="1:18" x14ac:dyDescent="0.35">
      <c r="A218" s="1">
        <v>40289</v>
      </c>
      <c r="B218">
        <v>0</v>
      </c>
      <c r="C218" t="s">
        <v>16</v>
      </c>
      <c r="D218" t="s">
        <v>25</v>
      </c>
      <c r="E218" t="s">
        <v>18</v>
      </c>
      <c r="F218">
        <v>14</v>
      </c>
      <c r="G218" t="s">
        <v>50</v>
      </c>
      <c r="H218" t="s">
        <v>18</v>
      </c>
      <c r="I218">
        <v>14</v>
      </c>
      <c r="J218">
        <v>2</v>
      </c>
      <c r="K218">
        <v>0</v>
      </c>
      <c r="L218">
        <v>54</v>
      </c>
      <c r="M218" t="s">
        <v>20</v>
      </c>
      <c r="N218" t="s">
        <v>51</v>
      </c>
      <c r="O218">
        <v>21171</v>
      </c>
      <c r="P218">
        <v>148</v>
      </c>
      <c r="Q218" t="s">
        <v>25</v>
      </c>
      <c r="R218" t="str">
        <f t="shared" si="4"/>
        <v>No</v>
      </c>
    </row>
    <row r="219" spans="1:18" x14ac:dyDescent="0.35">
      <c r="A219" s="1">
        <v>40289</v>
      </c>
      <c r="B219">
        <v>0</v>
      </c>
      <c r="C219" t="s">
        <v>16</v>
      </c>
      <c r="D219" t="s">
        <v>22</v>
      </c>
      <c r="E219" t="s">
        <v>18</v>
      </c>
      <c r="F219">
        <v>14</v>
      </c>
      <c r="G219" t="s">
        <v>53</v>
      </c>
      <c r="H219" t="s">
        <v>18</v>
      </c>
      <c r="I219">
        <v>15</v>
      </c>
      <c r="J219">
        <v>14</v>
      </c>
      <c r="K219">
        <v>6</v>
      </c>
      <c r="L219">
        <v>54</v>
      </c>
      <c r="M219" t="s">
        <v>20</v>
      </c>
      <c r="N219" t="s">
        <v>54</v>
      </c>
      <c r="O219">
        <v>12203</v>
      </c>
      <c r="P219">
        <v>216</v>
      </c>
      <c r="Q219" t="s">
        <v>22</v>
      </c>
      <c r="R219" t="str">
        <f t="shared" si="4"/>
        <v>No</v>
      </c>
    </row>
    <row r="220" spans="1:18" x14ac:dyDescent="0.35">
      <c r="A220" s="1">
        <v>40289</v>
      </c>
      <c r="B220">
        <v>0</v>
      </c>
      <c r="C220" t="s">
        <v>16</v>
      </c>
      <c r="D220" t="s">
        <v>17</v>
      </c>
      <c r="E220" t="s">
        <v>18</v>
      </c>
      <c r="F220">
        <v>15</v>
      </c>
      <c r="G220" t="s">
        <v>66</v>
      </c>
      <c r="H220" t="s">
        <v>18</v>
      </c>
      <c r="I220">
        <v>14</v>
      </c>
      <c r="J220">
        <v>4</v>
      </c>
      <c r="K220">
        <v>5</v>
      </c>
      <c r="L220">
        <v>51</v>
      </c>
      <c r="M220" t="s">
        <v>20</v>
      </c>
      <c r="N220" t="s">
        <v>67</v>
      </c>
      <c r="O220">
        <v>22607</v>
      </c>
      <c r="P220">
        <v>154</v>
      </c>
      <c r="Q220" t="s">
        <v>66</v>
      </c>
      <c r="R220" t="str">
        <f t="shared" si="4"/>
        <v>Yes</v>
      </c>
    </row>
    <row r="221" spans="1:18" x14ac:dyDescent="0.35">
      <c r="A221" s="1">
        <v>40289</v>
      </c>
      <c r="B221">
        <v>0</v>
      </c>
      <c r="C221" t="s">
        <v>16</v>
      </c>
      <c r="D221" t="s">
        <v>49</v>
      </c>
      <c r="E221" t="s">
        <v>18</v>
      </c>
      <c r="F221">
        <v>15</v>
      </c>
      <c r="G221" t="s">
        <v>19</v>
      </c>
      <c r="H221" t="s">
        <v>18</v>
      </c>
      <c r="I221">
        <v>15</v>
      </c>
      <c r="J221">
        <v>9</v>
      </c>
      <c r="K221">
        <v>3</v>
      </c>
      <c r="L221">
        <v>54</v>
      </c>
      <c r="M221" t="s">
        <v>20</v>
      </c>
      <c r="N221" t="s">
        <v>21</v>
      </c>
      <c r="O221">
        <v>25684</v>
      </c>
      <c r="P221">
        <v>191</v>
      </c>
      <c r="Q221" t="s">
        <v>49</v>
      </c>
      <c r="R221" t="str">
        <f t="shared" si="4"/>
        <v>No</v>
      </c>
    </row>
    <row r="222" spans="1:18" x14ac:dyDescent="0.35">
      <c r="A222" s="1">
        <v>40289</v>
      </c>
      <c r="B222">
        <v>0</v>
      </c>
      <c r="C222" t="s">
        <v>16</v>
      </c>
      <c r="D222" t="s">
        <v>68</v>
      </c>
      <c r="E222" t="s">
        <v>18</v>
      </c>
      <c r="F222">
        <v>14</v>
      </c>
      <c r="G222" t="s">
        <v>23</v>
      </c>
      <c r="H222" t="s">
        <v>18</v>
      </c>
      <c r="I222">
        <v>14</v>
      </c>
      <c r="J222">
        <v>8</v>
      </c>
      <c r="K222">
        <v>0</v>
      </c>
      <c r="L222">
        <v>54</v>
      </c>
      <c r="M222" t="s">
        <v>20</v>
      </c>
      <c r="N222" t="s">
        <v>24</v>
      </c>
      <c r="O222">
        <v>12192</v>
      </c>
      <c r="P222">
        <v>191</v>
      </c>
      <c r="Q222" t="s">
        <v>68</v>
      </c>
      <c r="R222" t="str">
        <f t="shared" si="4"/>
        <v>No</v>
      </c>
    </row>
    <row r="223" spans="1:18" x14ac:dyDescent="0.35">
      <c r="A223" s="1">
        <v>40289</v>
      </c>
      <c r="B223">
        <v>0</v>
      </c>
      <c r="C223" t="s">
        <v>16</v>
      </c>
      <c r="D223" t="s">
        <v>70</v>
      </c>
      <c r="E223" t="s">
        <v>18</v>
      </c>
      <c r="F223">
        <v>15</v>
      </c>
      <c r="G223" t="s">
        <v>62</v>
      </c>
      <c r="H223" t="s">
        <v>18</v>
      </c>
      <c r="I223">
        <v>15</v>
      </c>
      <c r="J223">
        <v>2</v>
      </c>
      <c r="K223">
        <v>5</v>
      </c>
      <c r="L223">
        <v>51</v>
      </c>
      <c r="M223" t="s">
        <v>38</v>
      </c>
      <c r="N223" t="s">
        <v>81</v>
      </c>
      <c r="O223">
        <v>14906</v>
      </c>
      <c r="P223">
        <v>162</v>
      </c>
      <c r="Q223" t="s">
        <v>62</v>
      </c>
      <c r="R223" t="str">
        <f t="shared" si="4"/>
        <v>Yes</v>
      </c>
    </row>
    <row r="224" spans="1:18" x14ac:dyDescent="0.35">
      <c r="A224" s="1">
        <v>40289</v>
      </c>
      <c r="B224">
        <v>0</v>
      </c>
      <c r="C224" t="s">
        <v>16</v>
      </c>
      <c r="D224" t="s">
        <v>63</v>
      </c>
      <c r="E224" t="s">
        <v>18</v>
      </c>
      <c r="F224">
        <v>15</v>
      </c>
      <c r="G224" t="s">
        <v>26</v>
      </c>
      <c r="H224" t="s">
        <v>18</v>
      </c>
      <c r="I224">
        <v>15</v>
      </c>
      <c r="J224">
        <v>4</v>
      </c>
      <c r="K224">
        <v>6</v>
      </c>
      <c r="L224">
        <v>51</v>
      </c>
      <c r="M224" t="s">
        <v>20</v>
      </c>
      <c r="N224" t="s">
        <v>27</v>
      </c>
      <c r="O224">
        <v>11191</v>
      </c>
      <c r="P224">
        <v>182</v>
      </c>
      <c r="Q224" t="s">
        <v>26</v>
      </c>
      <c r="R224" t="str">
        <f t="shared" si="4"/>
        <v>Yes</v>
      </c>
    </row>
    <row r="225" spans="1:18" x14ac:dyDescent="0.35">
      <c r="A225" s="1">
        <v>40290</v>
      </c>
      <c r="B225">
        <v>0</v>
      </c>
      <c r="C225" t="s">
        <v>28</v>
      </c>
      <c r="D225" t="s">
        <v>36</v>
      </c>
      <c r="E225" t="s">
        <v>30</v>
      </c>
      <c r="F225">
        <v>16</v>
      </c>
      <c r="G225" t="s">
        <v>31</v>
      </c>
      <c r="H225" t="s">
        <v>30</v>
      </c>
      <c r="I225">
        <v>17</v>
      </c>
      <c r="J225">
        <v>5</v>
      </c>
      <c r="K225">
        <v>4</v>
      </c>
      <c r="L225">
        <v>54</v>
      </c>
      <c r="M225" t="s">
        <v>20</v>
      </c>
      <c r="N225" t="s">
        <v>32</v>
      </c>
      <c r="O225">
        <v>37338</v>
      </c>
      <c r="P225">
        <v>211</v>
      </c>
      <c r="Q225" t="s">
        <v>36</v>
      </c>
      <c r="R225" t="str">
        <f t="shared" si="4"/>
        <v>No</v>
      </c>
    </row>
    <row r="226" spans="1:18" x14ac:dyDescent="0.35">
      <c r="A226" s="1">
        <v>40290</v>
      </c>
      <c r="B226">
        <v>0</v>
      </c>
      <c r="C226" t="s">
        <v>28</v>
      </c>
      <c r="D226" t="s">
        <v>47</v>
      </c>
      <c r="E226" t="s">
        <v>30</v>
      </c>
      <c r="F226">
        <v>15</v>
      </c>
      <c r="G226" t="s">
        <v>58</v>
      </c>
      <c r="H226" t="s">
        <v>30</v>
      </c>
      <c r="I226">
        <v>16</v>
      </c>
      <c r="J226">
        <v>3</v>
      </c>
      <c r="K226">
        <v>0</v>
      </c>
      <c r="L226">
        <v>54</v>
      </c>
      <c r="M226" t="s">
        <v>20</v>
      </c>
      <c r="N226" t="s">
        <v>86</v>
      </c>
      <c r="O226">
        <v>37417</v>
      </c>
      <c r="P226">
        <v>178</v>
      </c>
      <c r="Q226" t="s">
        <v>47</v>
      </c>
      <c r="R226" t="str">
        <f t="shared" si="4"/>
        <v>No</v>
      </c>
    </row>
    <row r="227" spans="1:18" x14ac:dyDescent="0.35">
      <c r="A227" s="1">
        <v>40290</v>
      </c>
      <c r="B227">
        <v>0</v>
      </c>
      <c r="C227" t="s">
        <v>28</v>
      </c>
      <c r="D227" t="s">
        <v>44</v>
      </c>
      <c r="E227" t="s">
        <v>30</v>
      </c>
      <c r="F227">
        <v>16</v>
      </c>
      <c r="G227" t="s">
        <v>34</v>
      </c>
      <c r="H227" t="s">
        <v>30</v>
      </c>
      <c r="I227">
        <v>16</v>
      </c>
      <c r="J227">
        <v>10</v>
      </c>
      <c r="K227">
        <v>2</v>
      </c>
      <c r="L227">
        <v>54</v>
      </c>
      <c r="M227" t="s">
        <v>20</v>
      </c>
      <c r="N227" t="s">
        <v>35</v>
      </c>
      <c r="O227">
        <v>18207</v>
      </c>
      <c r="P227">
        <v>170</v>
      </c>
      <c r="Q227" t="s">
        <v>44</v>
      </c>
      <c r="R227" t="str">
        <f t="shared" si="4"/>
        <v>No</v>
      </c>
    </row>
    <row r="228" spans="1:18" x14ac:dyDescent="0.35">
      <c r="A228" s="1">
        <v>40290</v>
      </c>
      <c r="B228">
        <v>0</v>
      </c>
      <c r="C228" t="s">
        <v>28</v>
      </c>
      <c r="D228" t="s">
        <v>33</v>
      </c>
      <c r="E228" t="s">
        <v>30</v>
      </c>
      <c r="F228">
        <v>15</v>
      </c>
      <c r="G228" t="s">
        <v>29</v>
      </c>
      <c r="H228" t="s">
        <v>30</v>
      </c>
      <c r="I228">
        <v>16</v>
      </c>
      <c r="J228">
        <v>8</v>
      </c>
      <c r="K228">
        <v>1</v>
      </c>
      <c r="L228">
        <v>54</v>
      </c>
      <c r="M228" t="s">
        <v>38</v>
      </c>
      <c r="N228" t="s">
        <v>76</v>
      </c>
      <c r="O228">
        <v>38810</v>
      </c>
      <c r="P228">
        <v>166</v>
      </c>
      <c r="Q228" t="s">
        <v>33</v>
      </c>
      <c r="R228" t="str">
        <f t="shared" si="4"/>
        <v>No</v>
      </c>
    </row>
    <row r="229" spans="1:18" x14ac:dyDescent="0.35">
      <c r="A229" s="1">
        <v>40290</v>
      </c>
      <c r="B229">
        <v>0</v>
      </c>
      <c r="C229" t="s">
        <v>28</v>
      </c>
      <c r="D229" t="s">
        <v>59</v>
      </c>
      <c r="E229" t="s">
        <v>30</v>
      </c>
      <c r="F229">
        <v>15</v>
      </c>
      <c r="G229" t="s">
        <v>41</v>
      </c>
      <c r="H229" t="s">
        <v>30</v>
      </c>
      <c r="I229">
        <v>17</v>
      </c>
      <c r="J229">
        <v>2</v>
      </c>
      <c r="K229">
        <v>4</v>
      </c>
      <c r="L229">
        <v>51</v>
      </c>
      <c r="M229" t="s">
        <v>38</v>
      </c>
      <c r="N229" t="s">
        <v>42</v>
      </c>
      <c r="O229">
        <v>21986</v>
      </c>
      <c r="P229">
        <v>127</v>
      </c>
      <c r="Q229" t="s">
        <v>41</v>
      </c>
      <c r="R229" t="str">
        <f t="shared" si="4"/>
        <v>Yes</v>
      </c>
    </row>
    <row r="230" spans="1:18" x14ac:dyDescent="0.35">
      <c r="A230" s="1">
        <v>40290</v>
      </c>
      <c r="B230">
        <v>0</v>
      </c>
      <c r="C230" t="s">
        <v>28</v>
      </c>
      <c r="D230" t="s">
        <v>25</v>
      </c>
      <c r="E230" t="s">
        <v>18</v>
      </c>
      <c r="F230">
        <v>15</v>
      </c>
      <c r="G230" t="s">
        <v>50</v>
      </c>
      <c r="H230" t="s">
        <v>18</v>
      </c>
      <c r="I230">
        <v>15</v>
      </c>
      <c r="J230">
        <v>8</v>
      </c>
      <c r="K230">
        <v>3</v>
      </c>
      <c r="L230">
        <v>54</v>
      </c>
      <c r="M230" t="s">
        <v>20</v>
      </c>
      <c r="N230" t="s">
        <v>51</v>
      </c>
      <c r="O230">
        <v>22476</v>
      </c>
      <c r="P230">
        <v>197</v>
      </c>
      <c r="Q230" t="s">
        <v>25</v>
      </c>
      <c r="R230" t="str">
        <f t="shared" si="4"/>
        <v>No</v>
      </c>
    </row>
    <row r="231" spans="1:18" x14ac:dyDescent="0.35">
      <c r="A231" s="1">
        <v>40290</v>
      </c>
      <c r="B231">
        <v>0</v>
      </c>
      <c r="C231" t="s">
        <v>28</v>
      </c>
      <c r="D231" t="s">
        <v>22</v>
      </c>
      <c r="E231" t="s">
        <v>18</v>
      </c>
      <c r="F231">
        <v>15</v>
      </c>
      <c r="G231" t="s">
        <v>53</v>
      </c>
      <c r="H231" t="s">
        <v>18</v>
      </c>
      <c r="I231">
        <v>16</v>
      </c>
      <c r="J231">
        <v>5</v>
      </c>
      <c r="K231">
        <v>8</v>
      </c>
      <c r="L231">
        <v>51</v>
      </c>
      <c r="M231" t="s">
        <v>20</v>
      </c>
      <c r="N231" t="s">
        <v>54</v>
      </c>
      <c r="O231">
        <v>13261</v>
      </c>
      <c r="P231">
        <v>167</v>
      </c>
      <c r="Q231" t="s">
        <v>53</v>
      </c>
      <c r="R231" t="str">
        <f t="shared" si="4"/>
        <v>Yes</v>
      </c>
    </row>
    <row r="232" spans="1:18" x14ac:dyDescent="0.35">
      <c r="A232" s="1">
        <v>40290</v>
      </c>
      <c r="B232">
        <v>0</v>
      </c>
      <c r="C232" t="s">
        <v>28</v>
      </c>
      <c r="D232" t="s">
        <v>17</v>
      </c>
      <c r="E232" t="s">
        <v>18</v>
      </c>
      <c r="F232">
        <v>16</v>
      </c>
      <c r="G232" t="s">
        <v>66</v>
      </c>
      <c r="H232" t="s">
        <v>18</v>
      </c>
      <c r="I232">
        <v>15</v>
      </c>
      <c r="J232">
        <v>5</v>
      </c>
      <c r="K232">
        <v>1</v>
      </c>
      <c r="L232">
        <v>54</v>
      </c>
      <c r="M232" t="s">
        <v>20</v>
      </c>
      <c r="N232" t="s">
        <v>67</v>
      </c>
      <c r="O232">
        <v>21802</v>
      </c>
      <c r="P232">
        <v>161</v>
      </c>
      <c r="Q232" t="s">
        <v>17</v>
      </c>
      <c r="R232" t="str">
        <f t="shared" si="4"/>
        <v>No</v>
      </c>
    </row>
    <row r="233" spans="1:18" x14ac:dyDescent="0.35">
      <c r="A233" s="1">
        <v>40290</v>
      </c>
      <c r="B233">
        <v>0</v>
      </c>
      <c r="C233" t="s">
        <v>28</v>
      </c>
      <c r="D233" t="s">
        <v>49</v>
      </c>
      <c r="E233" t="s">
        <v>18</v>
      </c>
      <c r="F233">
        <v>16</v>
      </c>
      <c r="G233" t="s">
        <v>19</v>
      </c>
      <c r="H233" t="s">
        <v>18</v>
      </c>
      <c r="I233">
        <v>16</v>
      </c>
      <c r="J233">
        <v>2</v>
      </c>
      <c r="K233">
        <v>5</v>
      </c>
      <c r="L233">
        <v>51</v>
      </c>
      <c r="M233" t="s">
        <v>20</v>
      </c>
      <c r="N233" t="s">
        <v>21</v>
      </c>
      <c r="O233">
        <v>28535</v>
      </c>
      <c r="P233">
        <v>196</v>
      </c>
      <c r="Q233" t="s">
        <v>19</v>
      </c>
      <c r="R233" t="str">
        <f t="shared" si="4"/>
        <v>Yes</v>
      </c>
    </row>
    <row r="234" spans="1:18" x14ac:dyDescent="0.35">
      <c r="A234" s="1">
        <v>40290</v>
      </c>
      <c r="B234">
        <v>0</v>
      </c>
      <c r="C234" t="s">
        <v>28</v>
      </c>
      <c r="D234" t="s">
        <v>68</v>
      </c>
      <c r="E234" t="s">
        <v>18</v>
      </c>
      <c r="F234">
        <v>15</v>
      </c>
      <c r="G234" t="s">
        <v>23</v>
      </c>
      <c r="H234" t="s">
        <v>18</v>
      </c>
      <c r="I234">
        <v>15</v>
      </c>
      <c r="J234">
        <v>20</v>
      </c>
      <c r="K234">
        <v>0</v>
      </c>
      <c r="L234">
        <v>54</v>
      </c>
      <c r="M234" t="s">
        <v>38</v>
      </c>
      <c r="N234" t="s">
        <v>24</v>
      </c>
      <c r="O234">
        <v>13634</v>
      </c>
      <c r="P234">
        <v>205</v>
      </c>
      <c r="Q234" t="s">
        <v>68</v>
      </c>
      <c r="R234" t="str">
        <f t="shared" si="4"/>
        <v>No</v>
      </c>
    </row>
    <row r="235" spans="1:18" x14ac:dyDescent="0.35">
      <c r="A235" s="1">
        <v>40290</v>
      </c>
      <c r="B235">
        <v>0</v>
      </c>
      <c r="C235" t="s">
        <v>28</v>
      </c>
      <c r="D235" t="s">
        <v>63</v>
      </c>
      <c r="E235" t="s">
        <v>18</v>
      </c>
      <c r="F235">
        <v>16</v>
      </c>
      <c r="G235" t="s">
        <v>26</v>
      </c>
      <c r="H235" t="s">
        <v>18</v>
      </c>
      <c r="I235">
        <v>16</v>
      </c>
      <c r="J235">
        <v>2</v>
      </c>
      <c r="K235">
        <v>0</v>
      </c>
      <c r="L235">
        <v>54</v>
      </c>
      <c r="M235" t="s">
        <v>38</v>
      </c>
      <c r="N235" t="s">
        <v>27</v>
      </c>
      <c r="O235">
        <v>15518</v>
      </c>
      <c r="P235">
        <v>150</v>
      </c>
      <c r="Q235" t="s">
        <v>63</v>
      </c>
      <c r="R235" t="str">
        <f t="shared" si="4"/>
        <v>No</v>
      </c>
    </row>
    <row r="236" spans="1:18" x14ac:dyDescent="0.35">
      <c r="A236" s="1">
        <v>40291</v>
      </c>
      <c r="B236">
        <v>0</v>
      </c>
      <c r="C236" t="s">
        <v>55</v>
      </c>
      <c r="D236" t="s">
        <v>59</v>
      </c>
      <c r="E236" t="s">
        <v>30</v>
      </c>
      <c r="F236">
        <v>16</v>
      </c>
      <c r="G236" t="s">
        <v>31</v>
      </c>
      <c r="H236" t="s">
        <v>30</v>
      </c>
      <c r="I236">
        <v>18</v>
      </c>
      <c r="J236">
        <v>4</v>
      </c>
      <c r="K236">
        <v>6</v>
      </c>
      <c r="L236">
        <v>51</v>
      </c>
      <c r="M236" t="s">
        <v>20</v>
      </c>
      <c r="N236" t="s">
        <v>32</v>
      </c>
      <c r="O236">
        <v>44002</v>
      </c>
      <c r="P236">
        <v>193</v>
      </c>
      <c r="Q236" t="s">
        <v>31</v>
      </c>
      <c r="R236" t="str">
        <f t="shared" si="4"/>
        <v>Yes</v>
      </c>
    </row>
    <row r="237" spans="1:18" x14ac:dyDescent="0.35">
      <c r="A237" s="1">
        <v>40291</v>
      </c>
      <c r="B237">
        <v>0</v>
      </c>
      <c r="C237" t="s">
        <v>55</v>
      </c>
      <c r="D237" t="s">
        <v>43</v>
      </c>
      <c r="E237" t="s">
        <v>30</v>
      </c>
      <c r="F237">
        <v>17</v>
      </c>
      <c r="G237" t="s">
        <v>58</v>
      </c>
      <c r="H237" t="s">
        <v>30</v>
      </c>
      <c r="I237">
        <v>17</v>
      </c>
      <c r="J237">
        <v>3</v>
      </c>
      <c r="K237">
        <v>4</v>
      </c>
      <c r="L237">
        <v>51</v>
      </c>
      <c r="M237" t="s">
        <v>20</v>
      </c>
      <c r="N237" t="s">
        <v>86</v>
      </c>
      <c r="O237">
        <v>37367</v>
      </c>
      <c r="P237">
        <v>215</v>
      </c>
      <c r="Q237" t="s">
        <v>58</v>
      </c>
      <c r="R237" t="str">
        <f t="shared" si="4"/>
        <v>Yes</v>
      </c>
    </row>
    <row r="238" spans="1:18" x14ac:dyDescent="0.35">
      <c r="A238" s="1">
        <v>40291</v>
      </c>
      <c r="B238">
        <v>0</v>
      </c>
      <c r="C238" t="s">
        <v>55</v>
      </c>
      <c r="D238" t="s">
        <v>40</v>
      </c>
      <c r="E238" t="s">
        <v>30</v>
      </c>
      <c r="F238">
        <v>17</v>
      </c>
      <c r="G238" t="s">
        <v>34</v>
      </c>
      <c r="H238" t="s">
        <v>30</v>
      </c>
      <c r="I238">
        <v>17</v>
      </c>
      <c r="J238">
        <v>6</v>
      </c>
      <c r="K238">
        <v>7</v>
      </c>
      <c r="L238">
        <v>53</v>
      </c>
      <c r="M238" t="s">
        <v>20</v>
      </c>
      <c r="N238" t="s">
        <v>35</v>
      </c>
      <c r="O238">
        <v>24653</v>
      </c>
      <c r="P238">
        <v>177</v>
      </c>
      <c r="Q238" t="s">
        <v>34</v>
      </c>
      <c r="R238" t="str">
        <f t="shared" si="4"/>
        <v>Yes</v>
      </c>
    </row>
    <row r="239" spans="1:18" x14ac:dyDescent="0.35">
      <c r="A239" s="1">
        <v>40291</v>
      </c>
      <c r="B239">
        <v>0</v>
      </c>
      <c r="C239" t="s">
        <v>55</v>
      </c>
      <c r="D239" t="s">
        <v>29</v>
      </c>
      <c r="E239" t="s">
        <v>30</v>
      </c>
      <c r="F239">
        <v>17</v>
      </c>
      <c r="G239" t="s">
        <v>37</v>
      </c>
      <c r="H239" t="s">
        <v>30</v>
      </c>
      <c r="I239">
        <v>16</v>
      </c>
      <c r="J239">
        <v>8</v>
      </c>
      <c r="K239">
        <v>3</v>
      </c>
      <c r="L239">
        <v>54</v>
      </c>
      <c r="M239" t="s">
        <v>20</v>
      </c>
      <c r="N239" t="s">
        <v>39</v>
      </c>
      <c r="O239">
        <v>16605</v>
      </c>
      <c r="P239">
        <v>173</v>
      </c>
      <c r="Q239" t="s">
        <v>29</v>
      </c>
      <c r="R239" t="str">
        <f t="shared" si="4"/>
        <v>No</v>
      </c>
    </row>
    <row r="240" spans="1:18" x14ac:dyDescent="0.35">
      <c r="A240" s="1">
        <v>40291</v>
      </c>
      <c r="B240">
        <v>0</v>
      </c>
      <c r="C240" t="s">
        <v>55</v>
      </c>
      <c r="D240" t="s">
        <v>33</v>
      </c>
      <c r="E240" t="s">
        <v>30</v>
      </c>
      <c r="F240">
        <v>16</v>
      </c>
      <c r="G240" t="s">
        <v>41</v>
      </c>
      <c r="H240" t="s">
        <v>30</v>
      </c>
      <c r="I240">
        <v>18</v>
      </c>
      <c r="J240">
        <v>0</v>
      </c>
      <c r="K240">
        <v>10</v>
      </c>
      <c r="L240">
        <v>51</v>
      </c>
      <c r="M240" t="s">
        <v>20</v>
      </c>
      <c r="N240" t="s">
        <v>42</v>
      </c>
      <c r="O240">
        <v>11547</v>
      </c>
      <c r="P240">
        <v>156</v>
      </c>
      <c r="Q240" t="s">
        <v>41</v>
      </c>
      <c r="R240" t="str">
        <f t="shared" si="4"/>
        <v>Yes</v>
      </c>
    </row>
    <row r="241" spans="1:18" x14ac:dyDescent="0.35">
      <c r="A241" s="1">
        <v>40291</v>
      </c>
      <c r="B241">
        <v>0</v>
      </c>
      <c r="C241" t="s">
        <v>55</v>
      </c>
      <c r="D241" t="s">
        <v>46</v>
      </c>
      <c r="E241" t="s">
        <v>30</v>
      </c>
      <c r="F241">
        <v>17</v>
      </c>
      <c r="G241" t="s">
        <v>44</v>
      </c>
      <c r="H241" t="s">
        <v>30</v>
      </c>
      <c r="I241">
        <v>17</v>
      </c>
      <c r="J241">
        <v>6</v>
      </c>
      <c r="K241">
        <v>5</v>
      </c>
      <c r="L241">
        <v>54</v>
      </c>
      <c r="M241" t="s">
        <v>20</v>
      </c>
      <c r="N241" t="s">
        <v>45</v>
      </c>
      <c r="O241">
        <v>22056</v>
      </c>
      <c r="P241">
        <v>195</v>
      </c>
      <c r="Q241" t="s">
        <v>46</v>
      </c>
      <c r="R241" t="str">
        <f t="shared" si="4"/>
        <v>No</v>
      </c>
    </row>
    <row r="242" spans="1:18" x14ac:dyDescent="0.35">
      <c r="A242" s="1">
        <v>40291</v>
      </c>
      <c r="B242">
        <v>0</v>
      </c>
      <c r="C242" t="s">
        <v>55</v>
      </c>
      <c r="D242" t="s">
        <v>36</v>
      </c>
      <c r="E242" t="s">
        <v>30</v>
      </c>
      <c r="F242">
        <v>17</v>
      </c>
      <c r="G242" t="s">
        <v>47</v>
      </c>
      <c r="H242" t="s">
        <v>30</v>
      </c>
      <c r="I242">
        <v>16</v>
      </c>
      <c r="J242">
        <v>4</v>
      </c>
      <c r="K242">
        <v>5</v>
      </c>
      <c r="L242">
        <v>52</v>
      </c>
      <c r="M242" t="s">
        <v>20</v>
      </c>
      <c r="N242" t="s">
        <v>48</v>
      </c>
      <c r="O242">
        <v>26445</v>
      </c>
      <c r="P242">
        <v>184</v>
      </c>
      <c r="Q242" t="s">
        <v>47</v>
      </c>
      <c r="R242" t="str">
        <f t="shared" si="4"/>
        <v>Yes</v>
      </c>
    </row>
    <row r="243" spans="1:18" x14ac:dyDescent="0.35">
      <c r="A243" s="1">
        <v>40291</v>
      </c>
      <c r="B243">
        <v>0</v>
      </c>
      <c r="C243" t="s">
        <v>55</v>
      </c>
      <c r="D243" t="s">
        <v>25</v>
      </c>
      <c r="E243" t="s">
        <v>18</v>
      </c>
      <c r="F243">
        <v>16</v>
      </c>
      <c r="G243" t="s">
        <v>60</v>
      </c>
      <c r="H243" t="s">
        <v>18</v>
      </c>
      <c r="I243">
        <v>16</v>
      </c>
      <c r="J243">
        <v>4</v>
      </c>
      <c r="K243">
        <v>7</v>
      </c>
      <c r="L243">
        <v>51</v>
      </c>
      <c r="M243" t="s">
        <v>20</v>
      </c>
      <c r="N243" t="s">
        <v>61</v>
      </c>
      <c r="O243">
        <v>25980</v>
      </c>
      <c r="P243">
        <v>174</v>
      </c>
      <c r="Q243" t="s">
        <v>60</v>
      </c>
      <c r="R243" t="str">
        <f t="shared" si="4"/>
        <v>Yes</v>
      </c>
    </row>
    <row r="244" spans="1:18" x14ac:dyDescent="0.35">
      <c r="A244" s="1">
        <v>40291</v>
      </c>
      <c r="B244">
        <v>0</v>
      </c>
      <c r="C244" t="s">
        <v>55</v>
      </c>
      <c r="D244" t="s">
        <v>62</v>
      </c>
      <c r="E244" t="s">
        <v>18</v>
      </c>
      <c r="F244">
        <v>16</v>
      </c>
      <c r="G244" t="s">
        <v>53</v>
      </c>
      <c r="H244" t="s">
        <v>18</v>
      </c>
      <c r="I244">
        <v>17</v>
      </c>
      <c r="J244">
        <v>10</v>
      </c>
      <c r="K244">
        <v>4</v>
      </c>
      <c r="L244">
        <v>54</v>
      </c>
      <c r="M244" t="s">
        <v>20</v>
      </c>
      <c r="N244" t="s">
        <v>54</v>
      </c>
      <c r="O244">
        <v>15183</v>
      </c>
      <c r="P244">
        <v>196</v>
      </c>
      <c r="Q244" t="s">
        <v>62</v>
      </c>
      <c r="R244" t="str">
        <f t="shared" si="4"/>
        <v>No</v>
      </c>
    </row>
    <row r="245" spans="1:18" x14ac:dyDescent="0.35">
      <c r="A245" s="1">
        <v>40291</v>
      </c>
      <c r="B245">
        <v>0</v>
      </c>
      <c r="C245" t="s">
        <v>55</v>
      </c>
      <c r="D245" t="s">
        <v>23</v>
      </c>
      <c r="E245" t="s">
        <v>18</v>
      </c>
      <c r="F245">
        <v>16</v>
      </c>
      <c r="G245" t="s">
        <v>66</v>
      </c>
      <c r="H245" t="s">
        <v>18</v>
      </c>
      <c r="I245">
        <v>16</v>
      </c>
      <c r="J245">
        <v>3</v>
      </c>
      <c r="K245">
        <v>4</v>
      </c>
      <c r="L245">
        <v>51</v>
      </c>
      <c r="M245" t="s">
        <v>20</v>
      </c>
      <c r="N245" t="s">
        <v>67</v>
      </c>
      <c r="O245">
        <v>30018</v>
      </c>
      <c r="P245">
        <v>126</v>
      </c>
      <c r="Q245" t="s">
        <v>66</v>
      </c>
      <c r="R245" t="str">
        <f t="shared" si="4"/>
        <v>Yes</v>
      </c>
    </row>
    <row r="246" spans="1:18" x14ac:dyDescent="0.35">
      <c r="A246" s="1">
        <v>40291</v>
      </c>
      <c r="B246">
        <v>0</v>
      </c>
      <c r="C246" t="s">
        <v>55</v>
      </c>
      <c r="D246" t="s">
        <v>49</v>
      </c>
      <c r="E246" t="s">
        <v>18</v>
      </c>
      <c r="F246">
        <v>17</v>
      </c>
      <c r="G246" t="s">
        <v>68</v>
      </c>
      <c r="H246" t="s">
        <v>18</v>
      </c>
      <c r="I246">
        <v>16</v>
      </c>
      <c r="J246">
        <v>8</v>
      </c>
      <c r="K246">
        <v>1</v>
      </c>
      <c r="L246">
        <v>54</v>
      </c>
      <c r="M246" t="s">
        <v>20</v>
      </c>
      <c r="N246" t="s">
        <v>69</v>
      </c>
      <c r="O246">
        <v>37848</v>
      </c>
      <c r="P246">
        <v>192</v>
      </c>
      <c r="Q246" t="s">
        <v>49</v>
      </c>
      <c r="R246" t="str">
        <f t="shared" si="4"/>
        <v>No</v>
      </c>
    </row>
    <row r="247" spans="1:18" x14ac:dyDescent="0.35">
      <c r="A247" s="1">
        <v>40291</v>
      </c>
      <c r="B247">
        <v>0</v>
      </c>
      <c r="C247" t="s">
        <v>55</v>
      </c>
      <c r="D247" t="s">
        <v>50</v>
      </c>
      <c r="E247" t="s">
        <v>18</v>
      </c>
      <c r="F247">
        <v>16</v>
      </c>
      <c r="G247" t="s">
        <v>19</v>
      </c>
      <c r="H247" t="s">
        <v>18</v>
      </c>
      <c r="I247">
        <v>17</v>
      </c>
      <c r="J247">
        <v>2</v>
      </c>
      <c r="K247">
        <v>5</v>
      </c>
      <c r="L247">
        <v>51</v>
      </c>
      <c r="M247" t="s">
        <v>20</v>
      </c>
      <c r="N247" t="s">
        <v>21</v>
      </c>
      <c r="O247">
        <v>32265</v>
      </c>
      <c r="P247">
        <v>182</v>
      </c>
      <c r="Q247" t="s">
        <v>19</v>
      </c>
      <c r="R247" t="str">
        <f t="shared" si="4"/>
        <v>Yes</v>
      </c>
    </row>
    <row r="248" spans="1:18" x14ac:dyDescent="0.35">
      <c r="A248" s="1">
        <v>40291</v>
      </c>
      <c r="B248">
        <v>0</v>
      </c>
      <c r="C248" t="s">
        <v>55</v>
      </c>
      <c r="D248" t="s">
        <v>52</v>
      </c>
      <c r="E248" t="s">
        <v>18</v>
      </c>
      <c r="F248">
        <v>16</v>
      </c>
      <c r="G248" t="s">
        <v>70</v>
      </c>
      <c r="H248" t="s">
        <v>18</v>
      </c>
      <c r="I248">
        <v>16</v>
      </c>
      <c r="J248">
        <v>1</v>
      </c>
      <c r="K248">
        <v>4</v>
      </c>
      <c r="L248">
        <v>51</v>
      </c>
      <c r="M248" t="s">
        <v>20</v>
      </c>
      <c r="N248" t="s">
        <v>71</v>
      </c>
      <c r="O248">
        <v>42860</v>
      </c>
      <c r="P248">
        <v>155</v>
      </c>
      <c r="Q248" t="s">
        <v>70</v>
      </c>
      <c r="R248" t="str">
        <f t="shared" si="4"/>
        <v>Yes</v>
      </c>
    </row>
    <row r="249" spans="1:18" x14ac:dyDescent="0.35">
      <c r="A249" s="1">
        <v>40291</v>
      </c>
      <c r="B249">
        <v>0</v>
      </c>
      <c r="C249" t="s">
        <v>55</v>
      </c>
      <c r="D249" t="s">
        <v>22</v>
      </c>
      <c r="E249" t="s">
        <v>18</v>
      </c>
      <c r="F249">
        <v>16</v>
      </c>
      <c r="G249" t="s">
        <v>26</v>
      </c>
      <c r="H249" t="s">
        <v>18</v>
      </c>
      <c r="I249">
        <v>17</v>
      </c>
      <c r="J249">
        <v>1</v>
      </c>
      <c r="K249">
        <v>5</v>
      </c>
      <c r="L249">
        <v>51</v>
      </c>
      <c r="M249" t="s">
        <v>20</v>
      </c>
      <c r="N249" t="s">
        <v>27</v>
      </c>
      <c r="O249">
        <v>23859</v>
      </c>
      <c r="P249">
        <v>159</v>
      </c>
      <c r="Q249" t="s">
        <v>26</v>
      </c>
      <c r="R249" t="str">
        <f t="shared" si="4"/>
        <v>Yes</v>
      </c>
    </row>
    <row r="250" spans="1:18" x14ac:dyDescent="0.35">
      <c r="A250" s="1">
        <v>40292</v>
      </c>
      <c r="B250">
        <v>0</v>
      </c>
      <c r="C250" t="s">
        <v>72</v>
      </c>
      <c r="D250" t="s">
        <v>59</v>
      </c>
      <c r="E250" t="s">
        <v>30</v>
      </c>
      <c r="F250">
        <v>17</v>
      </c>
      <c r="G250" t="s">
        <v>31</v>
      </c>
      <c r="H250" t="s">
        <v>30</v>
      </c>
      <c r="I250">
        <v>19</v>
      </c>
      <c r="J250">
        <v>7</v>
      </c>
      <c r="K250">
        <v>1</v>
      </c>
      <c r="L250">
        <v>54</v>
      </c>
      <c r="M250" t="s">
        <v>38</v>
      </c>
      <c r="N250" t="s">
        <v>32</v>
      </c>
      <c r="O250">
        <v>43390</v>
      </c>
      <c r="P250">
        <v>167</v>
      </c>
      <c r="Q250" t="s">
        <v>59</v>
      </c>
      <c r="R250" t="str">
        <f t="shared" si="4"/>
        <v>No</v>
      </c>
    </row>
    <row r="251" spans="1:18" x14ac:dyDescent="0.35">
      <c r="A251" s="1">
        <v>40292</v>
      </c>
      <c r="B251">
        <v>0</v>
      </c>
      <c r="C251" t="s">
        <v>72</v>
      </c>
      <c r="D251" t="s">
        <v>43</v>
      </c>
      <c r="E251" t="s">
        <v>30</v>
      </c>
      <c r="F251">
        <v>18</v>
      </c>
      <c r="G251" t="s">
        <v>58</v>
      </c>
      <c r="H251" t="s">
        <v>30</v>
      </c>
      <c r="I251">
        <v>18</v>
      </c>
      <c r="J251">
        <v>6</v>
      </c>
      <c r="K251">
        <v>7</v>
      </c>
      <c r="L251">
        <v>51</v>
      </c>
      <c r="M251" t="s">
        <v>20</v>
      </c>
      <c r="N251" t="s">
        <v>86</v>
      </c>
      <c r="O251">
        <v>38017</v>
      </c>
      <c r="P251">
        <v>188</v>
      </c>
      <c r="Q251" t="s">
        <v>58</v>
      </c>
      <c r="R251" t="str">
        <f t="shared" si="4"/>
        <v>Yes</v>
      </c>
    </row>
    <row r="252" spans="1:18" x14ac:dyDescent="0.35">
      <c r="A252" s="1">
        <v>40292</v>
      </c>
      <c r="B252">
        <v>0</v>
      </c>
      <c r="C252" t="s">
        <v>72</v>
      </c>
      <c r="D252" t="s">
        <v>40</v>
      </c>
      <c r="E252" t="s">
        <v>30</v>
      </c>
      <c r="F252">
        <v>18</v>
      </c>
      <c r="G252" t="s">
        <v>34</v>
      </c>
      <c r="H252" t="s">
        <v>30</v>
      </c>
      <c r="I252">
        <v>18</v>
      </c>
      <c r="J252">
        <v>4</v>
      </c>
      <c r="K252">
        <v>5</v>
      </c>
      <c r="L252">
        <v>53</v>
      </c>
      <c r="M252" t="s">
        <v>38</v>
      </c>
      <c r="N252" t="s">
        <v>35</v>
      </c>
      <c r="O252">
        <v>25253</v>
      </c>
      <c r="P252">
        <v>154</v>
      </c>
      <c r="Q252" t="s">
        <v>34</v>
      </c>
      <c r="R252" t="str">
        <f t="shared" si="4"/>
        <v>Yes</v>
      </c>
    </row>
    <row r="253" spans="1:18" x14ac:dyDescent="0.35">
      <c r="A253" s="1">
        <v>40292</v>
      </c>
      <c r="B253">
        <v>0</v>
      </c>
      <c r="C253" t="s">
        <v>72</v>
      </c>
      <c r="D253" t="s">
        <v>29</v>
      </c>
      <c r="E253" t="s">
        <v>30</v>
      </c>
      <c r="F253">
        <v>18</v>
      </c>
      <c r="G253" t="s">
        <v>37</v>
      </c>
      <c r="H253" t="s">
        <v>30</v>
      </c>
      <c r="I253">
        <v>17</v>
      </c>
      <c r="J253">
        <v>9</v>
      </c>
      <c r="K253">
        <v>7</v>
      </c>
      <c r="L253">
        <v>72</v>
      </c>
      <c r="M253" t="s">
        <v>20</v>
      </c>
      <c r="N253" t="s">
        <v>39</v>
      </c>
      <c r="O253">
        <v>26649</v>
      </c>
      <c r="P253">
        <v>255</v>
      </c>
      <c r="Q253" t="s">
        <v>29</v>
      </c>
      <c r="R253" t="str">
        <f t="shared" si="4"/>
        <v>No</v>
      </c>
    </row>
    <row r="254" spans="1:18" x14ac:dyDescent="0.35">
      <c r="A254" s="1">
        <v>40292</v>
      </c>
      <c r="B254">
        <v>0</v>
      </c>
      <c r="C254" t="s">
        <v>72</v>
      </c>
      <c r="D254" t="s">
        <v>33</v>
      </c>
      <c r="E254" t="s">
        <v>30</v>
      </c>
      <c r="F254">
        <v>17</v>
      </c>
      <c r="G254" t="s">
        <v>41</v>
      </c>
      <c r="H254" t="s">
        <v>30</v>
      </c>
      <c r="I254">
        <v>19</v>
      </c>
      <c r="J254">
        <v>6</v>
      </c>
      <c r="K254">
        <v>1</v>
      </c>
      <c r="L254">
        <v>54</v>
      </c>
      <c r="M254" t="s">
        <v>38</v>
      </c>
      <c r="N254" t="s">
        <v>42</v>
      </c>
      <c r="O254">
        <v>15873</v>
      </c>
      <c r="P254">
        <v>150</v>
      </c>
      <c r="Q254" t="s">
        <v>33</v>
      </c>
      <c r="R254" t="str">
        <f t="shared" si="4"/>
        <v>No</v>
      </c>
    </row>
    <row r="255" spans="1:18" x14ac:dyDescent="0.35">
      <c r="A255" s="1">
        <v>40292</v>
      </c>
      <c r="B255">
        <v>0</v>
      </c>
      <c r="C255" t="s">
        <v>72</v>
      </c>
      <c r="D255" t="s">
        <v>46</v>
      </c>
      <c r="E255" t="s">
        <v>30</v>
      </c>
      <c r="F255">
        <v>18</v>
      </c>
      <c r="G255" t="s">
        <v>44</v>
      </c>
      <c r="H255" t="s">
        <v>30</v>
      </c>
      <c r="I255">
        <v>18</v>
      </c>
      <c r="J255">
        <v>3</v>
      </c>
      <c r="K255">
        <v>9</v>
      </c>
      <c r="L255">
        <v>51</v>
      </c>
      <c r="M255" t="s">
        <v>20</v>
      </c>
      <c r="N255" t="s">
        <v>45</v>
      </c>
      <c r="O255">
        <v>23870</v>
      </c>
      <c r="P255">
        <v>175</v>
      </c>
      <c r="Q255" t="s">
        <v>44</v>
      </c>
      <c r="R255" t="str">
        <f t="shared" si="4"/>
        <v>Yes</v>
      </c>
    </row>
    <row r="256" spans="1:18" x14ac:dyDescent="0.35">
      <c r="A256" s="1">
        <v>40292</v>
      </c>
      <c r="B256">
        <v>0</v>
      </c>
      <c r="C256" t="s">
        <v>72</v>
      </c>
      <c r="D256" t="s">
        <v>36</v>
      </c>
      <c r="E256" t="s">
        <v>30</v>
      </c>
      <c r="F256">
        <v>18</v>
      </c>
      <c r="G256" t="s">
        <v>47</v>
      </c>
      <c r="H256" t="s">
        <v>30</v>
      </c>
      <c r="I256">
        <v>17</v>
      </c>
      <c r="J256">
        <v>8</v>
      </c>
      <c r="K256">
        <v>4</v>
      </c>
      <c r="L256">
        <v>54</v>
      </c>
      <c r="M256" t="s">
        <v>20</v>
      </c>
      <c r="N256" t="s">
        <v>48</v>
      </c>
      <c r="O256">
        <v>45752</v>
      </c>
      <c r="P256">
        <v>186</v>
      </c>
      <c r="Q256" t="s">
        <v>36</v>
      </c>
      <c r="R256" t="str">
        <f t="shared" si="4"/>
        <v>No</v>
      </c>
    </row>
    <row r="257" spans="1:18" x14ac:dyDescent="0.35">
      <c r="A257" s="1">
        <v>40292</v>
      </c>
      <c r="B257">
        <v>0</v>
      </c>
      <c r="C257" t="s">
        <v>72</v>
      </c>
      <c r="D257" t="s">
        <v>25</v>
      </c>
      <c r="E257" t="s">
        <v>18</v>
      </c>
      <c r="F257">
        <v>17</v>
      </c>
      <c r="G257" t="s">
        <v>60</v>
      </c>
      <c r="H257" t="s">
        <v>18</v>
      </c>
      <c r="I257">
        <v>17</v>
      </c>
      <c r="J257">
        <v>3</v>
      </c>
      <c r="K257">
        <v>2</v>
      </c>
      <c r="L257">
        <v>54</v>
      </c>
      <c r="M257" t="s">
        <v>20</v>
      </c>
      <c r="N257" t="s">
        <v>61</v>
      </c>
      <c r="O257">
        <v>33323</v>
      </c>
      <c r="P257">
        <v>155</v>
      </c>
      <c r="Q257" t="s">
        <v>25</v>
      </c>
      <c r="R257" t="str">
        <f t="shared" si="4"/>
        <v>No</v>
      </c>
    </row>
    <row r="258" spans="1:18" x14ac:dyDescent="0.35">
      <c r="A258" s="1">
        <v>40292</v>
      </c>
      <c r="B258">
        <v>0</v>
      </c>
      <c r="C258" t="s">
        <v>72</v>
      </c>
      <c r="D258" t="s">
        <v>62</v>
      </c>
      <c r="E258" t="s">
        <v>18</v>
      </c>
      <c r="F258">
        <v>17</v>
      </c>
      <c r="G258" t="s">
        <v>53</v>
      </c>
      <c r="H258" t="s">
        <v>18</v>
      </c>
      <c r="I258">
        <v>18</v>
      </c>
      <c r="J258">
        <v>5</v>
      </c>
      <c r="K258">
        <v>0</v>
      </c>
      <c r="L258">
        <v>54</v>
      </c>
      <c r="M258" t="s">
        <v>38</v>
      </c>
      <c r="N258" t="s">
        <v>54</v>
      </c>
      <c r="O258">
        <v>19999</v>
      </c>
      <c r="P258">
        <v>145</v>
      </c>
      <c r="Q258" t="s">
        <v>62</v>
      </c>
      <c r="R258" t="str">
        <f t="shared" si="4"/>
        <v>No</v>
      </c>
    </row>
    <row r="259" spans="1:18" x14ac:dyDescent="0.35">
      <c r="A259" s="1">
        <v>40292</v>
      </c>
      <c r="B259">
        <v>1</v>
      </c>
      <c r="C259" t="s">
        <v>72</v>
      </c>
      <c r="D259" t="s">
        <v>17</v>
      </c>
      <c r="E259" t="s">
        <v>18</v>
      </c>
      <c r="F259">
        <v>17</v>
      </c>
      <c r="G259" t="s">
        <v>63</v>
      </c>
      <c r="H259" t="s">
        <v>18</v>
      </c>
      <c r="I259">
        <v>17</v>
      </c>
      <c r="J259">
        <v>4</v>
      </c>
      <c r="K259">
        <v>1</v>
      </c>
      <c r="L259">
        <v>54</v>
      </c>
      <c r="M259" t="s">
        <v>38</v>
      </c>
      <c r="N259" t="s">
        <v>64</v>
      </c>
      <c r="O259">
        <v>0</v>
      </c>
      <c r="P259">
        <v>150</v>
      </c>
      <c r="Q259" t="s">
        <v>17</v>
      </c>
      <c r="R259" t="str">
        <f t="shared" ref="R259:R322" si="5">IF(K259&gt;J259,"Yes","No")</f>
        <v>No</v>
      </c>
    </row>
    <row r="260" spans="1:18" x14ac:dyDescent="0.35">
      <c r="A260" s="1">
        <v>40292</v>
      </c>
      <c r="B260">
        <v>2</v>
      </c>
      <c r="C260" t="s">
        <v>72</v>
      </c>
      <c r="D260" t="s">
        <v>17</v>
      </c>
      <c r="E260" t="s">
        <v>18</v>
      </c>
      <c r="F260">
        <v>18</v>
      </c>
      <c r="G260" t="s">
        <v>63</v>
      </c>
      <c r="H260" t="s">
        <v>18</v>
      </c>
      <c r="I260">
        <v>18</v>
      </c>
      <c r="J260">
        <v>1</v>
      </c>
      <c r="K260">
        <v>8</v>
      </c>
      <c r="L260">
        <v>51</v>
      </c>
      <c r="M260" t="s">
        <v>20</v>
      </c>
      <c r="N260" t="s">
        <v>64</v>
      </c>
      <c r="O260">
        <v>31560</v>
      </c>
      <c r="P260">
        <v>157</v>
      </c>
      <c r="Q260" t="s">
        <v>63</v>
      </c>
      <c r="R260" t="str">
        <f t="shared" si="5"/>
        <v>Yes</v>
      </c>
    </row>
    <row r="261" spans="1:18" x14ac:dyDescent="0.35">
      <c r="A261" s="1">
        <v>40292</v>
      </c>
      <c r="B261">
        <v>0</v>
      </c>
      <c r="C261" t="s">
        <v>72</v>
      </c>
      <c r="D261" t="s">
        <v>23</v>
      </c>
      <c r="E261" t="s">
        <v>18</v>
      </c>
      <c r="F261">
        <v>17</v>
      </c>
      <c r="G261" t="s">
        <v>66</v>
      </c>
      <c r="H261" t="s">
        <v>18</v>
      </c>
      <c r="I261">
        <v>17</v>
      </c>
      <c r="J261">
        <v>2</v>
      </c>
      <c r="K261">
        <v>5</v>
      </c>
      <c r="L261">
        <v>51</v>
      </c>
      <c r="M261" t="s">
        <v>20</v>
      </c>
      <c r="N261" t="s">
        <v>67</v>
      </c>
      <c r="O261">
        <v>30562</v>
      </c>
      <c r="P261">
        <v>156</v>
      </c>
      <c r="Q261" t="s">
        <v>66</v>
      </c>
      <c r="R261" t="str">
        <f t="shared" si="5"/>
        <v>Yes</v>
      </c>
    </row>
    <row r="262" spans="1:18" x14ac:dyDescent="0.35">
      <c r="A262" s="1">
        <v>40292</v>
      </c>
      <c r="B262">
        <v>0</v>
      </c>
      <c r="C262" t="s">
        <v>72</v>
      </c>
      <c r="D262" t="s">
        <v>49</v>
      </c>
      <c r="E262" t="s">
        <v>18</v>
      </c>
      <c r="F262">
        <v>18</v>
      </c>
      <c r="G262" t="s">
        <v>68</v>
      </c>
      <c r="H262" t="s">
        <v>18</v>
      </c>
      <c r="I262">
        <v>17</v>
      </c>
      <c r="J262">
        <v>5</v>
      </c>
      <c r="K262">
        <v>1</v>
      </c>
      <c r="L262">
        <v>54</v>
      </c>
      <c r="M262" t="s">
        <v>20</v>
      </c>
      <c r="N262" t="s">
        <v>69</v>
      </c>
      <c r="O262">
        <v>43410</v>
      </c>
      <c r="P262">
        <v>189</v>
      </c>
      <c r="Q262" t="s">
        <v>49</v>
      </c>
      <c r="R262" t="str">
        <f t="shared" si="5"/>
        <v>No</v>
      </c>
    </row>
    <row r="263" spans="1:18" x14ac:dyDescent="0.35">
      <c r="A263" s="1">
        <v>40292</v>
      </c>
      <c r="B263">
        <v>0</v>
      </c>
      <c r="C263" t="s">
        <v>72</v>
      </c>
      <c r="D263" t="s">
        <v>50</v>
      </c>
      <c r="E263" t="s">
        <v>18</v>
      </c>
      <c r="F263">
        <v>17</v>
      </c>
      <c r="G263" t="s">
        <v>19</v>
      </c>
      <c r="H263" t="s">
        <v>18</v>
      </c>
      <c r="I263">
        <v>18</v>
      </c>
      <c r="J263">
        <v>1</v>
      </c>
      <c r="K263">
        <v>3</v>
      </c>
      <c r="L263">
        <v>51</v>
      </c>
      <c r="M263" t="s">
        <v>38</v>
      </c>
      <c r="N263" t="s">
        <v>21</v>
      </c>
      <c r="O263">
        <v>36547</v>
      </c>
      <c r="P263">
        <v>165</v>
      </c>
      <c r="Q263" t="s">
        <v>19</v>
      </c>
      <c r="R263" t="str">
        <f t="shared" si="5"/>
        <v>Yes</v>
      </c>
    </row>
    <row r="264" spans="1:18" x14ac:dyDescent="0.35">
      <c r="A264" s="1">
        <v>40292</v>
      </c>
      <c r="B264">
        <v>0</v>
      </c>
      <c r="C264" t="s">
        <v>72</v>
      </c>
      <c r="D264" t="s">
        <v>52</v>
      </c>
      <c r="E264" t="s">
        <v>18</v>
      </c>
      <c r="F264">
        <v>17</v>
      </c>
      <c r="G264" t="s">
        <v>70</v>
      </c>
      <c r="H264" t="s">
        <v>18</v>
      </c>
      <c r="I264">
        <v>17</v>
      </c>
      <c r="J264">
        <v>0</v>
      </c>
      <c r="K264">
        <v>2</v>
      </c>
      <c r="L264">
        <v>51</v>
      </c>
      <c r="M264" t="s">
        <v>20</v>
      </c>
      <c r="N264" t="s">
        <v>71</v>
      </c>
      <c r="O264">
        <v>41785</v>
      </c>
      <c r="P264">
        <v>146</v>
      </c>
      <c r="Q264" t="s">
        <v>70</v>
      </c>
      <c r="R264" t="str">
        <f t="shared" si="5"/>
        <v>Yes</v>
      </c>
    </row>
    <row r="265" spans="1:18" x14ac:dyDescent="0.35">
      <c r="A265" s="1">
        <v>40292</v>
      </c>
      <c r="B265">
        <v>0</v>
      </c>
      <c r="C265" t="s">
        <v>72</v>
      </c>
      <c r="D265" t="s">
        <v>22</v>
      </c>
      <c r="E265" t="s">
        <v>18</v>
      </c>
      <c r="F265">
        <v>17</v>
      </c>
      <c r="G265" t="s">
        <v>26</v>
      </c>
      <c r="H265" t="s">
        <v>18</v>
      </c>
      <c r="I265">
        <v>18</v>
      </c>
      <c r="J265">
        <v>4</v>
      </c>
      <c r="K265">
        <v>3</v>
      </c>
      <c r="L265">
        <v>78</v>
      </c>
      <c r="M265" t="s">
        <v>38</v>
      </c>
      <c r="N265" t="s">
        <v>27</v>
      </c>
      <c r="O265">
        <v>18039</v>
      </c>
      <c r="P265">
        <v>260</v>
      </c>
      <c r="Q265" t="s">
        <v>22</v>
      </c>
      <c r="R265" t="str">
        <f t="shared" si="5"/>
        <v>No</v>
      </c>
    </row>
    <row r="266" spans="1:18" x14ac:dyDescent="0.35">
      <c r="A266" s="1">
        <v>40293</v>
      </c>
      <c r="B266">
        <v>0</v>
      </c>
      <c r="C266" t="s">
        <v>73</v>
      </c>
      <c r="D266" t="s">
        <v>59</v>
      </c>
      <c r="E266" t="s">
        <v>30</v>
      </c>
      <c r="F266">
        <v>18</v>
      </c>
      <c r="G266" t="s">
        <v>31</v>
      </c>
      <c r="H266" t="s">
        <v>30</v>
      </c>
      <c r="I266">
        <v>20</v>
      </c>
      <c r="J266">
        <v>4</v>
      </c>
      <c r="K266">
        <v>8</v>
      </c>
      <c r="L266">
        <v>51</v>
      </c>
      <c r="M266" t="s">
        <v>38</v>
      </c>
      <c r="N266" t="s">
        <v>32</v>
      </c>
      <c r="O266">
        <v>42284</v>
      </c>
      <c r="P266">
        <v>181</v>
      </c>
      <c r="Q266" t="s">
        <v>31</v>
      </c>
      <c r="R266" t="str">
        <f t="shared" si="5"/>
        <v>Yes</v>
      </c>
    </row>
    <row r="267" spans="1:18" x14ac:dyDescent="0.35">
      <c r="A267" s="1">
        <v>40293</v>
      </c>
      <c r="B267">
        <v>0</v>
      </c>
      <c r="C267" t="s">
        <v>73</v>
      </c>
      <c r="D267" t="s">
        <v>43</v>
      </c>
      <c r="E267" t="s">
        <v>30</v>
      </c>
      <c r="F267">
        <v>19</v>
      </c>
      <c r="G267" t="s">
        <v>58</v>
      </c>
      <c r="H267" t="s">
        <v>30</v>
      </c>
      <c r="I267">
        <v>19</v>
      </c>
      <c r="J267">
        <v>7</v>
      </c>
      <c r="K267">
        <v>6</v>
      </c>
      <c r="L267">
        <v>60</v>
      </c>
      <c r="M267" t="s">
        <v>38</v>
      </c>
      <c r="N267" t="s">
        <v>86</v>
      </c>
      <c r="O267">
        <v>37102</v>
      </c>
      <c r="P267">
        <v>224</v>
      </c>
      <c r="Q267" t="s">
        <v>43</v>
      </c>
      <c r="R267" t="str">
        <f t="shared" si="5"/>
        <v>No</v>
      </c>
    </row>
    <row r="268" spans="1:18" x14ac:dyDescent="0.35">
      <c r="A268" s="1">
        <v>40293</v>
      </c>
      <c r="B268">
        <v>0</v>
      </c>
      <c r="C268" t="s">
        <v>73</v>
      </c>
      <c r="D268" t="s">
        <v>40</v>
      </c>
      <c r="E268" t="s">
        <v>30</v>
      </c>
      <c r="F268">
        <v>19</v>
      </c>
      <c r="G268" t="s">
        <v>34</v>
      </c>
      <c r="H268" t="s">
        <v>30</v>
      </c>
      <c r="I268">
        <v>19</v>
      </c>
      <c r="J268">
        <v>2</v>
      </c>
      <c r="K268">
        <v>3</v>
      </c>
      <c r="L268">
        <v>51</v>
      </c>
      <c r="M268" t="s">
        <v>38</v>
      </c>
      <c r="N268" t="s">
        <v>35</v>
      </c>
      <c r="O268">
        <v>28274</v>
      </c>
      <c r="P268">
        <v>134</v>
      </c>
      <c r="Q268" t="s">
        <v>34</v>
      </c>
      <c r="R268" t="str">
        <f t="shared" si="5"/>
        <v>Yes</v>
      </c>
    </row>
    <row r="269" spans="1:18" x14ac:dyDescent="0.35">
      <c r="A269" s="1">
        <v>40293</v>
      </c>
      <c r="B269">
        <v>0</v>
      </c>
      <c r="C269" t="s">
        <v>73</v>
      </c>
      <c r="D269" t="s">
        <v>29</v>
      </c>
      <c r="E269" t="s">
        <v>30</v>
      </c>
      <c r="F269">
        <v>19</v>
      </c>
      <c r="G269" t="s">
        <v>37</v>
      </c>
      <c r="H269" t="s">
        <v>30</v>
      </c>
      <c r="I269">
        <v>18</v>
      </c>
      <c r="J269">
        <v>3</v>
      </c>
      <c r="K269">
        <v>4</v>
      </c>
      <c r="L269">
        <v>51</v>
      </c>
      <c r="M269" t="s">
        <v>38</v>
      </c>
      <c r="N269" t="s">
        <v>39</v>
      </c>
      <c r="O269">
        <v>15601</v>
      </c>
      <c r="P269">
        <v>178</v>
      </c>
      <c r="Q269" t="s">
        <v>37</v>
      </c>
      <c r="R269" t="str">
        <f t="shared" si="5"/>
        <v>Yes</v>
      </c>
    </row>
    <row r="270" spans="1:18" x14ac:dyDescent="0.35">
      <c r="A270" s="1">
        <v>40293</v>
      </c>
      <c r="B270">
        <v>0</v>
      </c>
      <c r="C270" t="s">
        <v>73</v>
      </c>
      <c r="D270" t="s">
        <v>33</v>
      </c>
      <c r="E270" t="s">
        <v>30</v>
      </c>
      <c r="F270">
        <v>18</v>
      </c>
      <c r="G270" t="s">
        <v>41</v>
      </c>
      <c r="H270" t="s">
        <v>30</v>
      </c>
      <c r="I270">
        <v>20</v>
      </c>
      <c r="J270">
        <v>0</v>
      </c>
      <c r="K270">
        <v>11</v>
      </c>
      <c r="L270">
        <v>51</v>
      </c>
      <c r="M270" t="s">
        <v>38</v>
      </c>
      <c r="N270" t="s">
        <v>42</v>
      </c>
      <c r="O270">
        <v>16946</v>
      </c>
      <c r="P270">
        <v>147</v>
      </c>
      <c r="Q270" t="s">
        <v>41</v>
      </c>
      <c r="R270" t="str">
        <f t="shared" si="5"/>
        <v>Yes</v>
      </c>
    </row>
    <row r="271" spans="1:18" x14ac:dyDescent="0.35">
      <c r="A271" s="1">
        <v>40293</v>
      </c>
      <c r="B271">
        <v>0</v>
      </c>
      <c r="C271" t="s">
        <v>73</v>
      </c>
      <c r="D271" t="s">
        <v>46</v>
      </c>
      <c r="E271" t="s">
        <v>30</v>
      </c>
      <c r="F271">
        <v>19</v>
      </c>
      <c r="G271" t="s">
        <v>44</v>
      </c>
      <c r="H271" t="s">
        <v>30</v>
      </c>
      <c r="I271">
        <v>19</v>
      </c>
      <c r="J271">
        <v>0</v>
      </c>
      <c r="K271">
        <v>6</v>
      </c>
      <c r="L271">
        <v>51</v>
      </c>
      <c r="M271" t="s">
        <v>38</v>
      </c>
      <c r="N271" t="s">
        <v>45</v>
      </c>
      <c r="O271">
        <v>23250</v>
      </c>
      <c r="P271">
        <v>158</v>
      </c>
      <c r="Q271" t="s">
        <v>44</v>
      </c>
      <c r="R271" t="str">
        <f t="shared" si="5"/>
        <v>Yes</v>
      </c>
    </row>
    <row r="272" spans="1:18" x14ac:dyDescent="0.35">
      <c r="A272" s="1">
        <v>40293</v>
      </c>
      <c r="B272">
        <v>0</v>
      </c>
      <c r="C272" t="s">
        <v>73</v>
      </c>
      <c r="D272" t="s">
        <v>36</v>
      </c>
      <c r="E272" t="s">
        <v>30</v>
      </c>
      <c r="F272">
        <v>19</v>
      </c>
      <c r="G272" t="s">
        <v>47</v>
      </c>
      <c r="H272" t="s">
        <v>30</v>
      </c>
      <c r="I272">
        <v>18</v>
      </c>
      <c r="J272">
        <v>4</v>
      </c>
      <c r="K272">
        <v>8</v>
      </c>
      <c r="L272">
        <v>51</v>
      </c>
      <c r="M272" t="s">
        <v>38</v>
      </c>
      <c r="N272" t="s">
        <v>48</v>
      </c>
      <c r="O272">
        <v>31211</v>
      </c>
      <c r="P272">
        <v>167</v>
      </c>
      <c r="Q272" t="s">
        <v>47</v>
      </c>
      <c r="R272" t="str">
        <f t="shared" si="5"/>
        <v>Yes</v>
      </c>
    </row>
    <row r="273" spans="1:18" x14ac:dyDescent="0.35">
      <c r="A273" s="1">
        <v>40293</v>
      </c>
      <c r="B273">
        <v>0</v>
      </c>
      <c r="C273" t="s">
        <v>73</v>
      </c>
      <c r="D273" t="s">
        <v>25</v>
      </c>
      <c r="E273" t="s">
        <v>18</v>
      </c>
      <c r="F273">
        <v>18</v>
      </c>
      <c r="G273" t="s">
        <v>60</v>
      </c>
      <c r="H273" t="s">
        <v>18</v>
      </c>
      <c r="I273">
        <v>18</v>
      </c>
      <c r="J273">
        <v>6</v>
      </c>
      <c r="K273">
        <v>8</v>
      </c>
      <c r="L273">
        <v>51</v>
      </c>
      <c r="M273" t="s">
        <v>38</v>
      </c>
      <c r="N273" t="s">
        <v>61</v>
      </c>
      <c r="O273">
        <v>29296</v>
      </c>
      <c r="P273">
        <v>192</v>
      </c>
      <c r="Q273" t="s">
        <v>60</v>
      </c>
      <c r="R273" t="str">
        <f t="shared" si="5"/>
        <v>Yes</v>
      </c>
    </row>
    <row r="274" spans="1:18" x14ac:dyDescent="0.35">
      <c r="A274" s="1">
        <v>40293</v>
      </c>
      <c r="B274">
        <v>0</v>
      </c>
      <c r="C274" t="s">
        <v>73</v>
      </c>
      <c r="D274" t="s">
        <v>62</v>
      </c>
      <c r="E274" t="s">
        <v>18</v>
      </c>
      <c r="F274">
        <v>18</v>
      </c>
      <c r="G274" t="s">
        <v>53</v>
      </c>
      <c r="H274" t="s">
        <v>18</v>
      </c>
      <c r="I274">
        <v>19</v>
      </c>
      <c r="J274">
        <v>4</v>
      </c>
      <c r="K274">
        <v>5</v>
      </c>
      <c r="L274">
        <v>51</v>
      </c>
      <c r="M274" t="s">
        <v>38</v>
      </c>
      <c r="N274" t="s">
        <v>54</v>
      </c>
      <c r="O274">
        <v>17694</v>
      </c>
      <c r="P274">
        <v>175</v>
      </c>
      <c r="Q274" t="s">
        <v>53</v>
      </c>
      <c r="R274" t="str">
        <f t="shared" si="5"/>
        <v>Yes</v>
      </c>
    </row>
    <row r="275" spans="1:18" x14ac:dyDescent="0.35">
      <c r="A275" s="1">
        <v>40293</v>
      </c>
      <c r="B275">
        <v>0</v>
      </c>
      <c r="C275" t="s">
        <v>73</v>
      </c>
      <c r="D275" t="s">
        <v>17</v>
      </c>
      <c r="E275" t="s">
        <v>18</v>
      </c>
      <c r="F275">
        <v>19</v>
      </c>
      <c r="G275" t="s">
        <v>63</v>
      </c>
      <c r="H275" t="s">
        <v>18</v>
      </c>
      <c r="I275">
        <v>19</v>
      </c>
      <c r="J275">
        <v>4</v>
      </c>
      <c r="K275">
        <v>8</v>
      </c>
      <c r="L275">
        <v>51</v>
      </c>
      <c r="M275" t="s">
        <v>38</v>
      </c>
      <c r="N275" t="s">
        <v>64</v>
      </c>
      <c r="O275">
        <v>35883</v>
      </c>
      <c r="P275">
        <v>186</v>
      </c>
      <c r="Q275" t="s">
        <v>63</v>
      </c>
      <c r="R275" t="str">
        <f t="shared" si="5"/>
        <v>Yes</v>
      </c>
    </row>
    <row r="276" spans="1:18" x14ac:dyDescent="0.35">
      <c r="A276" s="1">
        <v>40293</v>
      </c>
      <c r="B276">
        <v>0</v>
      </c>
      <c r="C276" t="s">
        <v>73</v>
      </c>
      <c r="D276" t="s">
        <v>23</v>
      </c>
      <c r="E276" t="s">
        <v>18</v>
      </c>
      <c r="F276">
        <v>18</v>
      </c>
      <c r="G276" t="s">
        <v>66</v>
      </c>
      <c r="H276" t="s">
        <v>18</v>
      </c>
      <c r="I276">
        <v>18</v>
      </c>
      <c r="J276">
        <v>3</v>
      </c>
      <c r="K276">
        <v>10</v>
      </c>
      <c r="L276">
        <v>51</v>
      </c>
      <c r="M276" t="s">
        <v>38</v>
      </c>
      <c r="N276" t="s">
        <v>67</v>
      </c>
      <c r="O276">
        <v>27210</v>
      </c>
      <c r="P276">
        <v>191</v>
      </c>
      <c r="Q276" t="s">
        <v>66</v>
      </c>
      <c r="R276" t="str">
        <f t="shared" si="5"/>
        <v>Yes</v>
      </c>
    </row>
    <row r="277" spans="1:18" x14ac:dyDescent="0.35">
      <c r="A277" s="1">
        <v>40293</v>
      </c>
      <c r="B277">
        <v>0</v>
      </c>
      <c r="C277" t="s">
        <v>73</v>
      </c>
      <c r="D277" t="s">
        <v>49</v>
      </c>
      <c r="E277" t="s">
        <v>18</v>
      </c>
      <c r="F277">
        <v>19</v>
      </c>
      <c r="G277" t="s">
        <v>68</v>
      </c>
      <c r="H277" t="s">
        <v>18</v>
      </c>
      <c r="I277">
        <v>18</v>
      </c>
      <c r="J277">
        <v>12</v>
      </c>
      <c r="K277">
        <v>2</v>
      </c>
      <c r="L277">
        <v>54</v>
      </c>
      <c r="M277" t="s">
        <v>38</v>
      </c>
      <c r="N277" t="s">
        <v>69</v>
      </c>
      <c r="O277">
        <v>38634</v>
      </c>
      <c r="P277">
        <v>178</v>
      </c>
      <c r="Q277" t="s">
        <v>49</v>
      </c>
      <c r="R277" t="str">
        <f t="shared" si="5"/>
        <v>No</v>
      </c>
    </row>
    <row r="278" spans="1:18" x14ac:dyDescent="0.35">
      <c r="A278" s="1">
        <v>40293</v>
      </c>
      <c r="B278">
        <v>0</v>
      </c>
      <c r="C278" t="s">
        <v>73</v>
      </c>
      <c r="D278" t="s">
        <v>50</v>
      </c>
      <c r="E278" t="s">
        <v>18</v>
      </c>
      <c r="F278">
        <v>18</v>
      </c>
      <c r="G278" t="s">
        <v>19</v>
      </c>
      <c r="H278" t="s">
        <v>18</v>
      </c>
      <c r="I278">
        <v>19</v>
      </c>
      <c r="J278">
        <v>0</v>
      </c>
      <c r="K278">
        <v>1</v>
      </c>
      <c r="L278">
        <v>30</v>
      </c>
      <c r="M278" t="s">
        <v>20</v>
      </c>
      <c r="N278" t="s">
        <v>21</v>
      </c>
      <c r="O278">
        <v>27623</v>
      </c>
      <c r="P278">
        <v>118</v>
      </c>
      <c r="Q278" t="s">
        <v>19</v>
      </c>
      <c r="R278" t="str">
        <f t="shared" si="5"/>
        <v>Yes</v>
      </c>
    </row>
    <row r="279" spans="1:18" x14ac:dyDescent="0.35">
      <c r="A279" s="1">
        <v>40293</v>
      </c>
      <c r="B279">
        <v>0</v>
      </c>
      <c r="C279" t="s">
        <v>73</v>
      </c>
      <c r="D279" t="s">
        <v>52</v>
      </c>
      <c r="E279" t="s">
        <v>18</v>
      </c>
      <c r="F279">
        <v>18</v>
      </c>
      <c r="G279" t="s">
        <v>70</v>
      </c>
      <c r="H279" t="s">
        <v>18</v>
      </c>
      <c r="I279">
        <v>18</v>
      </c>
      <c r="J279">
        <v>2</v>
      </c>
      <c r="K279">
        <v>0</v>
      </c>
      <c r="L279">
        <v>54</v>
      </c>
      <c r="M279" t="s">
        <v>38</v>
      </c>
      <c r="N279" t="s">
        <v>71</v>
      </c>
      <c r="O279">
        <v>40230</v>
      </c>
      <c r="P279">
        <v>168</v>
      </c>
      <c r="Q279" t="s">
        <v>52</v>
      </c>
      <c r="R279" t="str">
        <f t="shared" si="5"/>
        <v>No</v>
      </c>
    </row>
    <row r="280" spans="1:18" x14ac:dyDescent="0.35">
      <c r="A280" s="1">
        <v>40293</v>
      </c>
      <c r="B280">
        <v>0</v>
      </c>
      <c r="C280" t="s">
        <v>73</v>
      </c>
      <c r="D280" t="s">
        <v>22</v>
      </c>
      <c r="E280" t="s">
        <v>18</v>
      </c>
      <c r="F280">
        <v>18</v>
      </c>
      <c r="G280" t="s">
        <v>26</v>
      </c>
      <c r="H280" t="s">
        <v>18</v>
      </c>
      <c r="I280">
        <v>19</v>
      </c>
      <c r="J280">
        <v>0</v>
      </c>
      <c r="K280">
        <v>1</v>
      </c>
      <c r="L280">
        <v>51</v>
      </c>
      <c r="M280" t="s">
        <v>38</v>
      </c>
      <c r="N280" t="s">
        <v>27</v>
      </c>
      <c r="O280">
        <v>18395</v>
      </c>
      <c r="P280">
        <v>145</v>
      </c>
      <c r="Q280" t="s">
        <v>26</v>
      </c>
      <c r="R280" t="str">
        <f t="shared" si="5"/>
        <v>Yes</v>
      </c>
    </row>
    <row r="281" spans="1:18" x14ac:dyDescent="0.35">
      <c r="A281" s="1">
        <v>40294</v>
      </c>
      <c r="B281">
        <v>0</v>
      </c>
      <c r="C281" t="s">
        <v>74</v>
      </c>
      <c r="D281" t="s">
        <v>33</v>
      </c>
      <c r="E281" t="s">
        <v>30</v>
      </c>
      <c r="F281">
        <v>19</v>
      </c>
      <c r="G281" t="s">
        <v>31</v>
      </c>
      <c r="H281" t="s">
        <v>30</v>
      </c>
      <c r="I281">
        <v>21</v>
      </c>
      <c r="J281">
        <v>2</v>
      </c>
      <c r="K281">
        <v>5</v>
      </c>
      <c r="L281">
        <v>51</v>
      </c>
      <c r="M281" t="s">
        <v>20</v>
      </c>
      <c r="N281" t="s">
        <v>32</v>
      </c>
      <c r="O281">
        <v>34837</v>
      </c>
      <c r="P281">
        <v>199</v>
      </c>
      <c r="Q281" t="s">
        <v>31</v>
      </c>
      <c r="R281" t="str">
        <f t="shared" si="5"/>
        <v>Yes</v>
      </c>
    </row>
    <row r="282" spans="1:18" x14ac:dyDescent="0.35">
      <c r="A282" s="1">
        <v>40294</v>
      </c>
      <c r="B282">
        <v>0</v>
      </c>
      <c r="C282" t="s">
        <v>74</v>
      </c>
      <c r="D282" t="s">
        <v>40</v>
      </c>
      <c r="E282" t="s">
        <v>30</v>
      </c>
      <c r="F282">
        <v>20</v>
      </c>
      <c r="G282" t="s">
        <v>37</v>
      </c>
      <c r="H282" t="s">
        <v>30</v>
      </c>
      <c r="I282">
        <v>19</v>
      </c>
      <c r="J282">
        <v>1</v>
      </c>
      <c r="K282">
        <v>3</v>
      </c>
      <c r="L282">
        <v>51</v>
      </c>
      <c r="M282" t="s">
        <v>20</v>
      </c>
      <c r="N282" t="s">
        <v>39</v>
      </c>
      <c r="O282">
        <v>11391</v>
      </c>
      <c r="P282">
        <v>166</v>
      </c>
      <c r="Q282" t="s">
        <v>37</v>
      </c>
      <c r="R282" t="str">
        <f t="shared" si="5"/>
        <v>Yes</v>
      </c>
    </row>
    <row r="283" spans="1:18" x14ac:dyDescent="0.35">
      <c r="A283" s="1">
        <v>40294</v>
      </c>
      <c r="B283">
        <v>0</v>
      </c>
      <c r="C283" t="s">
        <v>74</v>
      </c>
      <c r="D283" t="s">
        <v>36</v>
      </c>
      <c r="E283" t="s">
        <v>30</v>
      </c>
      <c r="F283">
        <v>20</v>
      </c>
      <c r="G283" t="s">
        <v>47</v>
      </c>
      <c r="H283" t="s">
        <v>30</v>
      </c>
      <c r="I283">
        <v>19</v>
      </c>
      <c r="J283">
        <v>8</v>
      </c>
      <c r="K283">
        <v>6</v>
      </c>
      <c r="L283">
        <v>54</v>
      </c>
      <c r="M283" t="s">
        <v>20</v>
      </c>
      <c r="N283" t="s">
        <v>48</v>
      </c>
      <c r="O283">
        <v>16381</v>
      </c>
      <c r="P283">
        <v>163</v>
      </c>
      <c r="Q283" t="s">
        <v>36</v>
      </c>
      <c r="R283" t="str">
        <f t="shared" si="5"/>
        <v>No</v>
      </c>
    </row>
    <row r="284" spans="1:18" x14ac:dyDescent="0.35">
      <c r="A284" s="1">
        <v>40294</v>
      </c>
      <c r="B284">
        <v>0</v>
      </c>
      <c r="C284" t="s">
        <v>74</v>
      </c>
      <c r="D284" t="s">
        <v>58</v>
      </c>
      <c r="E284" t="s">
        <v>30</v>
      </c>
      <c r="F284">
        <v>20</v>
      </c>
      <c r="G284" t="s">
        <v>46</v>
      </c>
      <c r="H284" t="s">
        <v>30</v>
      </c>
      <c r="I284">
        <v>20</v>
      </c>
      <c r="J284">
        <v>13</v>
      </c>
      <c r="K284">
        <v>12</v>
      </c>
      <c r="L284">
        <v>54</v>
      </c>
      <c r="M284" t="s">
        <v>20</v>
      </c>
      <c r="N284" t="s">
        <v>78</v>
      </c>
      <c r="O284">
        <v>13847</v>
      </c>
      <c r="P284">
        <v>243</v>
      </c>
      <c r="Q284" t="s">
        <v>58</v>
      </c>
      <c r="R284" t="str">
        <f t="shared" si="5"/>
        <v>No</v>
      </c>
    </row>
    <row r="285" spans="1:18" x14ac:dyDescent="0.35">
      <c r="A285" s="1">
        <v>40294</v>
      </c>
      <c r="B285">
        <v>0</v>
      </c>
      <c r="C285" t="s">
        <v>74</v>
      </c>
      <c r="D285" t="s">
        <v>26</v>
      </c>
      <c r="E285" t="s">
        <v>18</v>
      </c>
      <c r="F285">
        <v>20</v>
      </c>
      <c r="G285" t="s">
        <v>49</v>
      </c>
      <c r="H285" t="s">
        <v>18</v>
      </c>
      <c r="I285">
        <v>20</v>
      </c>
      <c r="J285">
        <v>3</v>
      </c>
      <c r="K285">
        <v>4</v>
      </c>
      <c r="L285">
        <v>58</v>
      </c>
      <c r="M285" t="s">
        <v>20</v>
      </c>
      <c r="N285" t="s">
        <v>79</v>
      </c>
      <c r="O285">
        <v>37850</v>
      </c>
      <c r="P285">
        <v>165</v>
      </c>
      <c r="Q285" t="s">
        <v>49</v>
      </c>
      <c r="R285" t="str">
        <f t="shared" si="5"/>
        <v>Yes</v>
      </c>
    </row>
    <row r="286" spans="1:18" x14ac:dyDescent="0.35">
      <c r="A286" s="1">
        <v>40294</v>
      </c>
      <c r="B286">
        <v>0</v>
      </c>
      <c r="C286" t="s">
        <v>74</v>
      </c>
      <c r="D286" t="s">
        <v>60</v>
      </c>
      <c r="E286" t="s">
        <v>18</v>
      </c>
      <c r="F286">
        <v>19</v>
      </c>
      <c r="G286" t="s">
        <v>63</v>
      </c>
      <c r="H286" t="s">
        <v>18</v>
      </c>
      <c r="I286">
        <v>20</v>
      </c>
      <c r="J286">
        <v>5</v>
      </c>
      <c r="K286">
        <v>3</v>
      </c>
      <c r="L286">
        <v>54</v>
      </c>
      <c r="M286" t="s">
        <v>20</v>
      </c>
      <c r="N286" t="s">
        <v>64</v>
      </c>
      <c r="O286">
        <v>20308</v>
      </c>
      <c r="P286">
        <v>169</v>
      </c>
      <c r="Q286" t="s">
        <v>60</v>
      </c>
      <c r="R286" t="str">
        <f t="shared" si="5"/>
        <v>No</v>
      </c>
    </row>
    <row r="287" spans="1:18" x14ac:dyDescent="0.35">
      <c r="A287" s="1">
        <v>40294</v>
      </c>
      <c r="B287">
        <v>0</v>
      </c>
      <c r="C287" t="s">
        <v>74</v>
      </c>
      <c r="D287" t="s">
        <v>62</v>
      </c>
      <c r="E287" t="s">
        <v>18</v>
      </c>
      <c r="F287">
        <v>19</v>
      </c>
      <c r="G287" t="s">
        <v>17</v>
      </c>
      <c r="H287" t="s">
        <v>18</v>
      </c>
      <c r="I287">
        <v>20</v>
      </c>
      <c r="J287">
        <v>1</v>
      </c>
      <c r="K287">
        <v>10</v>
      </c>
      <c r="L287">
        <v>51</v>
      </c>
      <c r="M287" t="s">
        <v>20</v>
      </c>
      <c r="N287" t="s">
        <v>65</v>
      </c>
      <c r="O287">
        <v>10924</v>
      </c>
      <c r="P287">
        <v>155</v>
      </c>
      <c r="Q287" t="s">
        <v>17</v>
      </c>
      <c r="R287" t="str">
        <f t="shared" si="5"/>
        <v>Yes</v>
      </c>
    </row>
    <row r="288" spans="1:18" x14ac:dyDescent="0.35">
      <c r="A288" s="1">
        <v>40294</v>
      </c>
      <c r="B288">
        <v>0</v>
      </c>
      <c r="C288" t="s">
        <v>74</v>
      </c>
      <c r="D288" t="s">
        <v>23</v>
      </c>
      <c r="E288" t="s">
        <v>18</v>
      </c>
      <c r="F288">
        <v>19</v>
      </c>
      <c r="G288" t="s">
        <v>68</v>
      </c>
      <c r="H288" t="s">
        <v>18</v>
      </c>
      <c r="I288">
        <v>19</v>
      </c>
      <c r="J288">
        <v>3</v>
      </c>
      <c r="K288">
        <v>17</v>
      </c>
      <c r="L288">
        <v>51</v>
      </c>
      <c r="M288" t="s">
        <v>20</v>
      </c>
      <c r="N288" t="s">
        <v>69</v>
      </c>
      <c r="O288">
        <v>25892</v>
      </c>
      <c r="P288">
        <v>217</v>
      </c>
      <c r="Q288" t="s">
        <v>68</v>
      </c>
      <c r="R288" t="str">
        <f t="shared" si="5"/>
        <v>Yes</v>
      </c>
    </row>
    <row r="289" spans="1:18" x14ac:dyDescent="0.35">
      <c r="A289" s="1">
        <v>40294</v>
      </c>
      <c r="B289">
        <v>0</v>
      </c>
      <c r="C289" t="s">
        <v>74</v>
      </c>
      <c r="D289" t="s">
        <v>25</v>
      </c>
      <c r="E289" t="s">
        <v>18</v>
      </c>
      <c r="F289">
        <v>19</v>
      </c>
      <c r="G289" t="s">
        <v>70</v>
      </c>
      <c r="H289" t="s">
        <v>18</v>
      </c>
      <c r="I289">
        <v>19</v>
      </c>
      <c r="J289">
        <v>1</v>
      </c>
      <c r="K289">
        <v>5</v>
      </c>
      <c r="L289">
        <v>51</v>
      </c>
      <c r="M289" t="s">
        <v>20</v>
      </c>
      <c r="N289" t="s">
        <v>71</v>
      </c>
      <c r="O289">
        <v>30035</v>
      </c>
      <c r="P289">
        <v>164</v>
      </c>
      <c r="Q289" t="s">
        <v>70</v>
      </c>
      <c r="R289" t="str">
        <f t="shared" si="5"/>
        <v>Yes</v>
      </c>
    </row>
    <row r="290" spans="1:18" x14ac:dyDescent="0.35">
      <c r="A290" s="1">
        <v>40294</v>
      </c>
      <c r="B290">
        <v>0</v>
      </c>
      <c r="C290" t="s">
        <v>74</v>
      </c>
      <c r="D290" t="s">
        <v>50</v>
      </c>
      <c r="E290" t="s">
        <v>18</v>
      </c>
      <c r="F290">
        <v>19</v>
      </c>
      <c r="G290" t="s">
        <v>52</v>
      </c>
      <c r="H290" t="s">
        <v>18</v>
      </c>
      <c r="I290">
        <v>19</v>
      </c>
      <c r="J290">
        <v>3</v>
      </c>
      <c r="K290">
        <v>4</v>
      </c>
      <c r="L290">
        <v>51</v>
      </c>
      <c r="M290" t="s">
        <v>20</v>
      </c>
      <c r="N290" t="s">
        <v>82</v>
      </c>
      <c r="O290">
        <v>35257</v>
      </c>
      <c r="P290">
        <v>177</v>
      </c>
      <c r="Q290" t="s">
        <v>52</v>
      </c>
      <c r="R290" t="str">
        <f t="shared" si="5"/>
        <v>Yes</v>
      </c>
    </row>
    <row r="291" spans="1:18" x14ac:dyDescent="0.35">
      <c r="A291" s="1">
        <v>40295</v>
      </c>
      <c r="B291">
        <v>0</v>
      </c>
      <c r="C291" t="s">
        <v>83</v>
      </c>
      <c r="D291" t="s">
        <v>33</v>
      </c>
      <c r="E291" t="s">
        <v>30</v>
      </c>
      <c r="F291">
        <v>20</v>
      </c>
      <c r="G291" t="s">
        <v>31</v>
      </c>
      <c r="H291" t="s">
        <v>30</v>
      </c>
      <c r="I291">
        <v>22</v>
      </c>
      <c r="J291">
        <v>9</v>
      </c>
      <c r="K291">
        <v>2</v>
      </c>
      <c r="L291">
        <v>54</v>
      </c>
      <c r="M291" t="s">
        <v>20</v>
      </c>
      <c r="N291" t="s">
        <v>32</v>
      </c>
      <c r="O291">
        <v>39619</v>
      </c>
      <c r="P291">
        <v>200</v>
      </c>
      <c r="Q291" t="s">
        <v>33</v>
      </c>
      <c r="R291" t="str">
        <f t="shared" si="5"/>
        <v>No</v>
      </c>
    </row>
    <row r="292" spans="1:18" x14ac:dyDescent="0.35">
      <c r="A292" s="1">
        <v>40295</v>
      </c>
      <c r="B292">
        <v>0</v>
      </c>
      <c r="C292" t="s">
        <v>83</v>
      </c>
      <c r="D292" t="s">
        <v>59</v>
      </c>
      <c r="E292" t="s">
        <v>30</v>
      </c>
      <c r="F292">
        <v>19</v>
      </c>
      <c r="G292" t="s">
        <v>43</v>
      </c>
      <c r="H292" t="s">
        <v>30</v>
      </c>
      <c r="I292">
        <v>20</v>
      </c>
      <c r="J292">
        <v>4</v>
      </c>
      <c r="K292">
        <v>5</v>
      </c>
      <c r="L292">
        <v>51</v>
      </c>
      <c r="M292" t="s">
        <v>20</v>
      </c>
      <c r="N292" t="s">
        <v>56</v>
      </c>
      <c r="O292">
        <v>20536</v>
      </c>
      <c r="P292">
        <v>204</v>
      </c>
      <c r="Q292" t="s">
        <v>43</v>
      </c>
      <c r="R292" t="str">
        <f t="shared" si="5"/>
        <v>Yes</v>
      </c>
    </row>
    <row r="293" spans="1:18" x14ac:dyDescent="0.35">
      <c r="A293" s="1">
        <v>40295</v>
      </c>
      <c r="B293">
        <v>0</v>
      </c>
      <c r="C293" t="s">
        <v>83</v>
      </c>
      <c r="D293" t="s">
        <v>29</v>
      </c>
      <c r="E293" t="s">
        <v>30</v>
      </c>
      <c r="F293">
        <v>20</v>
      </c>
      <c r="G293" t="s">
        <v>36</v>
      </c>
      <c r="H293" t="s">
        <v>30</v>
      </c>
      <c r="I293">
        <v>21</v>
      </c>
      <c r="J293">
        <v>2</v>
      </c>
      <c r="K293">
        <v>0</v>
      </c>
      <c r="L293">
        <v>54</v>
      </c>
      <c r="M293" t="s">
        <v>20</v>
      </c>
      <c r="N293" t="s">
        <v>57</v>
      </c>
      <c r="O293">
        <v>22008</v>
      </c>
      <c r="P293">
        <v>171</v>
      </c>
      <c r="Q293" t="s">
        <v>29</v>
      </c>
      <c r="R293" t="str">
        <f t="shared" si="5"/>
        <v>No</v>
      </c>
    </row>
    <row r="294" spans="1:18" x14ac:dyDescent="0.35">
      <c r="A294" s="1">
        <v>40295</v>
      </c>
      <c r="B294">
        <v>0</v>
      </c>
      <c r="C294" t="s">
        <v>83</v>
      </c>
      <c r="D294" t="s">
        <v>40</v>
      </c>
      <c r="E294" t="s">
        <v>30</v>
      </c>
      <c r="F294">
        <v>21</v>
      </c>
      <c r="G294" t="s">
        <v>37</v>
      </c>
      <c r="H294" t="s">
        <v>30</v>
      </c>
      <c r="I294">
        <v>20</v>
      </c>
      <c r="J294">
        <v>3</v>
      </c>
      <c r="K294">
        <v>2</v>
      </c>
      <c r="L294">
        <v>54</v>
      </c>
      <c r="M294" t="s">
        <v>20</v>
      </c>
      <c r="N294" t="s">
        <v>39</v>
      </c>
      <c r="O294">
        <v>14969</v>
      </c>
      <c r="P294">
        <v>185</v>
      </c>
      <c r="Q294" t="s">
        <v>40</v>
      </c>
      <c r="R294" t="str">
        <f t="shared" si="5"/>
        <v>No</v>
      </c>
    </row>
    <row r="295" spans="1:18" x14ac:dyDescent="0.35">
      <c r="A295" s="1">
        <v>40295</v>
      </c>
      <c r="B295">
        <v>0</v>
      </c>
      <c r="C295" t="s">
        <v>83</v>
      </c>
      <c r="D295" t="s">
        <v>41</v>
      </c>
      <c r="E295" t="s">
        <v>30</v>
      </c>
      <c r="F295">
        <v>21</v>
      </c>
      <c r="G295" t="s">
        <v>44</v>
      </c>
      <c r="H295" t="s">
        <v>30</v>
      </c>
      <c r="I295">
        <v>20</v>
      </c>
      <c r="J295">
        <v>6</v>
      </c>
      <c r="K295">
        <v>8</v>
      </c>
      <c r="L295">
        <v>51</v>
      </c>
      <c r="M295" t="s">
        <v>20</v>
      </c>
      <c r="N295" t="s">
        <v>45</v>
      </c>
      <c r="O295">
        <v>10825</v>
      </c>
      <c r="P295">
        <v>169</v>
      </c>
      <c r="Q295" t="s">
        <v>44</v>
      </c>
      <c r="R295" t="str">
        <f t="shared" si="5"/>
        <v>Yes</v>
      </c>
    </row>
    <row r="296" spans="1:18" x14ac:dyDescent="0.35">
      <c r="A296" s="1">
        <v>40295</v>
      </c>
      <c r="B296">
        <v>0</v>
      </c>
      <c r="C296" t="s">
        <v>83</v>
      </c>
      <c r="D296" t="s">
        <v>34</v>
      </c>
      <c r="E296" t="s">
        <v>30</v>
      </c>
      <c r="F296">
        <v>20</v>
      </c>
      <c r="G296" t="s">
        <v>47</v>
      </c>
      <c r="H296" t="s">
        <v>30</v>
      </c>
      <c r="I296">
        <v>20</v>
      </c>
      <c r="J296">
        <v>2</v>
      </c>
      <c r="K296">
        <v>4</v>
      </c>
      <c r="L296">
        <v>51</v>
      </c>
      <c r="M296" t="s">
        <v>20</v>
      </c>
      <c r="N296" t="s">
        <v>48</v>
      </c>
      <c r="O296">
        <v>14589</v>
      </c>
      <c r="P296">
        <v>139</v>
      </c>
      <c r="Q296" t="s">
        <v>47</v>
      </c>
      <c r="R296" t="str">
        <f t="shared" si="5"/>
        <v>Yes</v>
      </c>
    </row>
    <row r="297" spans="1:18" x14ac:dyDescent="0.35">
      <c r="A297" s="1">
        <v>40295</v>
      </c>
      <c r="B297">
        <v>0</v>
      </c>
      <c r="C297" t="s">
        <v>83</v>
      </c>
      <c r="D297" t="s">
        <v>58</v>
      </c>
      <c r="E297" t="s">
        <v>30</v>
      </c>
      <c r="F297">
        <v>21</v>
      </c>
      <c r="G297" t="s">
        <v>46</v>
      </c>
      <c r="H297" t="s">
        <v>30</v>
      </c>
      <c r="I297">
        <v>21</v>
      </c>
      <c r="J297">
        <v>2</v>
      </c>
      <c r="K297">
        <v>1</v>
      </c>
      <c r="L297">
        <v>54</v>
      </c>
      <c r="M297" t="s">
        <v>20</v>
      </c>
      <c r="N297" t="s">
        <v>78</v>
      </c>
      <c r="O297">
        <v>14776</v>
      </c>
      <c r="P297">
        <v>169</v>
      </c>
      <c r="Q297" t="s">
        <v>58</v>
      </c>
      <c r="R297" t="str">
        <f t="shared" si="5"/>
        <v>No</v>
      </c>
    </row>
    <row r="298" spans="1:18" x14ac:dyDescent="0.35">
      <c r="A298" s="1">
        <v>40295</v>
      </c>
      <c r="B298">
        <v>0</v>
      </c>
      <c r="C298" t="s">
        <v>83</v>
      </c>
      <c r="D298" t="s">
        <v>26</v>
      </c>
      <c r="E298" t="s">
        <v>18</v>
      </c>
      <c r="F298">
        <v>21</v>
      </c>
      <c r="G298" t="s">
        <v>49</v>
      </c>
      <c r="H298" t="s">
        <v>18</v>
      </c>
      <c r="I298">
        <v>21</v>
      </c>
      <c r="J298">
        <v>3</v>
      </c>
      <c r="K298">
        <v>1</v>
      </c>
      <c r="L298">
        <v>54</v>
      </c>
      <c r="M298" t="s">
        <v>20</v>
      </c>
      <c r="N298" t="s">
        <v>79</v>
      </c>
      <c r="O298">
        <v>37440</v>
      </c>
      <c r="P298">
        <v>164</v>
      </c>
      <c r="Q298" t="s">
        <v>26</v>
      </c>
      <c r="R298" t="str">
        <f t="shared" si="5"/>
        <v>No</v>
      </c>
    </row>
    <row r="299" spans="1:18" x14ac:dyDescent="0.35">
      <c r="A299" s="1">
        <v>40295</v>
      </c>
      <c r="B299">
        <v>0</v>
      </c>
      <c r="C299" t="s">
        <v>83</v>
      </c>
      <c r="D299" t="s">
        <v>60</v>
      </c>
      <c r="E299" t="s">
        <v>18</v>
      </c>
      <c r="F299">
        <v>20</v>
      </c>
      <c r="G299" t="s">
        <v>63</v>
      </c>
      <c r="H299" t="s">
        <v>18</v>
      </c>
      <c r="I299">
        <v>21</v>
      </c>
      <c r="J299">
        <v>1</v>
      </c>
      <c r="K299">
        <v>12</v>
      </c>
      <c r="L299">
        <v>51</v>
      </c>
      <c r="M299" t="s">
        <v>20</v>
      </c>
      <c r="N299" t="s">
        <v>64</v>
      </c>
      <c r="O299">
        <v>24112</v>
      </c>
      <c r="P299">
        <v>172</v>
      </c>
      <c r="Q299" t="s">
        <v>63</v>
      </c>
      <c r="R299" t="str">
        <f t="shared" si="5"/>
        <v>Yes</v>
      </c>
    </row>
    <row r="300" spans="1:18" x14ac:dyDescent="0.35">
      <c r="A300" s="1">
        <v>40295</v>
      </c>
      <c r="B300">
        <v>0</v>
      </c>
      <c r="C300" t="s">
        <v>83</v>
      </c>
      <c r="D300" t="s">
        <v>62</v>
      </c>
      <c r="E300" t="s">
        <v>18</v>
      </c>
      <c r="F300">
        <v>20</v>
      </c>
      <c r="G300" t="s">
        <v>17</v>
      </c>
      <c r="H300" t="s">
        <v>18</v>
      </c>
      <c r="I300">
        <v>21</v>
      </c>
      <c r="J300">
        <v>4</v>
      </c>
      <c r="K300">
        <v>1</v>
      </c>
      <c r="L300">
        <v>54</v>
      </c>
      <c r="M300" t="s">
        <v>20</v>
      </c>
      <c r="N300" t="s">
        <v>65</v>
      </c>
      <c r="O300">
        <v>11613</v>
      </c>
      <c r="P300">
        <v>198</v>
      </c>
      <c r="Q300" t="s">
        <v>62</v>
      </c>
      <c r="R300" t="str">
        <f t="shared" si="5"/>
        <v>No</v>
      </c>
    </row>
    <row r="301" spans="1:18" x14ac:dyDescent="0.35">
      <c r="A301" s="1">
        <v>40295</v>
      </c>
      <c r="B301">
        <v>0</v>
      </c>
      <c r="C301" t="s">
        <v>83</v>
      </c>
      <c r="D301" t="s">
        <v>53</v>
      </c>
      <c r="E301" t="s">
        <v>18</v>
      </c>
      <c r="F301">
        <v>20</v>
      </c>
      <c r="G301" t="s">
        <v>66</v>
      </c>
      <c r="H301" t="s">
        <v>18</v>
      </c>
      <c r="I301">
        <v>19</v>
      </c>
      <c r="J301">
        <v>6</v>
      </c>
      <c r="K301">
        <v>2</v>
      </c>
      <c r="L301">
        <v>54</v>
      </c>
      <c r="M301" t="s">
        <v>20</v>
      </c>
      <c r="N301" t="s">
        <v>67</v>
      </c>
      <c r="O301">
        <v>22467</v>
      </c>
      <c r="P301">
        <v>179</v>
      </c>
      <c r="Q301" t="s">
        <v>53</v>
      </c>
      <c r="R301" t="str">
        <f t="shared" si="5"/>
        <v>No</v>
      </c>
    </row>
    <row r="302" spans="1:18" x14ac:dyDescent="0.35">
      <c r="A302" s="1">
        <v>40295</v>
      </c>
      <c r="B302">
        <v>0</v>
      </c>
      <c r="C302" t="s">
        <v>83</v>
      </c>
      <c r="D302" t="s">
        <v>23</v>
      </c>
      <c r="E302" t="s">
        <v>18</v>
      </c>
      <c r="F302">
        <v>20</v>
      </c>
      <c r="G302" t="s">
        <v>68</v>
      </c>
      <c r="H302" t="s">
        <v>18</v>
      </c>
      <c r="I302">
        <v>20</v>
      </c>
      <c r="J302">
        <v>7</v>
      </c>
      <c r="K302">
        <v>3</v>
      </c>
      <c r="L302">
        <v>54</v>
      </c>
      <c r="M302" t="s">
        <v>20</v>
      </c>
      <c r="N302" t="s">
        <v>69</v>
      </c>
      <c r="O302">
        <v>28991</v>
      </c>
      <c r="P302">
        <v>169</v>
      </c>
      <c r="Q302" t="s">
        <v>23</v>
      </c>
      <c r="R302" t="str">
        <f t="shared" si="5"/>
        <v>No</v>
      </c>
    </row>
    <row r="303" spans="1:18" x14ac:dyDescent="0.35">
      <c r="A303" s="1">
        <v>40295</v>
      </c>
      <c r="B303">
        <v>1</v>
      </c>
      <c r="C303" t="s">
        <v>83</v>
      </c>
      <c r="D303" t="s">
        <v>22</v>
      </c>
      <c r="E303" t="s">
        <v>18</v>
      </c>
      <c r="F303">
        <v>19</v>
      </c>
      <c r="G303" t="s">
        <v>19</v>
      </c>
      <c r="H303" t="s">
        <v>18</v>
      </c>
      <c r="I303">
        <v>20</v>
      </c>
      <c r="J303">
        <v>0</v>
      </c>
      <c r="K303">
        <v>4</v>
      </c>
      <c r="L303">
        <v>51</v>
      </c>
      <c r="M303" t="s">
        <v>38</v>
      </c>
      <c r="N303" t="s">
        <v>21</v>
      </c>
      <c r="O303">
        <v>0</v>
      </c>
      <c r="P303">
        <v>174</v>
      </c>
      <c r="Q303" t="s">
        <v>19</v>
      </c>
      <c r="R303" t="str">
        <f t="shared" si="5"/>
        <v>Yes</v>
      </c>
    </row>
    <row r="304" spans="1:18" x14ac:dyDescent="0.35">
      <c r="A304" s="1">
        <v>40295</v>
      </c>
      <c r="B304">
        <v>2</v>
      </c>
      <c r="C304" t="s">
        <v>83</v>
      </c>
      <c r="D304" t="s">
        <v>22</v>
      </c>
      <c r="E304" t="s">
        <v>18</v>
      </c>
      <c r="F304">
        <v>20</v>
      </c>
      <c r="G304" t="s">
        <v>19</v>
      </c>
      <c r="H304" t="s">
        <v>18</v>
      </c>
      <c r="I304">
        <v>21</v>
      </c>
      <c r="J304">
        <v>5</v>
      </c>
      <c r="K304">
        <v>10</v>
      </c>
      <c r="L304">
        <v>51</v>
      </c>
      <c r="M304" t="s">
        <v>20</v>
      </c>
      <c r="N304" t="s">
        <v>21</v>
      </c>
      <c r="O304">
        <v>32012</v>
      </c>
      <c r="P304">
        <v>200</v>
      </c>
      <c r="Q304" t="s">
        <v>19</v>
      </c>
      <c r="R304" t="str">
        <f t="shared" si="5"/>
        <v>Yes</v>
      </c>
    </row>
    <row r="305" spans="1:18" x14ac:dyDescent="0.35">
      <c r="A305" s="1">
        <v>40295</v>
      </c>
      <c r="B305">
        <v>0</v>
      </c>
      <c r="C305" t="s">
        <v>83</v>
      </c>
      <c r="D305" t="s">
        <v>25</v>
      </c>
      <c r="E305" t="s">
        <v>18</v>
      </c>
      <c r="F305">
        <v>20</v>
      </c>
      <c r="G305" t="s">
        <v>70</v>
      </c>
      <c r="H305" t="s">
        <v>18</v>
      </c>
      <c r="I305">
        <v>20</v>
      </c>
      <c r="J305">
        <v>2</v>
      </c>
      <c r="K305">
        <v>6</v>
      </c>
      <c r="L305">
        <v>51</v>
      </c>
      <c r="M305" t="s">
        <v>20</v>
      </c>
      <c r="N305" t="s">
        <v>71</v>
      </c>
      <c r="O305">
        <v>31792</v>
      </c>
      <c r="P305">
        <v>152</v>
      </c>
      <c r="Q305" t="s">
        <v>70</v>
      </c>
      <c r="R305" t="str">
        <f t="shared" si="5"/>
        <v>Yes</v>
      </c>
    </row>
    <row r="306" spans="1:18" x14ac:dyDescent="0.35">
      <c r="A306" s="1">
        <v>40295</v>
      </c>
      <c r="B306">
        <v>0</v>
      </c>
      <c r="C306" t="s">
        <v>83</v>
      </c>
      <c r="D306" t="s">
        <v>50</v>
      </c>
      <c r="E306" t="s">
        <v>18</v>
      </c>
      <c r="F306">
        <v>20</v>
      </c>
      <c r="G306" t="s">
        <v>52</v>
      </c>
      <c r="H306" t="s">
        <v>18</v>
      </c>
      <c r="I306">
        <v>20</v>
      </c>
      <c r="J306">
        <v>4</v>
      </c>
      <c r="K306">
        <v>5</v>
      </c>
      <c r="L306">
        <v>51</v>
      </c>
      <c r="M306" t="s">
        <v>20</v>
      </c>
      <c r="N306" t="s">
        <v>82</v>
      </c>
      <c r="O306">
        <v>35587</v>
      </c>
      <c r="P306">
        <v>172</v>
      </c>
      <c r="Q306" t="s">
        <v>52</v>
      </c>
      <c r="R306" t="str">
        <f t="shared" si="5"/>
        <v>Yes</v>
      </c>
    </row>
    <row r="307" spans="1:18" x14ac:dyDescent="0.35">
      <c r="A307" s="1">
        <v>40296</v>
      </c>
      <c r="B307">
        <v>0</v>
      </c>
      <c r="C307" t="s">
        <v>16</v>
      </c>
      <c r="D307" t="s">
        <v>33</v>
      </c>
      <c r="E307" t="s">
        <v>30</v>
      </c>
      <c r="F307">
        <v>21</v>
      </c>
      <c r="G307" t="s">
        <v>31</v>
      </c>
      <c r="H307" t="s">
        <v>30</v>
      </c>
      <c r="I307">
        <v>23</v>
      </c>
      <c r="J307">
        <v>3</v>
      </c>
      <c r="K307">
        <v>4</v>
      </c>
      <c r="L307">
        <v>53</v>
      </c>
      <c r="M307" t="s">
        <v>38</v>
      </c>
      <c r="N307" t="s">
        <v>32</v>
      </c>
      <c r="O307">
        <v>34190</v>
      </c>
      <c r="P307">
        <v>170</v>
      </c>
      <c r="Q307" t="s">
        <v>31</v>
      </c>
      <c r="R307" t="str">
        <f t="shared" si="5"/>
        <v>Yes</v>
      </c>
    </row>
    <row r="308" spans="1:18" x14ac:dyDescent="0.35">
      <c r="A308" s="1">
        <v>40296</v>
      </c>
      <c r="B308">
        <v>0</v>
      </c>
      <c r="C308" t="s">
        <v>16</v>
      </c>
      <c r="D308" t="s">
        <v>59</v>
      </c>
      <c r="E308" t="s">
        <v>30</v>
      </c>
      <c r="F308">
        <v>20</v>
      </c>
      <c r="G308" t="s">
        <v>43</v>
      </c>
      <c r="H308" t="s">
        <v>30</v>
      </c>
      <c r="I308">
        <v>21</v>
      </c>
      <c r="J308">
        <v>8</v>
      </c>
      <c r="K308">
        <v>3</v>
      </c>
      <c r="L308">
        <v>54</v>
      </c>
      <c r="M308" t="s">
        <v>20</v>
      </c>
      <c r="N308" t="s">
        <v>56</v>
      </c>
      <c r="O308">
        <v>17248</v>
      </c>
      <c r="P308">
        <v>175</v>
      </c>
      <c r="Q308" t="s">
        <v>59</v>
      </c>
      <c r="R308" t="str">
        <f t="shared" si="5"/>
        <v>No</v>
      </c>
    </row>
    <row r="309" spans="1:18" x14ac:dyDescent="0.35">
      <c r="A309" s="1">
        <v>40296</v>
      </c>
      <c r="B309">
        <v>0</v>
      </c>
      <c r="C309" t="s">
        <v>16</v>
      </c>
      <c r="D309" t="s">
        <v>29</v>
      </c>
      <c r="E309" t="s">
        <v>30</v>
      </c>
      <c r="F309">
        <v>21</v>
      </c>
      <c r="G309" t="s">
        <v>36</v>
      </c>
      <c r="H309" t="s">
        <v>30</v>
      </c>
      <c r="I309">
        <v>22</v>
      </c>
      <c r="J309">
        <v>6</v>
      </c>
      <c r="K309">
        <v>11</v>
      </c>
      <c r="L309">
        <v>51</v>
      </c>
      <c r="M309" t="s">
        <v>20</v>
      </c>
      <c r="N309" t="s">
        <v>57</v>
      </c>
      <c r="O309">
        <v>19900</v>
      </c>
      <c r="P309">
        <v>188</v>
      </c>
      <c r="Q309" t="s">
        <v>36</v>
      </c>
      <c r="R309" t="str">
        <f t="shared" si="5"/>
        <v>Yes</v>
      </c>
    </row>
    <row r="310" spans="1:18" x14ac:dyDescent="0.35">
      <c r="A310" s="1">
        <v>40296</v>
      </c>
      <c r="B310">
        <v>0</v>
      </c>
      <c r="C310" t="s">
        <v>16</v>
      </c>
      <c r="D310" t="s">
        <v>40</v>
      </c>
      <c r="E310" t="s">
        <v>30</v>
      </c>
      <c r="F310">
        <v>22</v>
      </c>
      <c r="G310" t="s">
        <v>37</v>
      </c>
      <c r="H310" t="s">
        <v>30</v>
      </c>
      <c r="I310">
        <v>21</v>
      </c>
      <c r="J310">
        <v>6</v>
      </c>
      <c r="K310">
        <v>5</v>
      </c>
      <c r="L310">
        <v>54</v>
      </c>
      <c r="M310" t="s">
        <v>38</v>
      </c>
      <c r="N310" t="s">
        <v>39</v>
      </c>
      <c r="O310">
        <v>13206</v>
      </c>
      <c r="P310">
        <v>166</v>
      </c>
      <c r="Q310" t="s">
        <v>40</v>
      </c>
      <c r="R310" t="str">
        <f t="shared" si="5"/>
        <v>No</v>
      </c>
    </row>
    <row r="311" spans="1:18" x14ac:dyDescent="0.35">
      <c r="A311" s="1">
        <v>40296</v>
      </c>
      <c r="B311">
        <v>0</v>
      </c>
      <c r="C311" t="s">
        <v>16</v>
      </c>
      <c r="D311" t="s">
        <v>41</v>
      </c>
      <c r="E311" t="s">
        <v>30</v>
      </c>
      <c r="F311">
        <v>22</v>
      </c>
      <c r="G311" t="s">
        <v>44</v>
      </c>
      <c r="H311" t="s">
        <v>30</v>
      </c>
      <c r="I311">
        <v>21</v>
      </c>
      <c r="J311">
        <v>3</v>
      </c>
      <c r="K311">
        <v>10</v>
      </c>
      <c r="L311">
        <v>51</v>
      </c>
      <c r="M311" t="s">
        <v>20</v>
      </c>
      <c r="N311" t="s">
        <v>45</v>
      </c>
      <c r="O311">
        <v>10691</v>
      </c>
      <c r="P311">
        <v>177</v>
      </c>
      <c r="Q311" t="s">
        <v>44</v>
      </c>
      <c r="R311" t="str">
        <f t="shared" si="5"/>
        <v>Yes</v>
      </c>
    </row>
    <row r="312" spans="1:18" x14ac:dyDescent="0.35">
      <c r="A312" s="1">
        <v>40296</v>
      </c>
      <c r="B312">
        <v>0</v>
      </c>
      <c r="C312" t="s">
        <v>16</v>
      </c>
      <c r="D312" t="s">
        <v>34</v>
      </c>
      <c r="E312" t="s">
        <v>30</v>
      </c>
      <c r="F312">
        <v>21</v>
      </c>
      <c r="G312" t="s">
        <v>47</v>
      </c>
      <c r="H312" t="s">
        <v>30</v>
      </c>
      <c r="I312">
        <v>21</v>
      </c>
      <c r="J312">
        <v>5</v>
      </c>
      <c r="K312">
        <v>6</v>
      </c>
      <c r="L312">
        <v>51</v>
      </c>
      <c r="M312" t="s">
        <v>20</v>
      </c>
      <c r="N312" t="s">
        <v>48</v>
      </c>
      <c r="O312">
        <v>20432</v>
      </c>
      <c r="P312">
        <v>168</v>
      </c>
      <c r="Q312" t="s">
        <v>47</v>
      </c>
      <c r="R312" t="str">
        <f t="shared" si="5"/>
        <v>Yes</v>
      </c>
    </row>
    <row r="313" spans="1:18" x14ac:dyDescent="0.35">
      <c r="A313" s="1">
        <v>40296</v>
      </c>
      <c r="B313">
        <v>0</v>
      </c>
      <c r="C313" t="s">
        <v>16</v>
      </c>
      <c r="D313" t="s">
        <v>58</v>
      </c>
      <c r="E313" t="s">
        <v>30</v>
      </c>
      <c r="F313">
        <v>22</v>
      </c>
      <c r="G313" t="s">
        <v>46</v>
      </c>
      <c r="H313" t="s">
        <v>30</v>
      </c>
      <c r="I313">
        <v>22</v>
      </c>
      <c r="J313">
        <v>2</v>
      </c>
      <c r="K313">
        <v>0</v>
      </c>
      <c r="L313">
        <v>54</v>
      </c>
      <c r="M313" t="s">
        <v>20</v>
      </c>
      <c r="N313" t="s">
        <v>78</v>
      </c>
      <c r="O313">
        <v>15276</v>
      </c>
      <c r="P313">
        <v>174</v>
      </c>
      <c r="Q313" t="s">
        <v>58</v>
      </c>
      <c r="R313" t="str">
        <f t="shared" si="5"/>
        <v>No</v>
      </c>
    </row>
    <row r="314" spans="1:18" x14ac:dyDescent="0.35">
      <c r="A314" s="1">
        <v>40296</v>
      </c>
      <c r="B314">
        <v>0</v>
      </c>
      <c r="C314" t="s">
        <v>16</v>
      </c>
      <c r="D314" t="s">
        <v>26</v>
      </c>
      <c r="E314" t="s">
        <v>18</v>
      </c>
      <c r="F314">
        <v>22</v>
      </c>
      <c r="G314" t="s">
        <v>49</v>
      </c>
      <c r="H314" t="s">
        <v>18</v>
      </c>
      <c r="I314">
        <v>22</v>
      </c>
      <c r="J314">
        <v>3</v>
      </c>
      <c r="K314">
        <v>2</v>
      </c>
      <c r="L314">
        <v>54</v>
      </c>
      <c r="M314" t="s">
        <v>38</v>
      </c>
      <c r="N314" t="s">
        <v>79</v>
      </c>
      <c r="O314">
        <v>36660</v>
      </c>
      <c r="P314">
        <v>141</v>
      </c>
      <c r="Q314" t="s">
        <v>26</v>
      </c>
      <c r="R314" t="str">
        <f t="shared" si="5"/>
        <v>No</v>
      </c>
    </row>
    <row r="315" spans="1:18" x14ac:dyDescent="0.35">
      <c r="A315" s="1">
        <v>40296</v>
      </c>
      <c r="B315">
        <v>0</v>
      </c>
      <c r="C315" t="s">
        <v>16</v>
      </c>
      <c r="D315" t="s">
        <v>60</v>
      </c>
      <c r="E315" t="s">
        <v>18</v>
      </c>
      <c r="F315">
        <v>21</v>
      </c>
      <c r="G315" t="s">
        <v>63</v>
      </c>
      <c r="H315" t="s">
        <v>18</v>
      </c>
      <c r="I315">
        <v>22</v>
      </c>
      <c r="J315">
        <v>12</v>
      </c>
      <c r="K315">
        <v>11</v>
      </c>
      <c r="L315">
        <v>60</v>
      </c>
      <c r="M315" t="s">
        <v>38</v>
      </c>
      <c r="N315" t="s">
        <v>64</v>
      </c>
      <c r="O315">
        <v>23773</v>
      </c>
      <c r="P315">
        <v>248</v>
      </c>
      <c r="Q315" t="s">
        <v>60</v>
      </c>
      <c r="R315" t="str">
        <f t="shared" si="5"/>
        <v>No</v>
      </c>
    </row>
    <row r="316" spans="1:18" x14ac:dyDescent="0.35">
      <c r="A316" s="1">
        <v>40296</v>
      </c>
      <c r="B316">
        <v>0</v>
      </c>
      <c r="C316" t="s">
        <v>16</v>
      </c>
      <c r="D316" t="s">
        <v>62</v>
      </c>
      <c r="E316" t="s">
        <v>18</v>
      </c>
      <c r="F316">
        <v>21</v>
      </c>
      <c r="G316" t="s">
        <v>17</v>
      </c>
      <c r="H316" t="s">
        <v>18</v>
      </c>
      <c r="I316">
        <v>22</v>
      </c>
      <c r="J316">
        <v>6</v>
      </c>
      <c r="K316">
        <v>4</v>
      </c>
      <c r="L316">
        <v>54</v>
      </c>
      <c r="M316" t="s">
        <v>38</v>
      </c>
      <c r="N316" t="s">
        <v>65</v>
      </c>
      <c r="O316">
        <v>16310</v>
      </c>
      <c r="P316">
        <v>176</v>
      </c>
      <c r="Q316" t="s">
        <v>62</v>
      </c>
      <c r="R316" t="str">
        <f t="shared" si="5"/>
        <v>No</v>
      </c>
    </row>
    <row r="317" spans="1:18" x14ac:dyDescent="0.35">
      <c r="A317" s="1">
        <v>40296</v>
      </c>
      <c r="B317">
        <v>0</v>
      </c>
      <c r="C317" t="s">
        <v>16</v>
      </c>
      <c r="D317" t="s">
        <v>53</v>
      </c>
      <c r="E317" t="s">
        <v>18</v>
      </c>
      <c r="F317">
        <v>21</v>
      </c>
      <c r="G317" t="s">
        <v>66</v>
      </c>
      <c r="H317" t="s">
        <v>18</v>
      </c>
      <c r="I317">
        <v>20</v>
      </c>
      <c r="J317">
        <v>6</v>
      </c>
      <c r="K317">
        <v>4</v>
      </c>
      <c r="L317">
        <v>54</v>
      </c>
      <c r="M317" t="s">
        <v>20</v>
      </c>
      <c r="N317" t="s">
        <v>67</v>
      </c>
      <c r="O317">
        <v>21035</v>
      </c>
      <c r="P317">
        <v>152</v>
      </c>
      <c r="Q317" t="s">
        <v>53</v>
      </c>
      <c r="R317" t="str">
        <f t="shared" si="5"/>
        <v>No</v>
      </c>
    </row>
    <row r="318" spans="1:18" x14ac:dyDescent="0.35">
      <c r="A318" s="1">
        <v>40296</v>
      </c>
      <c r="B318">
        <v>0</v>
      </c>
      <c r="C318" t="s">
        <v>16</v>
      </c>
      <c r="D318" t="s">
        <v>23</v>
      </c>
      <c r="E318" t="s">
        <v>18</v>
      </c>
      <c r="F318">
        <v>21</v>
      </c>
      <c r="G318" t="s">
        <v>68</v>
      </c>
      <c r="H318" t="s">
        <v>18</v>
      </c>
      <c r="I318">
        <v>21</v>
      </c>
      <c r="J318">
        <v>6</v>
      </c>
      <c r="K318">
        <v>5</v>
      </c>
      <c r="L318">
        <v>84</v>
      </c>
      <c r="M318" t="s">
        <v>38</v>
      </c>
      <c r="N318" t="s">
        <v>69</v>
      </c>
      <c r="O318">
        <v>28401</v>
      </c>
      <c r="P318">
        <v>279</v>
      </c>
      <c r="Q318" t="s">
        <v>23</v>
      </c>
      <c r="R318" t="str">
        <f t="shared" si="5"/>
        <v>No</v>
      </c>
    </row>
    <row r="319" spans="1:18" x14ac:dyDescent="0.35">
      <c r="A319" s="1">
        <v>40296</v>
      </c>
      <c r="B319">
        <v>0</v>
      </c>
      <c r="C319" t="s">
        <v>16</v>
      </c>
      <c r="D319" t="s">
        <v>22</v>
      </c>
      <c r="E319" t="s">
        <v>18</v>
      </c>
      <c r="F319">
        <v>21</v>
      </c>
      <c r="G319" t="s">
        <v>19</v>
      </c>
      <c r="H319" t="s">
        <v>18</v>
      </c>
      <c r="I319">
        <v>22</v>
      </c>
      <c r="J319">
        <v>3</v>
      </c>
      <c r="K319">
        <v>7</v>
      </c>
      <c r="L319">
        <v>51</v>
      </c>
      <c r="M319" t="s">
        <v>38</v>
      </c>
      <c r="N319" t="s">
        <v>21</v>
      </c>
      <c r="O319">
        <v>29724</v>
      </c>
      <c r="P319">
        <v>161</v>
      </c>
      <c r="Q319" t="s">
        <v>19</v>
      </c>
      <c r="R319" t="str">
        <f t="shared" si="5"/>
        <v>Yes</v>
      </c>
    </row>
    <row r="320" spans="1:18" x14ac:dyDescent="0.35">
      <c r="A320" s="1">
        <v>40296</v>
      </c>
      <c r="B320">
        <v>0</v>
      </c>
      <c r="C320" t="s">
        <v>16</v>
      </c>
      <c r="D320" t="s">
        <v>25</v>
      </c>
      <c r="E320" t="s">
        <v>18</v>
      </c>
      <c r="F320">
        <v>21</v>
      </c>
      <c r="G320" t="s">
        <v>70</v>
      </c>
      <c r="H320" t="s">
        <v>18</v>
      </c>
      <c r="I320">
        <v>21</v>
      </c>
      <c r="J320">
        <v>7</v>
      </c>
      <c r="K320">
        <v>6</v>
      </c>
      <c r="L320">
        <v>66</v>
      </c>
      <c r="M320" t="s">
        <v>38</v>
      </c>
      <c r="N320" t="s">
        <v>71</v>
      </c>
      <c r="O320">
        <v>32369</v>
      </c>
      <c r="P320">
        <v>216</v>
      </c>
      <c r="Q320" t="s">
        <v>25</v>
      </c>
      <c r="R320" t="str">
        <f t="shared" si="5"/>
        <v>No</v>
      </c>
    </row>
    <row r="321" spans="1:18" x14ac:dyDescent="0.35">
      <c r="A321" s="1">
        <v>40296</v>
      </c>
      <c r="B321">
        <v>0</v>
      </c>
      <c r="C321" t="s">
        <v>16</v>
      </c>
      <c r="D321" t="s">
        <v>50</v>
      </c>
      <c r="E321" t="s">
        <v>18</v>
      </c>
      <c r="F321">
        <v>21</v>
      </c>
      <c r="G321" t="s">
        <v>52</v>
      </c>
      <c r="H321" t="s">
        <v>18</v>
      </c>
      <c r="I321">
        <v>21</v>
      </c>
      <c r="J321">
        <v>0</v>
      </c>
      <c r="K321">
        <v>6</v>
      </c>
      <c r="L321">
        <v>51</v>
      </c>
      <c r="M321" t="s">
        <v>20</v>
      </c>
      <c r="N321" t="s">
        <v>82</v>
      </c>
      <c r="O321">
        <v>35693</v>
      </c>
      <c r="P321">
        <v>155</v>
      </c>
      <c r="Q321" t="s">
        <v>52</v>
      </c>
      <c r="R321" t="str">
        <f t="shared" si="5"/>
        <v>Yes</v>
      </c>
    </row>
    <row r="322" spans="1:18" x14ac:dyDescent="0.35">
      <c r="A322" s="1">
        <v>40297</v>
      </c>
      <c r="B322">
        <v>0</v>
      </c>
      <c r="C322" t="s">
        <v>28</v>
      </c>
      <c r="D322" t="s">
        <v>59</v>
      </c>
      <c r="E322" t="s">
        <v>30</v>
      </c>
      <c r="F322">
        <v>21</v>
      </c>
      <c r="G322" t="s">
        <v>43</v>
      </c>
      <c r="H322" t="s">
        <v>30</v>
      </c>
      <c r="I322">
        <v>22</v>
      </c>
      <c r="J322">
        <v>4</v>
      </c>
      <c r="K322">
        <v>0</v>
      </c>
      <c r="L322">
        <v>54</v>
      </c>
      <c r="M322" t="s">
        <v>20</v>
      </c>
      <c r="N322" t="s">
        <v>56</v>
      </c>
      <c r="O322">
        <v>26439</v>
      </c>
      <c r="P322">
        <v>171</v>
      </c>
      <c r="Q322" t="s">
        <v>59</v>
      </c>
      <c r="R322" t="str">
        <f t="shared" si="5"/>
        <v>No</v>
      </c>
    </row>
    <row r="323" spans="1:18" x14ac:dyDescent="0.35">
      <c r="A323" s="1">
        <v>40297</v>
      </c>
      <c r="B323">
        <v>0</v>
      </c>
      <c r="C323" t="s">
        <v>28</v>
      </c>
      <c r="D323" t="s">
        <v>29</v>
      </c>
      <c r="E323" t="s">
        <v>30</v>
      </c>
      <c r="F323">
        <v>22</v>
      </c>
      <c r="G323" t="s">
        <v>36</v>
      </c>
      <c r="H323" t="s">
        <v>30</v>
      </c>
      <c r="I323">
        <v>23</v>
      </c>
      <c r="J323">
        <v>0</v>
      </c>
      <c r="K323">
        <v>3</v>
      </c>
      <c r="L323">
        <v>51</v>
      </c>
      <c r="M323" t="s">
        <v>38</v>
      </c>
      <c r="N323" t="s">
        <v>57</v>
      </c>
      <c r="O323">
        <v>25595</v>
      </c>
      <c r="P323">
        <v>138</v>
      </c>
      <c r="Q323" t="s">
        <v>36</v>
      </c>
      <c r="R323" t="str">
        <f t="shared" ref="R323:R386" si="6">IF(K323&gt;J323,"Yes","No")</f>
        <v>Yes</v>
      </c>
    </row>
    <row r="324" spans="1:18" x14ac:dyDescent="0.35">
      <c r="A324" s="1">
        <v>40297</v>
      </c>
      <c r="B324">
        <v>0</v>
      </c>
      <c r="C324" t="s">
        <v>28</v>
      </c>
      <c r="D324" t="s">
        <v>37</v>
      </c>
      <c r="E324" t="s">
        <v>30</v>
      </c>
      <c r="F324">
        <v>22</v>
      </c>
      <c r="G324" t="s">
        <v>44</v>
      </c>
      <c r="H324" t="s">
        <v>30</v>
      </c>
      <c r="I324">
        <v>22</v>
      </c>
      <c r="J324">
        <v>1</v>
      </c>
      <c r="K324">
        <v>11</v>
      </c>
      <c r="L324">
        <v>51</v>
      </c>
      <c r="M324" t="s">
        <v>20</v>
      </c>
      <c r="N324" t="s">
        <v>45</v>
      </c>
      <c r="O324">
        <v>12766</v>
      </c>
      <c r="P324">
        <v>193</v>
      </c>
      <c r="Q324" t="s">
        <v>44</v>
      </c>
      <c r="R324" t="str">
        <f t="shared" si="6"/>
        <v>Yes</v>
      </c>
    </row>
    <row r="325" spans="1:18" x14ac:dyDescent="0.35">
      <c r="A325" s="1">
        <v>40297</v>
      </c>
      <c r="B325">
        <v>0</v>
      </c>
      <c r="C325" t="s">
        <v>28</v>
      </c>
      <c r="D325" t="s">
        <v>34</v>
      </c>
      <c r="E325" t="s">
        <v>30</v>
      </c>
      <c r="F325">
        <v>22</v>
      </c>
      <c r="G325" t="s">
        <v>47</v>
      </c>
      <c r="H325" t="s">
        <v>30</v>
      </c>
      <c r="I325">
        <v>22</v>
      </c>
      <c r="J325">
        <v>7</v>
      </c>
      <c r="K325">
        <v>5</v>
      </c>
      <c r="L325">
        <v>54</v>
      </c>
      <c r="M325" t="s">
        <v>38</v>
      </c>
      <c r="N325" t="s">
        <v>48</v>
      </c>
      <c r="O325">
        <v>17778</v>
      </c>
      <c r="P325">
        <v>173</v>
      </c>
      <c r="Q325" t="s">
        <v>34</v>
      </c>
      <c r="R325" t="str">
        <f t="shared" si="6"/>
        <v>No</v>
      </c>
    </row>
    <row r="326" spans="1:18" x14ac:dyDescent="0.35">
      <c r="A326" s="1">
        <v>40297</v>
      </c>
      <c r="B326">
        <v>0</v>
      </c>
      <c r="C326" t="s">
        <v>28</v>
      </c>
      <c r="D326" t="s">
        <v>41</v>
      </c>
      <c r="E326" t="s">
        <v>30</v>
      </c>
      <c r="F326">
        <v>23</v>
      </c>
      <c r="G326" t="s">
        <v>46</v>
      </c>
      <c r="H326" t="s">
        <v>30</v>
      </c>
      <c r="I326">
        <v>23</v>
      </c>
      <c r="J326">
        <v>3</v>
      </c>
      <c r="K326">
        <v>6</v>
      </c>
      <c r="L326">
        <v>51</v>
      </c>
      <c r="M326" t="s">
        <v>20</v>
      </c>
      <c r="N326" t="s">
        <v>78</v>
      </c>
      <c r="O326">
        <v>10721</v>
      </c>
      <c r="P326">
        <v>157</v>
      </c>
      <c r="Q326" t="s">
        <v>46</v>
      </c>
      <c r="R326" t="str">
        <f t="shared" si="6"/>
        <v>Yes</v>
      </c>
    </row>
    <row r="327" spans="1:18" x14ac:dyDescent="0.35">
      <c r="A327" s="1">
        <v>40297</v>
      </c>
      <c r="B327">
        <v>0</v>
      </c>
      <c r="C327" t="s">
        <v>28</v>
      </c>
      <c r="D327" t="s">
        <v>60</v>
      </c>
      <c r="E327" t="s">
        <v>18</v>
      </c>
      <c r="F327">
        <v>22</v>
      </c>
      <c r="G327" t="s">
        <v>49</v>
      </c>
      <c r="H327" t="s">
        <v>18</v>
      </c>
      <c r="I327">
        <v>23</v>
      </c>
      <c r="J327">
        <v>13</v>
      </c>
      <c r="K327">
        <v>5</v>
      </c>
      <c r="L327">
        <v>54</v>
      </c>
      <c r="M327" t="s">
        <v>38</v>
      </c>
      <c r="N327" t="s">
        <v>79</v>
      </c>
      <c r="O327">
        <v>36850</v>
      </c>
      <c r="P327">
        <v>160</v>
      </c>
      <c r="Q327" t="s">
        <v>60</v>
      </c>
      <c r="R327" t="str">
        <f t="shared" si="6"/>
        <v>No</v>
      </c>
    </row>
    <row r="328" spans="1:18" x14ac:dyDescent="0.35">
      <c r="A328" s="1">
        <v>40297</v>
      </c>
      <c r="B328">
        <v>0</v>
      </c>
      <c r="C328" t="s">
        <v>28</v>
      </c>
      <c r="D328" t="s">
        <v>53</v>
      </c>
      <c r="E328" t="s">
        <v>18</v>
      </c>
      <c r="F328">
        <v>22</v>
      </c>
      <c r="G328" t="s">
        <v>66</v>
      </c>
      <c r="H328" t="s">
        <v>18</v>
      </c>
      <c r="I328">
        <v>21</v>
      </c>
      <c r="J328">
        <v>4</v>
      </c>
      <c r="K328">
        <v>2</v>
      </c>
      <c r="L328">
        <v>54</v>
      </c>
      <c r="M328" t="s">
        <v>20</v>
      </c>
      <c r="N328" t="s">
        <v>67</v>
      </c>
      <c r="O328">
        <v>21493</v>
      </c>
      <c r="P328">
        <v>176</v>
      </c>
      <c r="Q328" t="s">
        <v>53</v>
      </c>
      <c r="R328" t="str">
        <f t="shared" si="6"/>
        <v>No</v>
      </c>
    </row>
    <row r="329" spans="1:18" x14ac:dyDescent="0.35">
      <c r="A329" s="1">
        <v>40297</v>
      </c>
      <c r="B329">
        <v>0</v>
      </c>
      <c r="C329" t="s">
        <v>28</v>
      </c>
      <c r="D329" t="s">
        <v>23</v>
      </c>
      <c r="E329" t="s">
        <v>18</v>
      </c>
      <c r="F329">
        <v>22</v>
      </c>
      <c r="G329" t="s">
        <v>22</v>
      </c>
      <c r="H329" t="s">
        <v>18</v>
      </c>
      <c r="I329">
        <v>22</v>
      </c>
      <c r="J329">
        <v>2</v>
      </c>
      <c r="K329">
        <v>0</v>
      </c>
      <c r="L329">
        <v>54</v>
      </c>
      <c r="M329" t="s">
        <v>20</v>
      </c>
      <c r="N329" t="s">
        <v>85</v>
      </c>
      <c r="O329">
        <v>40185</v>
      </c>
      <c r="P329">
        <v>171</v>
      </c>
      <c r="Q329" t="s">
        <v>23</v>
      </c>
      <c r="R329" t="str">
        <f t="shared" si="6"/>
        <v>No</v>
      </c>
    </row>
    <row r="330" spans="1:18" x14ac:dyDescent="0.35">
      <c r="A330" s="1">
        <v>40297</v>
      </c>
      <c r="B330">
        <v>0</v>
      </c>
      <c r="C330" t="s">
        <v>28</v>
      </c>
      <c r="D330" t="s">
        <v>68</v>
      </c>
      <c r="E330" t="s">
        <v>18</v>
      </c>
      <c r="F330">
        <v>22</v>
      </c>
      <c r="G330" t="s">
        <v>62</v>
      </c>
      <c r="H330" t="s">
        <v>18</v>
      </c>
      <c r="I330">
        <v>22</v>
      </c>
      <c r="J330">
        <v>0</v>
      </c>
      <c r="K330">
        <v>9</v>
      </c>
      <c r="L330">
        <v>51</v>
      </c>
      <c r="M330" t="s">
        <v>20</v>
      </c>
      <c r="N330" t="s">
        <v>81</v>
      </c>
      <c r="O330">
        <v>16696</v>
      </c>
      <c r="P330">
        <v>172</v>
      </c>
      <c r="Q330" t="s">
        <v>62</v>
      </c>
      <c r="R330" t="str">
        <f t="shared" si="6"/>
        <v>Yes</v>
      </c>
    </row>
    <row r="331" spans="1:18" x14ac:dyDescent="0.35">
      <c r="A331" s="1">
        <v>40297</v>
      </c>
      <c r="B331">
        <v>0</v>
      </c>
      <c r="C331" t="s">
        <v>28</v>
      </c>
      <c r="D331" t="s">
        <v>50</v>
      </c>
      <c r="E331" t="s">
        <v>18</v>
      </c>
      <c r="F331">
        <v>22</v>
      </c>
      <c r="G331" t="s">
        <v>52</v>
      </c>
      <c r="H331" t="s">
        <v>18</v>
      </c>
      <c r="I331">
        <v>22</v>
      </c>
      <c r="J331">
        <v>4</v>
      </c>
      <c r="K331">
        <v>10</v>
      </c>
      <c r="L331">
        <v>51</v>
      </c>
      <c r="M331" t="s">
        <v>38</v>
      </c>
      <c r="N331" t="s">
        <v>82</v>
      </c>
      <c r="O331">
        <v>39561</v>
      </c>
      <c r="P331">
        <v>153</v>
      </c>
      <c r="Q331" t="s">
        <v>52</v>
      </c>
      <c r="R331" t="str">
        <f t="shared" si="6"/>
        <v>Yes</v>
      </c>
    </row>
    <row r="332" spans="1:18" x14ac:dyDescent="0.35">
      <c r="A332" s="1">
        <v>40298</v>
      </c>
      <c r="B332">
        <v>0</v>
      </c>
      <c r="C332" t="s">
        <v>55</v>
      </c>
      <c r="D332" t="s">
        <v>58</v>
      </c>
      <c r="E332" t="s">
        <v>30</v>
      </c>
      <c r="F332">
        <v>23</v>
      </c>
      <c r="G332" t="s">
        <v>43</v>
      </c>
      <c r="H332" t="s">
        <v>30</v>
      </c>
      <c r="I332">
        <v>23</v>
      </c>
      <c r="J332">
        <v>4</v>
      </c>
      <c r="K332">
        <v>5</v>
      </c>
      <c r="L332">
        <v>59</v>
      </c>
      <c r="M332" t="s">
        <v>20</v>
      </c>
      <c r="N332" t="s">
        <v>56</v>
      </c>
      <c r="O332">
        <v>30668</v>
      </c>
      <c r="P332">
        <v>215</v>
      </c>
      <c r="Q332" t="s">
        <v>43</v>
      </c>
      <c r="R332" t="str">
        <f t="shared" si="6"/>
        <v>Yes</v>
      </c>
    </row>
    <row r="333" spans="1:18" x14ac:dyDescent="0.35">
      <c r="A333" s="1">
        <v>40298</v>
      </c>
      <c r="B333">
        <v>0</v>
      </c>
      <c r="C333" t="s">
        <v>55</v>
      </c>
      <c r="D333" t="s">
        <v>29</v>
      </c>
      <c r="E333" t="s">
        <v>30</v>
      </c>
      <c r="F333">
        <v>23</v>
      </c>
      <c r="G333" t="s">
        <v>33</v>
      </c>
      <c r="H333" t="s">
        <v>30</v>
      </c>
      <c r="I333">
        <v>22</v>
      </c>
      <c r="J333">
        <v>9</v>
      </c>
      <c r="K333">
        <v>3</v>
      </c>
      <c r="L333">
        <v>54</v>
      </c>
      <c r="M333" t="s">
        <v>20</v>
      </c>
      <c r="N333" t="s">
        <v>75</v>
      </c>
      <c r="O333">
        <v>14124</v>
      </c>
      <c r="P333">
        <v>195</v>
      </c>
      <c r="Q333" t="s">
        <v>29</v>
      </c>
      <c r="R333" t="str">
        <f t="shared" si="6"/>
        <v>No</v>
      </c>
    </row>
    <row r="334" spans="1:18" x14ac:dyDescent="0.35">
      <c r="A334" s="1">
        <v>40298</v>
      </c>
      <c r="B334">
        <v>0</v>
      </c>
      <c r="C334" t="s">
        <v>55</v>
      </c>
      <c r="D334" t="s">
        <v>31</v>
      </c>
      <c r="E334" t="s">
        <v>30</v>
      </c>
      <c r="F334">
        <v>24</v>
      </c>
      <c r="G334" t="s">
        <v>36</v>
      </c>
      <c r="H334" t="s">
        <v>30</v>
      </c>
      <c r="I334">
        <v>24</v>
      </c>
      <c r="J334">
        <v>6</v>
      </c>
      <c r="K334">
        <v>10</v>
      </c>
      <c r="L334">
        <v>51</v>
      </c>
      <c r="M334" t="s">
        <v>20</v>
      </c>
      <c r="N334" t="s">
        <v>57</v>
      </c>
      <c r="O334">
        <v>31725</v>
      </c>
      <c r="P334">
        <v>163</v>
      </c>
      <c r="Q334" t="s">
        <v>36</v>
      </c>
      <c r="R334" t="str">
        <f t="shared" si="6"/>
        <v>Yes</v>
      </c>
    </row>
    <row r="335" spans="1:18" x14ac:dyDescent="0.35">
      <c r="A335" s="1">
        <v>40298</v>
      </c>
      <c r="B335">
        <v>0</v>
      </c>
      <c r="C335" t="s">
        <v>55</v>
      </c>
      <c r="D335" t="s">
        <v>34</v>
      </c>
      <c r="E335" t="s">
        <v>30</v>
      </c>
      <c r="F335">
        <v>23</v>
      </c>
      <c r="G335" t="s">
        <v>59</v>
      </c>
      <c r="H335" t="s">
        <v>30</v>
      </c>
      <c r="I335">
        <v>22</v>
      </c>
      <c r="J335">
        <v>4</v>
      </c>
      <c r="K335">
        <v>6</v>
      </c>
      <c r="L335">
        <v>51</v>
      </c>
      <c r="M335" t="s">
        <v>20</v>
      </c>
      <c r="N335" t="s">
        <v>84</v>
      </c>
      <c r="O335">
        <v>44783</v>
      </c>
      <c r="P335">
        <v>178</v>
      </c>
      <c r="Q335" t="s">
        <v>59</v>
      </c>
      <c r="R335" t="str">
        <f t="shared" si="6"/>
        <v>Yes</v>
      </c>
    </row>
    <row r="336" spans="1:18" x14ac:dyDescent="0.35">
      <c r="A336" s="1">
        <v>40298</v>
      </c>
      <c r="B336">
        <v>0</v>
      </c>
      <c r="C336" t="s">
        <v>55</v>
      </c>
      <c r="D336" t="s">
        <v>47</v>
      </c>
      <c r="E336" t="s">
        <v>30</v>
      </c>
      <c r="F336">
        <v>23</v>
      </c>
      <c r="G336" t="s">
        <v>40</v>
      </c>
      <c r="H336" t="s">
        <v>30</v>
      </c>
      <c r="I336">
        <v>23</v>
      </c>
      <c r="J336">
        <v>2</v>
      </c>
      <c r="K336">
        <v>0</v>
      </c>
      <c r="L336">
        <v>72</v>
      </c>
      <c r="M336" t="s">
        <v>20</v>
      </c>
      <c r="N336" t="s">
        <v>77</v>
      </c>
      <c r="O336">
        <v>34055</v>
      </c>
      <c r="P336">
        <v>194</v>
      </c>
      <c r="Q336" t="s">
        <v>47</v>
      </c>
      <c r="R336" t="str">
        <f t="shared" si="6"/>
        <v>No</v>
      </c>
    </row>
    <row r="337" spans="1:18" x14ac:dyDescent="0.35">
      <c r="A337" s="1">
        <v>40298</v>
      </c>
      <c r="B337">
        <v>0</v>
      </c>
      <c r="C337" t="s">
        <v>55</v>
      </c>
      <c r="D337" t="s">
        <v>37</v>
      </c>
      <c r="E337" t="s">
        <v>30</v>
      </c>
      <c r="F337">
        <v>23</v>
      </c>
      <c r="G337" t="s">
        <v>44</v>
      </c>
      <c r="H337" t="s">
        <v>30</v>
      </c>
      <c r="I337">
        <v>23</v>
      </c>
      <c r="J337">
        <v>3</v>
      </c>
      <c r="K337">
        <v>2</v>
      </c>
      <c r="L337">
        <v>54</v>
      </c>
      <c r="M337" t="s">
        <v>20</v>
      </c>
      <c r="N337" t="s">
        <v>45</v>
      </c>
      <c r="O337">
        <v>25195</v>
      </c>
      <c r="P337">
        <v>157</v>
      </c>
      <c r="Q337" t="s">
        <v>37</v>
      </c>
      <c r="R337" t="str">
        <f t="shared" si="6"/>
        <v>No</v>
      </c>
    </row>
    <row r="338" spans="1:18" x14ac:dyDescent="0.35">
      <c r="A338" s="1">
        <v>40298</v>
      </c>
      <c r="B338">
        <v>0</v>
      </c>
      <c r="C338" t="s">
        <v>55</v>
      </c>
      <c r="D338" t="s">
        <v>41</v>
      </c>
      <c r="E338" t="s">
        <v>30</v>
      </c>
      <c r="F338">
        <v>24</v>
      </c>
      <c r="G338" t="s">
        <v>46</v>
      </c>
      <c r="H338" t="s">
        <v>30</v>
      </c>
      <c r="I338">
        <v>24</v>
      </c>
      <c r="J338">
        <v>2</v>
      </c>
      <c r="K338">
        <v>10</v>
      </c>
      <c r="L338">
        <v>51</v>
      </c>
      <c r="M338" t="s">
        <v>20</v>
      </c>
      <c r="N338" t="s">
        <v>78</v>
      </c>
      <c r="O338">
        <v>12722</v>
      </c>
      <c r="P338">
        <v>161</v>
      </c>
      <c r="Q338" t="s">
        <v>46</v>
      </c>
      <c r="R338" t="str">
        <f t="shared" si="6"/>
        <v>Yes</v>
      </c>
    </row>
    <row r="339" spans="1:18" x14ac:dyDescent="0.35">
      <c r="A339" s="1">
        <v>40298</v>
      </c>
      <c r="B339">
        <v>0</v>
      </c>
      <c r="C339" t="s">
        <v>55</v>
      </c>
      <c r="D339" t="s">
        <v>66</v>
      </c>
      <c r="E339" t="s">
        <v>18</v>
      </c>
      <c r="F339">
        <v>22</v>
      </c>
      <c r="G339" t="s">
        <v>50</v>
      </c>
      <c r="H339" t="s">
        <v>18</v>
      </c>
      <c r="I339">
        <v>23</v>
      </c>
      <c r="J339">
        <v>2</v>
      </c>
      <c r="K339">
        <v>4</v>
      </c>
      <c r="L339">
        <v>51</v>
      </c>
      <c r="M339" t="s">
        <v>20</v>
      </c>
      <c r="N339" t="s">
        <v>51</v>
      </c>
      <c r="O339">
        <v>30082</v>
      </c>
      <c r="P339">
        <v>140</v>
      </c>
      <c r="Q339" t="s">
        <v>50</v>
      </c>
      <c r="R339" t="str">
        <f t="shared" si="6"/>
        <v>Yes</v>
      </c>
    </row>
    <row r="340" spans="1:18" x14ac:dyDescent="0.35">
      <c r="A340" s="1">
        <v>40298</v>
      </c>
      <c r="B340">
        <v>0</v>
      </c>
      <c r="C340" t="s">
        <v>55</v>
      </c>
      <c r="D340" t="s">
        <v>60</v>
      </c>
      <c r="E340" t="s">
        <v>18</v>
      </c>
      <c r="F340">
        <v>23</v>
      </c>
      <c r="G340" t="s">
        <v>49</v>
      </c>
      <c r="H340" t="s">
        <v>18</v>
      </c>
      <c r="I340">
        <v>24</v>
      </c>
      <c r="J340">
        <v>5</v>
      </c>
      <c r="K340">
        <v>11</v>
      </c>
      <c r="L340">
        <v>51</v>
      </c>
      <c r="M340" t="s">
        <v>38</v>
      </c>
      <c r="N340" t="s">
        <v>79</v>
      </c>
      <c r="O340">
        <v>37800</v>
      </c>
      <c r="P340">
        <v>182</v>
      </c>
      <c r="Q340" t="s">
        <v>49</v>
      </c>
      <c r="R340" t="str">
        <f t="shared" si="6"/>
        <v>Yes</v>
      </c>
    </row>
    <row r="341" spans="1:18" x14ac:dyDescent="0.35">
      <c r="A341" s="1">
        <v>40298</v>
      </c>
      <c r="B341">
        <v>0</v>
      </c>
      <c r="C341" t="s">
        <v>55</v>
      </c>
      <c r="D341" t="s">
        <v>26</v>
      </c>
      <c r="E341" t="s">
        <v>18</v>
      </c>
      <c r="F341">
        <v>23</v>
      </c>
      <c r="G341" t="s">
        <v>17</v>
      </c>
      <c r="H341" t="s">
        <v>18</v>
      </c>
      <c r="I341">
        <v>23</v>
      </c>
      <c r="J341">
        <v>7</v>
      </c>
      <c r="K341">
        <v>1</v>
      </c>
      <c r="L341">
        <v>54</v>
      </c>
      <c r="M341" t="s">
        <v>20</v>
      </c>
      <c r="N341" t="s">
        <v>65</v>
      </c>
      <c r="O341">
        <v>20856</v>
      </c>
      <c r="P341">
        <v>208</v>
      </c>
      <c r="Q341" t="s">
        <v>26</v>
      </c>
      <c r="R341" t="str">
        <f t="shared" si="6"/>
        <v>No</v>
      </c>
    </row>
    <row r="342" spans="1:18" x14ac:dyDescent="0.35">
      <c r="A342" s="1">
        <v>40298</v>
      </c>
      <c r="B342">
        <v>0</v>
      </c>
      <c r="C342" t="s">
        <v>55</v>
      </c>
      <c r="D342" t="s">
        <v>23</v>
      </c>
      <c r="E342" t="s">
        <v>18</v>
      </c>
      <c r="F342">
        <v>23</v>
      </c>
      <c r="G342" t="s">
        <v>22</v>
      </c>
      <c r="H342" t="s">
        <v>18</v>
      </c>
      <c r="I342">
        <v>23</v>
      </c>
      <c r="J342">
        <v>2</v>
      </c>
      <c r="K342">
        <v>6</v>
      </c>
      <c r="L342">
        <v>51</v>
      </c>
      <c r="M342" t="s">
        <v>20</v>
      </c>
      <c r="N342" t="s">
        <v>85</v>
      </c>
      <c r="O342">
        <v>46775</v>
      </c>
      <c r="P342">
        <v>168</v>
      </c>
      <c r="Q342" t="s">
        <v>22</v>
      </c>
      <c r="R342" t="str">
        <f t="shared" si="6"/>
        <v>Yes</v>
      </c>
    </row>
    <row r="343" spans="1:18" x14ac:dyDescent="0.35">
      <c r="A343" s="1">
        <v>40298</v>
      </c>
      <c r="B343">
        <v>0</v>
      </c>
      <c r="C343" t="s">
        <v>55</v>
      </c>
      <c r="D343" t="s">
        <v>19</v>
      </c>
      <c r="E343" t="s">
        <v>18</v>
      </c>
      <c r="F343">
        <v>23</v>
      </c>
      <c r="G343" t="s">
        <v>25</v>
      </c>
      <c r="H343" t="s">
        <v>18</v>
      </c>
      <c r="I343">
        <v>22</v>
      </c>
      <c r="J343">
        <v>9</v>
      </c>
      <c r="K343">
        <v>1</v>
      </c>
      <c r="L343">
        <v>54</v>
      </c>
      <c r="M343" t="s">
        <v>20</v>
      </c>
      <c r="N343" t="s">
        <v>80</v>
      </c>
      <c r="O343">
        <v>45296</v>
      </c>
      <c r="P343">
        <v>174</v>
      </c>
      <c r="Q343" t="s">
        <v>19</v>
      </c>
      <c r="R343" t="str">
        <f t="shared" si="6"/>
        <v>No</v>
      </c>
    </row>
    <row r="344" spans="1:18" x14ac:dyDescent="0.35">
      <c r="A344" s="1">
        <v>40298</v>
      </c>
      <c r="B344">
        <v>0</v>
      </c>
      <c r="C344" t="s">
        <v>55</v>
      </c>
      <c r="D344" t="s">
        <v>68</v>
      </c>
      <c r="E344" t="s">
        <v>18</v>
      </c>
      <c r="F344">
        <v>23</v>
      </c>
      <c r="G344" t="s">
        <v>62</v>
      </c>
      <c r="H344" t="s">
        <v>18</v>
      </c>
      <c r="I344">
        <v>23</v>
      </c>
      <c r="J344">
        <v>0</v>
      </c>
      <c r="K344">
        <v>3</v>
      </c>
      <c r="L344">
        <v>51</v>
      </c>
      <c r="M344" t="s">
        <v>20</v>
      </c>
      <c r="N344" t="s">
        <v>81</v>
      </c>
      <c r="O344">
        <v>29366</v>
      </c>
      <c r="P344">
        <v>166</v>
      </c>
      <c r="Q344" t="s">
        <v>62</v>
      </c>
      <c r="R344" t="str">
        <f t="shared" si="6"/>
        <v>Yes</v>
      </c>
    </row>
    <row r="345" spans="1:18" x14ac:dyDescent="0.35">
      <c r="A345" s="1">
        <v>40298</v>
      </c>
      <c r="B345">
        <v>0</v>
      </c>
      <c r="C345" t="s">
        <v>55</v>
      </c>
      <c r="D345" t="s">
        <v>63</v>
      </c>
      <c r="E345" t="s">
        <v>18</v>
      </c>
      <c r="F345">
        <v>23</v>
      </c>
      <c r="G345" t="s">
        <v>70</v>
      </c>
      <c r="H345" t="s">
        <v>18</v>
      </c>
      <c r="I345">
        <v>22</v>
      </c>
      <c r="J345">
        <v>2</v>
      </c>
      <c r="K345">
        <v>5</v>
      </c>
      <c r="L345">
        <v>51</v>
      </c>
      <c r="M345" t="s">
        <v>20</v>
      </c>
      <c r="N345" t="s">
        <v>71</v>
      </c>
      <c r="O345">
        <v>37144</v>
      </c>
      <c r="P345">
        <v>153</v>
      </c>
      <c r="Q345" t="s">
        <v>70</v>
      </c>
      <c r="R345" t="str">
        <f t="shared" si="6"/>
        <v>Yes</v>
      </c>
    </row>
    <row r="346" spans="1:18" x14ac:dyDescent="0.35">
      <c r="A346" s="1">
        <v>40298</v>
      </c>
      <c r="B346">
        <v>0</v>
      </c>
      <c r="C346" t="s">
        <v>55</v>
      </c>
      <c r="D346" t="s">
        <v>53</v>
      </c>
      <c r="E346" t="s">
        <v>18</v>
      </c>
      <c r="F346">
        <v>23</v>
      </c>
      <c r="G346" t="s">
        <v>52</v>
      </c>
      <c r="H346" t="s">
        <v>18</v>
      </c>
      <c r="I346">
        <v>23</v>
      </c>
      <c r="J346">
        <v>3</v>
      </c>
      <c r="K346">
        <v>2</v>
      </c>
      <c r="L346">
        <v>54</v>
      </c>
      <c r="M346" t="s">
        <v>20</v>
      </c>
      <c r="N346" t="s">
        <v>82</v>
      </c>
      <c r="O346">
        <v>39850</v>
      </c>
      <c r="P346">
        <v>163</v>
      </c>
      <c r="Q346" t="s">
        <v>53</v>
      </c>
      <c r="R346" t="str">
        <f t="shared" si="6"/>
        <v>No</v>
      </c>
    </row>
    <row r="347" spans="1:18" x14ac:dyDescent="0.35">
      <c r="A347" s="1">
        <v>40299</v>
      </c>
      <c r="B347">
        <v>0</v>
      </c>
      <c r="C347" t="s">
        <v>72</v>
      </c>
      <c r="D347" t="s">
        <v>58</v>
      </c>
      <c r="E347" t="s">
        <v>30</v>
      </c>
      <c r="F347">
        <v>24</v>
      </c>
      <c r="G347" t="s">
        <v>43</v>
      </c>
      <c r="H347" t="s">
        <v>30</v>
      </c>
      <c r="I347">
        <v>24</v>
      </c>
      <c r="J347">
        <v>9</v>
      </c>
      <c r="K347">
        <v>12</v>
      </c>
      <c r="L347">
        <v>51</v>
      </c>
      <c r="M347" t="s">
        <v>20</v>
      </c>
      <c r="N347" t="s">
        <v>56</v>
      </c>
      <c r="O347">
        <v>35164</v>
      </c>
      <c r="P347">
        <v>168</v>
      </c>
      <c r="Q347" t="s">
        <v>43</v>
      </c>
      <c r="R347" t="str">
        <f t="shared" si="6"/>
        <v>Yes</v>
      </c>
    </row>
    <row r="348" spans="1:18" x14ac:dyDescent="0.35">
      <c r="A348" s="1">
        <v>40299</v>
      </c>
      <c r="B348">
        <v>0</v>
      </c>
      <c r="C348" t="s">
        <v>72</v>
      </c>
      <c r="D348" t="s">
        <v>29</v>
      </c>
      <c r="E348" t="s">
        <v>30</v>
      </c>
      <c r="F348">
        <v>24</v>
      </c>
      <c r="G348" t="s">
        <v>33</v>
      </c>
      <c r="H348" t="s">
        <v>30</v>
      </c>
      <c r="I348">
        <v>23</v>
      </c>
      <c r="J348">
        <v>4</v>
      </c>
      <c r="K348">
        <v>5</v>
      </c>
      <c r="L348">
        <v>65</v>
      </c>
      <c r="M348" t="s">
        <v>20</v>
      </c>
      <c r="N348" t="s">
        <v>75</v>
      </c>
      <c r="O348">
        <v>13832</v>
      </c>
      <c r="P348">
        <v>203</v>
      </c>
      <c r="Q348" t="s">
        <v>33</v>
      </c>
      <c r="R348" t="str">
        <f t="shared" si="6"/>
        <v>Yes</v>
      </c>
    </row>
    <row r="349" spans="1:18" x14ac:dyDescent="0.35">
      <c r="A349" s="1">
        <v>40299</v>
      </c>
      <c r="B349">
        <v>0</v>
      </c>
      <c r="C349" t="s">
        <v>72</v>
      </c>
      <c r="D349" t="s">
        <v>31</v>
      </c>
      <c r="E349" t="s">
        <v>30</v>
      </c>
      <c r="F349">
        <v>25</v>
      </c>
      <c r="G349" t="s">
        <v>36</v>
      </c>
      <c r="H349" t="s">
        <v>30</v>
      </c>
      <c r="I349">
        <v>25</v>
      </c>
      <c r="J349">
        <v>2</v>
      </c>
      <c r="K349">
        <v>3</v>
      </c>
      <c r="L349">
        <v>52</v>
      </c>
      <c r="M349" t="s">
        <v>38</v>
      </c>
      <c r="N349" t="s">
        <v>57</v>
      </c>
      <c r="O349">
        <v>31042</v>
      </c>
      <c r="P349">
        <v>177</v>
      </c>
      <c r="Q349" t="s">
        <v>36</v>
      </c>
      <c r="R349" t="str">
        <f t="shared" si="6"/>
        <v>Yes</v>
      </c>
    </row>
    <row r="350" spans="1:18" x14ac:dyDescent="0.35">
      <c r="A350" s="1">
        <v>40299</v>
      </c>
      <c r="B350">
        <v>0</v>
      </c>
      <c r="C350" t="s">
        <v>72</v>
      </c>
      <c r="D350" t="s">
        <v>34</v>
      </c>
      <c r="E350" t="s">
        <v>30</v>
      </c>
      <c r="F350">
        <v>24</v>
      </c>
      <c r="G350" t="s">
        <v>59</v>
      </c>
      <c r="H350" t="s">
        <v>30</v>
      </c>
      <c r="I350">
        <v>23</v>
      </c>
      <c r="J350">
        <v>7</v>
      </c>
      <c r="K350">
        <v>6</v>
      </c>
      <c r="L350">
        <v>54</v>
      </c>
      <c r="M350" t="s">
        <v>38</v>
      </c>
      <c r="N350" t="s">
        <v>84</v>
      </c>
      <c r="O350">
        <v>45265</v>
      </c>
      <c r="P350">
        <v>229</v>
      </c>
      <c r="Q350" t="s">
        <v>34</v>
      </c>
      <c r="R350" t="str">
        <f t="shared" si="6"/>
        <v>No</v>
      </c>
    </row>
    <row r="351" spans="1:18" x14ac:dyDescent="0.35">
      <c r="A351" s="1">
        <v>40299</v>
      </c>
      <c r="B351">
        <v>0</v>
      </c>
      <c r="C351" t="s">
        <v>72</v>
      </c>
      <c r="D351" t="s">
        <v>47</v>
      </c>
      <c r="E351" t="s">
        <v>30</v>
      </c>
      <c r="F351">
        <v>24</v>
      </c>
      <c r="G351" t="s">
        <v>40</v>
      </c>
      <c r="H351" t="s">
        <v>30</v>
      </c>
      <c r="I351">
        <v>24</v>
      </c>
      <c r="J351">
        <v>6</v>
      </c>
      <c r="K351">
        <v>3</v>
      </c>
      <c r="L351">
        <v>54</v>
      </c>
      <c r="M351" t="s">
        <v>38</v>
      </c>
      <c r="N351" t="s">
        <v>77</v>
      </c>
      <c r="O351">
        <v>30225</v>
      </c>
      <c r="P351">
        <v>194</v>
      </c>
      <c r="Q351" t="s">
        <v>47</v>
      </c>
      <c r="R351" t="str">
        <f t="shared" si="6"/>
        <v>No</v>
      </c>
    </row>
    <row r="352" spans="1:18" x14ac:dyDescent="0.35">
      <c r="A352" s="1">
        <v>40299</v>
      </c>
      <c r="B352">
        <v>0</v>
      </c>
      <c r="C352" t="s">
        <v>72</v>
      </c>
      <c r="D352" t="s">
        <v>37</v>
      </c>
      <c r="E352" t="s">
        <v>30</v>
      </c>
      <c r="F352">
        <v>24</v>
      </c>
      <c r="G352" t="s">
        <v>44</v>
      </c>
      <c r="H352" t="s">
        <v>30</v>
      </c>
      <c r="I352">
        <v>24</v>
      </c>
      <c r="J352">
        <v>4</v>
      </c>
      <c r="K352">
        <v>2</v>
      </c>
      <c r="L352">
        <v>66</v>
      </c>
      <c r="M352" t="s">
        <v>20</v>
      </c>
      <c r="N352" t="s">
        <v>45</v>
      </c>
      <c r="O352">
        <v>34813</v>
      </c>
      <c r="P352">
        <v>216</v>
      </c>
      <c r="Q352" t="s">
        <v>37</v>
      </c>
      <c r="R352" t="str">
        <f t="shared" si="6"/>
        <v>No</v>
      </c>
    </row>
    <row r="353" spans="1:18" x14ac:dyDescent="0.35">
      <c r="A353" s="1">
        <v>40299</v>
      </c>
      <c r="B353">
        <v>0</v>
      </c>
      <c r="C353" t="s">
        <v>72</v>
      </c>
      <c r="D353" t="s">
        <v>41</v>
      </c>
      <c r="E353" t="s">
        <v>30</v>
      </c>
      <c r="F353">
        <v>25</v>
      </c>
      <c r="G353" t="s">
        <v>46</v>
      </c>
      <c r="H353" t="s">
        <v>30</v>
      </c>
      <c r="I353">
        <v>25</v>
      </c>
      <c r="J353">
        <v>4</v>
      </c>
      <c r="K353">
        <v>3</v>
      </c>
      <c r="L353">
        <v>54</v>
      </c>
      <c r="M353" t="s">
        <v>38</v>
      </c>
      <c r="N353" t="s">
        <v>78</v>
      </c>
      <c r="O353">
        <v>13951</v>
      </c>
      <c r="P353">
        <v>153</v>
      </c>
      <c r="Q353" t="s">
        <v>41</v>
      </c>
      <c r="R353" t="str">
        <f t="shared" si="6"/>
        <v>No</v>
      </c>
    </row>
    <row r="354" spans="1:18" x14ac:dyDescent="0.35">
      <c r="A354" s="1">
        <v>40299</v>
      </c>
      <c r="B354">
        <v>0</v>
      </c>
      <c r="C354" t="s">
        <v>72</v>
      </c>
      <c r="D354" t="s">
        <v>66</v>
      </c>
      <c r="E354" t="s">
        <v>18</v>
      </c>
      <c r="F354">
        <v>23</v>
      </c>
      <c r="G354" t="s">
        <v>50</v>
      </c>
      <c r="H354" t="s">
        <v>18</v>
      </c>
      <c r="I354">
        <v>24</v>
      </c>
      <c r="J354">
        <v>1</v>
      </c>
      <c r="K354">
        <v>10</v>
      </c>
      <c r="L354">
        <v>51</v>
      </c>
      <c r="M354" t="s">
        <v>38</v>
      </c>
      <c r="N354" t="s">
        <v>51</v>
      </c>
      <c r="O354">
        <v>27035</v>
      </c>
      <c r="P354">
        <v>172</v>
      </c>
      <c r="Q354" t="s">
        <v>50</v>
      </c>
      <c r="R354" t="str">
        <f t="shared" si="6"/>
        <v>Yes</v>
      </c>
    </row>
    <row r="355" spans="1:18" x14ac:dyDescent="0.35">
      <c r="A355" s="1">
        <v>40299</v>
      </c>
      <c r="B355">
        <v>0</v>
      </c>
      <c r="C355" t="s">
        <v>72</v>
      </c>
      <c r="D355" t="s">
        <v>60</v>
      </c>
      <c r="E355" t="s">
        <v>18</v>
      </c>
      <c r="F355">
        <v>24</v>
      </c>
      <c r="G355" t="s">
        <v>49</v>
      </c>
      <c r="H355" t="s">
        <v>18</v>
      </c>
      <c r="I355">
        <v>25</v>
      </c>
      <c r="J355">
        <v>5</v>
      </c>
      <c r="K355">
        <v>7</v>
      </c>
      <c r="L355">
        <v>51</v>
      </c>
      <c r="M355" t="s">
        <v>38</v>
      </c>
      <c r="N355" t="s">
        <v>79</v>
      </c>
      <c r="O355">
        <v>40368</v>
      </c>
      <c r="P355">
        <v>186</v>
      </c>
      <c r="Q355" t="s">
        <v>49</v>
      </c>
      <c r="R355" t="str">
        <f t="shared" si="6"/>
        <v>Yes</v>
      </c>
    </row>
    <row r="356" spans="1:18" x14ac:dyDescent="0.35">
      <c r="A356" s="1">
        <v>40299</v>
      </c>
      <c r="B356">
        <v>0</v>
      </c>
      <c r="C356" t="s">
        <v>72</v>
      </c>
      <c r="D356" t="s">
        <v>26</v>
      </c>
      <c r="E356" t="s">
        <v>18</v>
      </c>
      <c r="F356">
        <v>24</v>
      </c>
      <c r="G356" t="s">
        <v>17</v>
      </c>
      <c r="H356" t="s">
        <v>18</v>
      </c>
      <c r="I356">
        <v>24</v>
      </c>
      <c r="J356">
        <v>1</v>
      </c>
      <c r="K356">
        <v>7</v>
      </c>
      <c r="L356">
        <v>51</v>
      </c>
      <c r="M356" t="s">
        <v>20</v>
      </c>
      <c r="N356" t="s">
        <v>65</v>
      </c>
      <c r="O356">
        <v>34886</v>
      </c>
      <c r="P356">
        <v>153</v>
      </c>
      <c r="Q356" t="s">
        <v>17</v>
      </c>
      <c r="R356" t="str">
        <f t="shared" si="6"/>
        <v>Yes</v>
      </c>
    </row>
    <row r="357" spans="1:18" x14ac:dyDescent="0.35">
      <c r="A357" s="1">
        <v>40299</v>
      </c>
      <c r="B357">
        <v>0</v>
      </c>
      <c r="C357" t="s">
        <v>72</v>
      </c>
      <c r="D357" t="s">
        <v>23</v>
      </c>
      <c r="E357" t="s">
        <v>18</v>
      </c>
      <c r="F357">
        <v>24</v>
      </c>
      <c r="G357" t="s">
        <v>22</v>
      </c>
      <c r="H357" t="s">
        <v>18</v>
      </c>
      <c r="I357">
        <v>24</v>
      </c>
      <c r="J357">
        <v>1</v>
      </c>
      <c r="K357">
        <v>5</v>
      </c>
      <c r="L357">
        <v>51</v>
      </c>
      <c r="M357" t="s">
        <v>20</v>
      </c>
      <c r="N357" t="s">
        <v>85</v>
      </c>
      <c r="O357">
        <v>40483</v>
      </c>
      <c r="P357">
        <v>158</v>
      </c>
      <c r="Q357" t="s">
        <v>22</v>
      </c>
      <c r="R357" t="str">
        <f t="shared" si="6"/>
        <v>Yes</v>
      </c>
    </row>
    <row r="358" spans="1:18" x14ac:dyDescent="0.35">
      <c r="A358" s="1">
        <v>40299</v>
      </c>
      <c r="B358">
        <v>0</v>
      </c>
      <c r="C358" t="s">
        <v>72</v>
      </c>
      <c r="D358" t="s">
        <v>19</v>
      </c>
      <c r="E358" t="s">
        <v>18</v>
      </c>
      <c r="F358">
        <v>24</v>
      </c>
      <c r="G358" t="s">
        <v>25</v>
      </c>
      <c r="H358" t="s">
        <v>18</v>
      </c>
      <c r="I358">
        <v>23</v>
      </c>
      <c r="J358">
        <v>0</v>
      </c>
      <c r="K358">
        <v>10</v>
      </c>
      <c r="L358">
        <v>51</v>
      </c>
      <c r="M358" t="s">
        <v>38</v>
      </c>
      <c r="N358" t="s">
        <v>80</v>
      </c>
      <c r="O358">
        <v>45264</v>
      </c>
      <c r="P358">
        <v>147</v>
      </c>
      <c r="Q358" t="s">
        <v>25</v>
      </c>
      <c r="R358" t="str">
        <f t="shared" si="6"/>
        <v>Yes</v>
      </c>
    </row>
    <row r="359" spans="1:18" x14ac:dyDescent="0.35">
      <c r="A359" s="1">
        <v>40299</v>
      </c>
      <c r="B359">
        <v>0</v>
      </c>
      <c r="C359" t="s">
        <v>72</v>
      </c>
      <c r="D359" t="s">
        <v>68</v>
      </c>
      <c r="E359" t="s">
        <v>18</v>
      </c>
      <c r="F359">
        <v>24</v>
      </c>
      <c r="G359" t="s">
        <v>62</v>
      </c>
      <c r="H359" t="s">
        <v>18</v>
      </c>
      <c r="I359">
        <v>24</v>
      </c>
      <c r="J359">
        <v>2</v>
      </c>
      <c r="K359">
        <v>1</v>
      </c>
      <c r="L359">
        <v>54</v>
      </c>
      <c r="M359" t="s">
        <v>20</v>
      </c>
      <c r="N359" t="s">
        <v>81</v>
      </c>
      <c r="O359">
        <v>25619</v>
      </c>
      <c r="P359">
        <v>195</v>
      </c>
      <c r="Q359" t="s">
        <v>68</v>
      </c>
      <c r="R359" t="str">
        <f t="shared" si="6"/>
        <v>No</v>
      </c>
    </row>
    <row r="360" spans="1:18" x14ac:dyDescent="0.35">
      <c r="A360" s="1">
        <v>40299</v>
      </c>
      <c r="B360">
        <v>0</v>
      </c>
      <c r="C360" t="s">
        <v>72</v>
      </c>
      <c r="D360" t="s">
        <v>63</v>
      </c>
      <c r="E360" t="s">
        <v>18</v>
      </c>
      <c r="F360">
        <v>24</v>
      </c>
      <c r="G360" t="s">
        <v>70</v>
      </c>
      <c r="H360" t="s">
        <v>18</v>
      </c>
      <c r="I360">
        <v>23</v>
      </c>
      <c r="J360">
        <v>1</v>
      </c>
      <c r="K360">
        <v>6</v>
      </c>
      <c r="L360">
        <v>51</v>
      </c>
      <c r="M360" t="s">
        <v>38</v>
      </c>
      <c r="N360" t="s">
        <v>71</v>
      </c>
      <c r="O360">
        <v>39211</v>
      </c>
      <c r="P360">
        <v>161</v>
      </c>
      <c r="Q360" t="s">
        <v>70</v>
      </c>
      <c r="R360" t="str">
        <f t="shared" si="6"/>
        <v>Yes</v>
      </c>
    </row>
    <row r="361" spans="1:18" x14ac:dyDescent="0.35">
      <c r="A361" s="1">
        <v>40299</v>
      </c>
      <c r="B361">
        <v>0</v>
      </c>
      <c r="C361" t="s">
        <v>72</v>
      </c>
      <c r="D361" t="s">
        <v>53</v>
      </c>
      <c r="E361" t="s">
        <v>18</v>
      </c>
      <c r="F361">
        <v>24</v>
      </c>
      <c r="G361" t="s">
        <v>52</v>
      </c>
      <c r="H361" t="s">
        <v>18</v>
      </c>
      <c r="I361">
        <v>24</v>
      </c>
      <c r="J361">
        <v>3</v>
      </c>
      <c r="K361">
        <v>6</v>
      </c>
      <c r="L361">
        <v>51</v>
      </c>
      <c r="M361" t="s">
        <v>38</v>
      </c>
      <c r="N361" t="s">
        <v>82</v>
      </c>
      <c r="O361">
        <v>41536</v>
      </c>
      <c r="P361">
        <v>199</v>
      </c>
      <c r="Q361" t="s">
        <v>52</v>
      </c>
      <c r="R361" t="str">
        <f t="shared" si="6"/>
        <v>Yes</v>
      </c>
    </row>
    <row r="362" spans="1:18" x14ac:dyDescent="0.35">
      <c r="A362" s="1">
        <v>40300</v>
      </c>
      <c r="B362">
        <v>0</v>
      </c>
      <c r="C362" t="s">
        <v>73</v>
      </c>
      <c r="D362" t="s">
        <v>58</v>
      </c>
      <c r="E362" t="s">
        <v>30</v>
      </c>
      <c r="F362">
        <v>25</v>
      </c>
      <c r="G362" t="s">
        <v>43</v>
      </c>
      <c r="H362" t="s">
        <v>30</v>
      </c>
      <c r="I362">
        <v>25</v>
      </c>
      <c r="J362">
        <v>2</v>
      </c>
      <c r="K362">
        <v>3</v>
      </c>
      <c r="L362">
        <v>57</v>
      </c>
      <c r="M362" t="s">
        <v>38</v>
      </c>
      <c r="N362" t="s">
        <v>56</v>
      </c>
      <c r="O362">
        <v>34255</v>
      </c>
      <c r="P362">
        <v>202</v>
      </c>
      <c r="Q362" t="s">
        <v>43</v>
      </c>
      <c r="R362" t="str">
        <f t="shared" si="6"/>
        <v>Yes</v>
      </c>
    </row>
    <row r="363" spans="1:18" x14ac:dyDescent="0.35">
      <c r="A363" s="1">
        <v>40300</v>
      </c>
      <c r="B363">
        <v>0</v>
      </c>
      <c r="C363" t="s">
        <v>73</v>
      </c>
      <c r="D363" t="s">
        <v>29</v>
      </c>
      <c r="E363" t="s">
        <v>30</v>
      </c>
      <c r="F363">
        <v>25</v>
      </c>
      <c r="G363" t="s">
        <v>33</v>
      </c>
      <c r="H363" t="s">
        <v>30</v>
      </c>
      <c r="I363">
        <v>24</v>
      </c>
      <c r="J363">
        <v>8</v>
      </c>
      <c r="K363">
        <v>3</v>
      </c>
      <c r="L363">
        <v>54</v>
      </c>
      <c r="M363" t="s">
        <v>38</v>
      </c>
      <c r="N363" t="s">
        <v>75</v>
      </c>
      <c r="O363">
        <v>12619</v>
      </c>
      <c r="P363">
        <v>196</v>
      </c>
      <c r="Q363" t="s">
        <v>29</v>
      </c>
      <c r="R363" t="str">
        <f t="shared" si="6"/>
        <v>No</v>
      </c>
    </row>
    <row r="364" spans="1:18" x14ac:dyDescent="0.35">
      <c r="A364" s="1">
        <v>40300</v>
      </c>
      <c r="B364">
        <v>0</v>
      </c>
      <c r="C364" t="s">
        <v>73</v>
      </c>
      <c r="D364" t="s">
        <v>31</v>
      </c>
      <c r="E364" t="s">
        <v>30</v>
      </c>
      <c r="F364">
        <v>26</v>
      </c>
      <c r="G364" t="s">
        <v>36</v>
      </c>
      <c r="H364" t="s">
        <v>30</v>
      </c>
      <c r="I364">
        <v>26</v>
      </c>
      <c r="J364">
        <v>1</v>
      </c>
      <c r="K364">
        <v>5</v>
      </c>
      <c r="L364">
        <v>51</v>
      </c>
      <c r="M364" t="s">
        <v>38</v>
      </c>
      <c r="N364" t="s">
        <v>57</v>
      </c>
      <c r="O364">
        <v>25603</v>
      </c>
      <c r="P364">
        <v>163</v>
      </c>
      <c r="Q364" t="s">
        <v>36</v>
      </c>
      <c r="R364" t="str">
        <f t="shared" si="6"/>
        <v>Yes</v>
      </c>
    </row>
    <row r="365" spans="1:18" x14ac:dyDescent="0.35">
      <c r="A365" s="1">
        <v>40300</v>
      </c>
      <c r="B365">
        <v>0</v>
      </c>
      <c r="C365" t="s">
        <v>73</v>
      </c>
      <c r="D365" t="s">
        <v>34</v>
      </c>
      <c r="E365" t="s">
        <v>30</v>
      </c>
      <c r="F365">
        <v>25</v>
      </c>
      <c r="G365" t="s">
        <v>59</v>
      </c>
      <c r="H365" t="s">
        <v>30</v>
      </c>
      <c r="I365">
        <v>24</v>
      </c>
      <c r="J365">
        <v>3</v>
      </c>
      <c r="K365">
        <v>12</v>
      </c>
      <c r="L365">
        <v>51</v>
      </c>
      <c r="M365" t="s">
        <v>38</v>
      </c>
      <c r="N365" t="s">
        <v>84</v>
      </c>
      <c r="O365">
        <v>45303</v>
      </c>
      <c r="P365">
        <v>186</v>
      </c>
      <c r="Q365" t="s">
        <v>59</v>
      </c>
      <c r="R365" t="str">
        <f t="shared" si="6"/>
        <v>Yes</v>
      </c>
    </row>
    <row r="366" spans="1:18" x14ac:dyDescent="0.35">
      <c r="A366" s="1">
        <v>40300</v>
      </c>
      <c r="B366">
        <v>0</v>
      </c>
      <c r="C366" t="s">
        <v>73</v>
      </c>
      <c r="D366" t="s">
        <v>47</v>
      </c>
      <c r="E366" t="s">
        <v>30</v>
      </c>
      <c r="F366">
        <v>25</v>
      </c>
      <c r="G366" t="s">
        <v>40</v>
      </c>
      <c r="H366" t="s">
        <v>30</v>
      </c>
      <c r="I366">
        <v>25</v>
      </c>
      <c r="J366">
        <v>3</v>
      </c>
      <c r="K366">
        <v>1</v>
      </c>
      <c r="L366">
        <v>66</v>
      </c>
      <c r="M366" t="s">
        <v>38</v>
      </c>
      <c r="N366" t="s">
        <v>77</v>
      </c>
      <c r="O366">
        <v>27185</v>
      </c>
      <c r="P366">
        <v>196</v>
      </c>
      <c r="Q366" t="s">
        <v>47</v>
      </c>
      <c r="R366" t="str">
        <f t="shared" si="6"/>
        <v>No</v>
      </c>
    </row>
    <row r="367" spans="1:18" x14ac:dyDescent="0.35">
      <c r="A367" s="1">
        <v>40300</v>
      </c>
      <c r="B367">
        <v>0</v>
      </c>
      <c r="C367" t="s">
        <v>73</v>
      </c>
      <c r="D367" t="s">
        <v>37</v>
      </c>
      <c r="E367" t="s">
        <v>30</v>
      </c>
      <c r="F367">
        <v>25</v>
      </c>
      <c r="G367" t="s">
        <v>44</v>
      </c>
      <c r="H367" t="s">
        <v>30</v>
      </c>
      <c r="I367">
        <v>25</v>
      </c>
      <c r="J367">
        <v>0</v>
      </c>
      <c r="K367">
        <v>1</v>
      </c>
      <c r="L367">
        <v>51</v>
      </c>
      <c r="M367" t="s">
        <v>38</v>
      </c>
      <c r="N367" t="s">
        <v>45</v>
      </c>
      <c r="O367">
        <v>19757</v>
      </c>
      <c r="P367">
        <v>135</v>
      </c>
      <c r="Q367" t="s">
        <v>44</v>
      </c>
      <c r="R367" t="str">
        <f t="shared" si="6"/>
        <v>Yes</v>
      </c>
    </row>
    <row r="368" spans="1:18" x14ac:dyDescent="0.35">
      <c r="A368" s="1">
        <v>40300</v>
      </c>
      <c r="B368">
        <v>0</v>
      </c>
      <c r="C368" t="s">
        <v>73</v>
      </c>
      <c r="D368" t="s">
        <v>41</v>
      </c>
      <c r="E368" t="s">
        <v>30</v>
      </c>
      <c r="F368">
        <v>26</v>
      </c>
      <c r="G368" t="s">
        <v>46</v>
      </c>
      <c r="H368" t="s">
        <v>30</v>
      </c>
      <c r="I368">
        <v>26</v>
      </c>
      <c r="J368">
        <v>3</v>
      </c>
      <c r="K368">
        <v>9</v>
      </c>
      <c r="L368">
        <v>51</v>
      </c>
      <c r="M368" t="s">
        <v>38</v>
      </c>
      <c r="N368" t="s">
        <v>78</v>
      </c>
      <c r="O368">
        <v>14725</v>
      </c>
      <c r="P368">
        <v>153</v>
      </c>
      <c r="Q368" t="s">
        <v>46</v>
      </c>
      <c r="R368" t="str">
        <f t="shared" si="6"/>
        <v>Yes</v>
      </c>
    </row>
    <row r="369" spans="1:18" x14ac:dyDescent="0.35">
      <c r="A369" s="1">
        <v>40300</v>
      </c>
      <c r="B369">
        <v>0</v>
      </c>
      <c r="C369" t="s">
        <v>73</v>
      </c>
      <c r="D369" t="s">
        <v>66</v>
      </c>
      <c r="E369" t="s">
        <v>18</v>
      </c>
      <c r="F369">
        <v>24</v>
      </c>
      <c r="G369" t="s">
        <v>50</v>
      </c>
      <c r="H369" t="s">
        <v>18</v>
      </c>
      <c r="I369">
        <v>25</v>
      </c>
      <c r="J369">
        <v>1</v>
      </c>
      <c r="K369">
        <v>7</v>
      </c>
      <c r="L369">
        <v>51</v>
      </c>
      <c r="M369" t="s">
        <v>38</v>
      </c>
      <c r="N369" t="s">
        <v>51</v>
      </c>
      <c r="O369">
        <v>25665</v>
      </c>
      <c r="P369">
        <v>168</v>
      </c>
      <c r="Q369" t="s">
        <v>50</v>
      </c>
      <c r="R369" t="str">
        <f t="shared" si="6"/>
        <v>Yes</v>
      </c>
    </row>
    <row r="370" spans="1:18" x14ac:dyDescent="0.35">
      <c r="A370" s="1">
        <v>40300</v>
      </c>
      <c r="B370">
        <v>0</v>
      </c>
      <c r="C370" t="s">
        <v>73</v>
      </c>
      <c r="D370" t="s">
        <v>60</v>
      </c>
      <c r="E370" t="s">
        <v>18</v>
      </c>
      <c r="F370">
        <v>25</v>
      </c>
      <c r="G370" t="s">
        <v>49</v>
      </c>
      <c r="H370" t="s">
        <v>18</v>
      </c>
      <c r="I370">
        <v>26</v>
      </c>
      <c r="J370">
        <v>5</v>
      </c>
      <c r="K370">
        <v>10</v>
      </c>
      <c r="L370">
        <v>51</v>
      </c>
      <c r="M370" t="s">
        <v>38</v>
      </c>
      <c r="N370" t="s">
        <v>79</v>
      </c>
      <c r="O370">
        <v>38144</v>
      </c>
      <c r="P370">
        <v>161</v>
      </c>
      <c r="Q370" t="s">
        <v>49</v>
      </c>
      <c r="R370" t="str">
        <f t="shared" si="6"/>
        <v>Yes</v>
      </c>
    </row>
    <row r="371" spans="1:18" x14ac:dyDescent="0.35">
      <c r="A371" s="1">
        <v>40300</v>
      </c>
      <c r="B371">
        <v>0</v>
      </c>
      <c r="C371" t="s">
        <v>73</v>
      </c>
      <c r="D371" t="s">
        <v>26</v>
      </c>
      <c r="E371" t="s">
        <v>18</v>
      </c>
      <c r="F371">
        <v>25</v>
      </c>
      <c r="G371" t="s">
        <v>17</v>
      </c>
      <c r="H371" t="s">
        <v>18</v>
      </c>
      <c r="I371">
        <v>25</v>
      </c>
      <c r="J371">
        <v>3</v>
      </c>
      <c r="K371">
        <v>9</v>
      </c>
      <c r="L371">
        <v>51</v>
      </c>
      <c r="M371" t="s">
        <v>38</v>
      </c>
      <c r="N371" t="s">
        <v>65</v>
      </c>
      <c r="O371">
        <v>13169</v>
      </c>
      <c r="P371">
        <v>170</v>
      </c>
      <c r="Q371" t="s">
        <v>17</v>
      </c>
      <c r="R371" t="str">
        <f t="shared" si="6"/>
        <v>Yes</v>
      </c>
    </row>
    <row r="372" spans="1:18" x14ac:dyDescent="0.35">
      <c r="A372" s="1">
        <v>40300</v>
      </c>
      <c r="B372">
        <v>0</v>
      </c>
      <c r="C372" t="s">
        <v>73</v>
      </c>
      <c r="D372" t="s">
        <v>23</v>
      </c>
      <c r="E372" t="s">
        <v>18</v>
      </c>
      <c r="F372">
        <v>25</v>
      </c>
      <c r="G372" t="s">
        <v>22</v>
      </c>
      <c r="H372" t="s">
        <v>18</v>
      </c>
      <c r="I372">
        <v>25</v>
      </c>
      <c r="J372">
        <v>3</v>
      </c>
      <c r="K372">
        <v>9</v>
      </c>
      <c r="L372">
        <v>51</v>
      </c>
      <c r="M372" t="s">
        <v>38</v>
      </c>
      <c r="N372" t="s">
        <v>85</v>
      </c>
      <c r="O372">
        <v>39339</v>
      </c>
      <c r="P372">
        <v>157</v>
      </c>
      <c r="Q372" t="s">
        <v>22</v>
      </c>
      <c r="R372" t="str">
        <f t="shared" si="6"/>
        <v>Yes</v>
      </c>
    </row>
    <row r="373" spans="1:18" x14ac:dyDescent="0.35">
      <c r="A373" s="1">
        <v>40300</v>
      </c>
      <c r="B373">
        <v>0</v>
      </c>
      <c r="C373" t="s">
        <v>73</v>
      </c>
      <c r="D373" t="s">
        <v>19</v>
      </c>
      <c r="E373" t="s">
        <v>18</v>
      </c>
      <c r="F373">
        <v>25</v>
      </c>
      <c r="G373" t="s">
        <v>25</v>
      </c>
      <c r="H373" t="s">
        <v>18</v>
      </c>
      <c r="I373">
        <v>24</v>
      </c>
      <c r="J373">
        <v>5</v>
      </c>
      <c r="K373">
        <v>11</v>
      </c>
      <c r="L373">
        <v>51</v>
      </c>
      <c r="M373" t="s">
        <v>20</v>
      </c>
      <c r="N373" t="s">
        <v>80</v>
      </c>
      <c r="O373">
        <v>45439</v>
      </c>
      <c r="P373">
        <v>165</v>
      </c>
      <c r="Q373" t="s">
        <v>25</v>
      </c>
      <c r="R373" t="str">
        <f t="shared" si="6"/>
        <v>Yes</v>
      </c>
    </row>
    <row r="374" spans="1:18" x14ac:dyDescent="0.35">
      <c r="A374" s="1">
        <v>40300</v>
      </c>
      <c r="B374">
        <v>0</v>
      </c>
      <c r="C374" t="s">
        <v>73</v>
      </c>
      <c r="D374" t="s">
        <v>68</v>
      </c>
      <c r="E374" t="s">
        <v>18</v>
      </c>
      <c r="F374">
        <v>25</v>
      </c>
      <c r="G374" t="s">
        <v>62</v>
      </c>
      <c r="H374" t="s">
        <v>18</v>
      </c>
      <c r="I374">
        <v>25</v>
      </c>
      <c r="J374">
        <v>0</v>
      </c>
      <c r="K374">
        <v>8</v>
      </c>
      <c r="L374">
        <v>51</v>
      </c>
      <c r="M374" t="s">
        <v>38</v>
      </c>
      <c r="N374" t="s">
        <v>81</v>
      </c>
      <c r="O374">
        <v>20074</v>
      </c>
      <c r="P374">
        <v>191</v>
      </c>
      <c r="Q374" t="s">
        <v>62</v>
      </c>
      <c r="R374" t="str">
        <f t="shared" si="6"/>
        <v>Yes</v>
      </c>
    </row>
    <row r="375" spans="1:18" x14ac:dyDescent="0.35">
      <c r="A375" s="1">
        <v>40300</v>
      </c>
      <c r="B375">
        <v>0</v>
      </c>
      <c r="C375" t="s">
        <v>73</v>
      </c>
      <c r="D375" t="s">
        <v>63</v>
      </c>
      <c r="E375" t="s">
        <v>18</v>
      </c>
      <c r="F375">
        <v>25</v>
      </c>
      <c r="G375" t="s">
        <v>70</v>
      </c>
      <c r="H375" t="s">
        <v>18</v>
      </c>
      <c r="I375">
        <v>24</v>
      </c>
      <c r="J375">
        <v>4</v>
      </c>
      <c r="K375">
        <v>1</v>
      </c>
      <c r="L375">
        <v>54</v>
      </c>
      <c r="M375" t="s">
        <v>38</v>
      </c>
      <c r="N375" t="s">
        <v>71</v>
      </c>
      <c r="O375">
        <v>41831</v>
      </c>
      <c r="P375">
        <v>190</v>
      </c>
      <c r="Q375" t="s">
        <v>63</v>
      </c>
      <c r="R375" t="str">
        <f t="shared" si="6"/>
        <v>No</v>
      </c>
    </row>
    <row r="376" spans="1:18" x14ac:dyDescent="0.35">
      <c r="A376" s="1">
        <v>40300</v>
      </c>
      <c r="B376">
        <v>0</v>
      </c>
      <c r="C376" t="s">
        <v>73</v>
      </c>
      <c r="D376" t="s">
        <v>53</v>
      </c>
      <c r="E376" t="s">
        <v>18</v>
      </c>
      <c r="F376">
        <v>25</v>
      </c>
      <c r="G376" t="s">
        <v>52</v>
      </c>
      <c r="H376" t="s">
        <v>18</v>
      </c>
      <c r="I376">
        <v>25</v>
      </c>
      <c r="J376">
        <v>0</v>
      </c>
      <c r="K376">
        <v>6</v>
      </c>
      <c r="L376">
        <v>51</v>
      </c>
      <c r="M376" t="s">
        <v>38</v>
      </c>
      <c r="N376" t="s">
        <v>82</v>
      </c>
      <c r="O376">
        <v>43292</v>
      </c>
      <c r="P376">
        <v>155</v>
      </c>
      <c r="Q376" t="s">
        <v>52</v>
      </c>
      <c r="R376" t="str">
        <f t="shared" si="6"/>
        <v>Yes</v>
      </c>
    </row>
    <row r="377" spans="1:18" x14ac:dyDescent="0.35">
      <c r="A377" s="1">
        <v>40301</v>
      </c>
      <c r="B377">
        <v>0</v>
      </c>
      <c r="C377" t="s">
        <v>74</v>
      </c>
      <c r="D377" t="s">
        <v>31</v>
      </c>
      <c r="E377" t="s">
        <v>30</v>
      </c>
      <c r="F377">
        <v>27</v>
      </c>
      <c r="G377" t="s">
        <v>58</v>
      </c>
      <c r="H377" t="s">
        <v>30</v>
      </c>
      <c r="I377">
        <v>26</v>
      </c>
      <c r="J377">
        <v>8</v>
      </c>
      <c r="K377">
        <v>17</v>
      </c>
      <c r="L377">
        <v>51</v>
      </c>
      <c r="M377" t="s">
        <v>20</v>
      </c>
      <c r="N377" t="s">
        <v>86</v>
      </c>
      <c r="O377">
        <v>37404</v>
      </c>
      <c r="P377">
        <v>218</v>
      </c>
      <c r="Q377" t="s">
        <v>58</v>
      </c>
      <c r="R377" t="str">
        <f t="shared" si="6"/>
        <v>Yes</v>
      </c>
    </row>
    <row r="378" spans="1:18" x14ac:dyDescent="0.35">
      <c r="A378" s="1">
        <v>40301</v>
      </c>
      <c r="B378">
        <v>0</v>
      </c>
      <c r="C378" t="s">
        <v>74</v>
      </c>
      <c r="D378" t="s">
        <v>37</v>
      </c>
      <c r="E378" t="s">
        <v>30</v>
      </c>
      <c r="F378">
        <v>26</v>
      </c>
      <c r="G378" t="s">
        <v>34</v>
      </c>
      <c r="H378" t="s">
        <v>30</v>
      </c>
      <c r="I378">
        <v>26</v>
      </c>
      <c r="J378">
        <v>1</v>
      </c>
      <c r="K378">
        <v>5</v>
      </c>
      <c r="L378">
        <v>51</v>
      </c>
      <c r="M378" t="s">
        <v>20</v>
      </c>
      <c r="N378" t="s">
        <v>35</v>
      </c>
      <c r="O378">
        <v>21208</v>
      </c>
      <c r="P378">
        <v>145</v>
      </c>
      <c r="Q378" t="s">
        <v>34</v>
      </c>
      <c r="R378" t="str">
        <f t="shared" si="6"/>
        <v>Yes</v>
      </c>
    </row>
    <row r="379" spans="1:18" x14ac:dyDescent="0.35">
      <c r="A379" s="1">
        <v>40301</v>
      </c>
      <c r="B379">
        <v>0</v>
      </c>
      <c r="C379" t="s">
        <v>74</v>
      </c>
      <c r="D379" t="s">
        <v>46</v>
      </c>
      <c r="E379" t="s">
        <v>30</v>
      </c>
      <c r="F379">
        <v>27</v>
      </c>
      <c r="G379" t="s">
        <v>33</v>
      </c>
      <c r="H379" t="s">
        <v>30</v>
      </c>
      <c r="I379">
        <v>25</v>
      </c>
      <c r="J379">
        <v>5</v>
      </c>
      <c r="K379">
        <v>1</v>
      </c>
      <c r="L379">
        <v>54</v>
      </c>
      <c r="M379" t="s">
        <v>20</v>
      </c>
      <c r="N379" t="s">
        <v>75</v>
      </c>
      <c r="O379">
        <v>10117</v>
      </c>
      <c r="P379">
        <v>143</v>
      </c>
      <c r="Q379" t="s">
        <v>46</v>
      </c>
      <c r="R379" t="str">
        <f t="shared" si="6"/>
        <v>No</v>
      </c>
    </row>
    <row r="380" spans="1:18" x14ac:dyDescent="0.35">
      <c r="A380" s="1">
        <v>40301</v>
      </c>
      <c r="B380">
        <v>0</v>
      </c>
      <c r="C380" t="s">
        <v>74</v>
      </c>
      <c r="D380" t="s">
        <v>36</v>
      </c>
      <c r="E380" t="s">
        <v>30</v>
      </c>
      <c r="F380">
        <v>27</v>
      </c>
      <c r="G380" t="s">
        <v>29</v>
      </c>
      <c r="H380" t="s">
        <v>30</v>
      </c>
      <c r="I380">
        <v>26</v>
      </c>
      <c r="J380">
        <v>4</v>
      </c>
      <c r="K380">
        <v>10</v>
      </c>
      <c r="L380">
        <v>51</v>
      </c>
      <c r="M380" t="s">
        <v>20</v>
      </c>
      <c r="N380" t="s">
        <v>76</v>
      </c>
      <c r="O380">
        <v>38728</v>
      </c>
      <c r="P380">
        <v>149</v>
      </c>
      <c r="Q380" t="s">
        <v>29</v>
      </c>
      <c r="R380" t="str">
        <f t="shared" si="6"/>
        <v>Yes</v>
      </c>
    </row>
    <row r="381" spans="1:18" x14ac:dyDescent="0.35">
      <c r="A381" s="1">
        <v>40301</v>
      </c>
      <c r="B381">
        <v>0</v>
      </c>
      <c r="C381" t="s">
        <v>74</v>
      </c>
      <c r="D381" t="s">
        <v>43</v>
      </c>
      <c r="E381" t="s">
        <v>30</v>
      </c>
      <c r="F381">
        <v>26</v>
      </c>
      <c r="G381" t="s">
        <v>59</v>
      </c>
      <c r="H381" t="s">
        <v>30</v>
      </c>
      <c r="I381">
        <v>25</v>
      </c>
      <c r="J381">
        <v>1</v>
      </c>
      <c r="K381">
        <v>4</v>
      </c>
      <c r="L381">
        <v>51</v>
      </c>
      <c r="M381" t="s">
        <v>20</v>
      </c>
      <c r="N381" t="s">
        <v>84</v>
      </c>
      <c r="O381">
        <v>41571</v>
      </c>
      <c r="P381">
        <v>149</v>
      </c>
      <c r="Q381" t="s">
        <v>59</v>
      </c>
      <c r="R381" t="str">
        <f t="shared" si="6"/>
        <v>Yes</v>
      </c>
    </row>
    <row r="382" spans="1:18" x14ac:dyDescent="0.35">
      <c r="A382" s="1">
        <v>40301</v>
      </c>
      <c r="B382">
        <v>0</v>
      </c>
      <c r="C382" t="s">
        <v>74</v>
      </c>
      <c r="D382" t="s">
        <v>47</v>
      </c>
      <c r="E382" t="s">
        <v>30</v>
      </c>
      <c r="F382">
        <v>26</v>
      </c>
      <c r="G382" t="s">
        <v>41</v>
      </c>
      <c r="H382" t="s">
        <v>30</v>
      </c>
      <c r="I382">
        <v>27</v>
      </c>
      <c r="J382">
        <v>4</v>
      </c>
      <c r="K382">
        <v>2</v>
      </c>
      <c r="L382">
        <v>54</v>
      </c>
      <c r="M382" t="s">
        <v>20</v>
      </c>
      <c r="N382" t="s">
        <v>42</v>
      </c>
      <c r="O382">
        <v>8874</v>
      </c>
      <c r="P382">
        <v>160</v>
      </c>
      <c r="Q382" t="s">
        <v>47</v>
      </c>
      <c r="R382" t="str">
        <f t="shared" si="6"/>
        <v>No</v>
      </c>
    </row>
    <row r="383" spans="1:18" x14ac:dyDescent="0.35">
      <c r="A383" s="1">
        <v>40301</v>
      </c>
      <c r="B383">
        <v>0</v>
      </c>
      <c r="C383" t="s">
        <v>74</v>
      </c>
      <c r="D383" t="s">
        <v>19</v>
      </c>
      <c r="E383" t="s">
        <v>18</v>
      </c>
      <c r="F383">
        <v>26</v>
      </c>
      <c r="G383" t="s">
        <v>53</v>
      </c>
      <c r="H383" t="s">
        <v>18</v>
      </c>
      <c r="I383">
        <v>26</v>
      </c>
      <c r="J383">
        <v>2</v>
      </c>
      <c r="K383">
        <v>3</v>
      </c>
      <c r="L383">
        <v>64</v>
      </c>
      <c r="M383" t="s">
        <v>20</v>
      </c>
      <c r="N383" t="s">
        <v>54</v>
      </c>
      <c r="O383">
        <v>14350</v>
      </c>
      <c r="P383">
        <v>211</v>
      </c>
      <c r="Q383" t="s">
        <v>53</v>
      </c>
      <c r="R383" t="str">
        <f t="shared" si="6"/>
        <v>Yes</v>
      </c>
    </row>
    <row r="384" spans="1:18" x14ac:dyDescent="0.35">
      <c r="A384" s="1">
        <v>40301</v>
      </c>
      <c r="B384">
        <v>0</v>
      </c>
      <c r="C384" t="s">
        <v>74</v>
      </c>
      <c r="D384" t="s">
        <v>60</v>
      </c>
      <c r="E384" t="s">
        <v>18</v>
      </c>
      <c r="F384">
        <v>26</v>
      </c>
      <c r="G384" t="s">
        <v>66</v>
      </c>
      <c r="H384" t="s">
        <v>18</v>
      </c>
      <c r="I384">
        <v>25</v>
      </c>
      <c r="J384">
        <v>9</v>
      </c>
      <c r="K384">
        <v>1</v>
      </c>
      <c r="L384">
        <v>54</v>
      </c>
      <c r="M384" t="s">
        <v>20</v>
      </c>
      <c r="N384" t="s">
        <v>67</v>
      </c>
      <c r="O384">
        <v>20370</v>
      </c>
      <c r="P384">
        <v>196</v>
      </c>
      <c r="Q384" t="s">
        <v>60</v>
      </c>
      <c r="R384" t="str">
        <f t="shared" si="6"/>
        <v>No</v>
      </c>
    </row>
    <row r="385" spans="1:18" x14ac:dyDescent="0.35">
      <c r="A385" s="1">
        <v>40301</v>
      </c>
      <c r="B385">
        <v>0</v>
      </c>
      <c r="C385" t="s">
        <v>74</v>
      </c>
      <c r="D385" t="s">
        <v>52</v>
      </c>
      <c r="E385" t="s">
        <v>18</v>
      </c>
      <c r="F385">
        <v>26</v>
      </c>
      <c r="G385" t="s">
        <v>25</v>
      </c>
      <c r="H385" t="s">
        <v>18</v>
      </c>
      <c r="I385">
        <v>25</v>
      </c>
      <c r="J385">
        <v>6</v>
      </c>
      <c r="K385">
        <v>3</v>
      </c>
      <c r="L385">
        <v>54</v>
      </c>
      <c r="M385" t="s">
        <v>20</v>
      </c>
      <c r="N385" t="s">
        <v>80</v>
      </c>
      <c r="O385">
        <v>44817</v>
      </c>
      <c r="P385">
        <v>167</v>
      </c>
      <c r="Q385" t="s">
        <v>52</v>
      </c>
      <c r="R385" t="str">
        <f t="shared" si="6"/>
        <v>No</v>
      </c>
    </row>
    <row r="386" spans="1:18" x14ac:dyDescent="0.35">
      <c r="A386" s="1">
        <v>40301</v>
      </c>
      <c r="B386">
        <v>0</v>
      </c>
      <c r="C386" t="s">
        <v>74</v>
      </c>
      <c r="D386" t="s">
        <v>63</v>
      </c>
      <c r="E386" t="s">
        <v>18</v>
      </c>
      <c r="F386">
        <v>26</v>
      </c>
      <c r="G386" t="s">
        <v>62</v>
      </c>
      <c r="H386" t="s">
        <v>18</v>
      </c>
      <c r="I386">
        <v>26</v>
      </c>
      <c r="J386">
        <v>5</v>
      </c>
      <c r="K386">
        <v>2</v>
      </c>
      <c r="L386">
        <v>54</v>
      </c>
      <c r="M386" t="s">
        <v>20</v>
      </c>
      <c r="N386" t="s">
        <v>81</v>
      </c>
      <c r="O386">
        <v>15052</v>
      </c>
      <c r="P386">
        <v>188</v>
      </c>
      <c r="Q386" t="s">
        <v>63</v>
      </c>
      <c r="R386" t="str">
        <f t="shared" si="6"/>
        <v>No</v>
      </c>
    </row>
    <row r="387" spans="1:18" x14ac:dyDescent="0.35">
      <c r="A387" s="1">
        <v>40302</v>
      </c>
      <c r="B387">
        <v>0</v>
      </c>
      <c r="C387" t="s">
        <v>83</v>
      </c>
      <c r="D387" t="s">
        <v>31</v>
      </c>
      <c r="E387" t="s">
        <v>30</v>
      </c>
      <c r="F387">
        <v>28</v>
      </c>
      <c r="G387" t="s">
        <v>58</v>
      </c>
      <c r="H387" t="s">
        <v>30</v>
      </c>
      <c r="I387">
        <v>27</v>
      </c>
      <c r="J387">
        <v>1</v>
      </c>
      <c r="K387">
        <v>5</v>
      </c>
      <c r="L387">
        <v>51</v>
      </c>
      <c r="M387" t="s">
        <v>20</v>
      </c>
      <c r="N387" t="s">
        <v>86</v>
      </c>
      <c r="O387">
        <v>37411</v>
      </c>
      <c r="P387">
        <v>176</v>
      </c>
      <c r="Q387" t="s">
        <v>58</v>
      </c>
      <c r="R387" t="str">
        <f t="shared" ref="R387:R450" si="7">IF(K387&gt;J387,"Yes","No")</f>
        <v>Yes</v>
      </c>
    </row>
    <row r="388" spans="1:18" x14ac:dyDescent="0.35">
      <c r="A388" s="1">
        <v>40302</v>
      </c>
      <c r="B388">
        <v>0</v>
      </c>
      <c r="C388" t="s">
        <v>83</v>
      </c>
      <c r="D388" t="s">
        <v>37</v>
      </c>
      <c r="E388" t="s">
        <v>30</v>
      </c>
      <c r="F388">
        <v>27</v>
      </c>
      <c r="G388" t="s">
        <v>34</v>
      </c>
      <c r="H388" t="s">
        <v>30</v>
      </c>
      <c r="I388">
        <v>27</v>
      </c>
      <c r="J388">
        <v>7</v>
      </c>
      <c r="K388">
        <v>2</v>
      </c>
      <c r="L388">
        <v>54</v>
      </c>
      <c r="M388" t="s">
        <v>20</v>
      </c>
      <c r="N388" t="s">
        <v>35</v>
      </c>
      <c r="O388">
        <v>17517</v>
      </c>
      <c r="P388">
        <v>160</v>
      </c>
      <c r="Q388" t="s">
        <v>37</v>
      </c>
      <c r="R388" t="str">
        <f t="shared" si="7"/>
        <v>No</v>
      </c>
    </row>
    <row r="389" spans="1:18" x14ac:dyDescent="0.35">
      <c r="A389" s="1">
        <v>40302</v>
      </c>
      <c r="B389">
        <v>0</v>
      </c>
      <c r="C389" t="s">
        <v>83</v>
      </c>
      <c r="D389" t="s">
        <v>46</v>
      </c>
      <c r="E389" t="s">
        <v>30</v>
      </c>
      <c r="F389">
        <v>28</v>
      </c>
      <c r="G389" t="s">
        <v>33</v>
      </c>
      <c r="H389" t="s">
        <v>30</v>
      </c>
      <c r="I389">
        <v>26</v>
      </c>
      <c r="J389">
        <v>8</v>
      </c>
      <c r="K389">
        <v>5</v>
      </c>
      <c r="L389">
        <v>54</v>
      </c>
      <c r="M389" t="s">
        <v>20</v>
      </c>
      <c r="N389" t="s">
        <v>75</v>
      </c>
      <c r="O389">
        <v>10387</v>
      </c>
      <c r="P389">
        <v>208</v>
      </c>
      <c r="Q389" t="s">
        <v>46</v>
      </c>
      <c r="R389" t="str">
        <f t="shared" si="7"/>
        <v>No</v>
      </c>
    </row>
    <row r="390" spans="1:18" x14ac:dyDescent="0.35">
      <c r="A390" s="1">
        <v>40302</v>
      </c>
      <c r="B390">
        <v>0</v>
      </c>
      <c r="C390" t="s">
        <v>83</v>
      </c>
      <c r="D390" t="s">
        <v>36</v>
      </c>
      <c r="E390" t="s">
        <v>30</v>
      </c>
      <c r="F390">
        <v>28</v>
      </c>
      <c r="G390" t="s">
        <v>29</v>
      </c>
      <c r="H390" t="s">
        <v>30</v>
      </c>
      <c r="I390">
        <v>27</v>
      </c>
      <c r="J390">
        <v>3</v>
      </c>
      <c r="K390">
        <v>4</v>
      </c>
      <c r="L390">
        <v>52</v>
      </c>
      <c r="M390" t="s">
        <v>20</v>
      </c>
      <c r="N390" t="s">
        <v>76</v>
      </c>
      <c r="O390">
        <v>39020</v>
      </c>
      <c r="P390">
        <v>152</v>
      </c>
      <c r="Q390" t="s">
        <v>29</v>
      </c>
      <c r="R390" t="str">
        <f t="shared" si="7"/>
        <v>Yes</v>
      </c>
    </row>
    <row r="391" spans="1:18" x14ac:dyDescent="0.35">
      <c r="A391" s="1">
        <v>40302</v>
      </c>
      <c r="B391">
        <v>0</v>
      </c>
      <c r="C391" t="s">
        <v>83</v>
      </c>
      <c r="D391" t="s">
        <v>43</v>
      </c>
      <c r="E391" t="s">
        <v>30</v>
      </c>
      <c r="F391">
        <v>27</v>
      </c>
      <c r="G391" t="s">
        <v>59</v>
      </c>
      <c r="H391" t="s">
        <v>30</v>
      </c>
      <c r="I391">
        <v>26</v>
      </c>
      <c r="J391">
        <v>1</v>
      </c>
      <c r="K391">
        <v>4</v>
      </c>
      <c r="L391">
        <v>51</v>
      </c>
      <c r="M391" t="s">
        <v>20</v>
      </c>
      <c r="N391" t="s">
        <v>84</v>
      </c>
      <c r="O391">
        <v>43260</v>
      </c>
      <c r="P391">
        <v>182</v>
      </c>
      <c r="Q391" t="s">
        <v>59</v>
      </c>
      <c r="R391" t="str">
        <f t="shared" si="7"/>
        <v>Yes</v>
      </c>
    </row>
    <row r="392" spans="1:18" x14ac:dyDescent="0.35">
      <c r="A392" s="1">
        <v>40302</v>
      </c>
      <c r="B392">
        <v>0</v>
      </c>
      <c r="C392" t="s">
        <v>83</v>
      </c>
      <c r="D392" t="s">
        <v>47</v>
      </c>
      <c r="E392" t="s">
        <v>30</v>
      </c>
      <c r="F392">
        <v>27</v>
      </c>
      <c r="G392" t="s">
        <v>41</v>
      </c>
      <c r="H392" t="s">
        <v>30</v>
      </c>
      <c r="I392">
        <v>28</v>
      </c>
      <c r="J392">
        <v>6</v>
      </c>
      <c r="K392">
        <v>7</v>
      </c>
      <c r="L392">
        <v>51</v>
      </c>
      <c r="M392" t="s">
        <v>20</v>
      </c>
      <c r="N392" t="s">
        <v>42</v>
      </c>
      <c r="O392">
        <v>10135</v>
      </c>
      <c r="P392">
        <v>150</v>
      </c>
      <c r="Q392" t="s">
        <v>41</v>
      </c>
      <c r="R392" t="str">
        <f t="shared" si="7"/>
        <v>Yes</v>
      </c>
    </row>
    <row r="393" spans="1:18" x14ac:dyDescent="0.35">
      <c r="A393" s="1">
        <v>40302</v>
      </c>
      <c r="B393">
        <v>0</v>
      </c>
      <c r="C393" t="s">
        <v>83</v>
      </c>
      <c r="D393" t="s">
        <v>44</v>
      </c>
      <c r="E393" t="s">
        <v>30</v>
      </c>
      <c r="F393">
        <v>26</v>
      </c>
      <c r="G393" t="s">
        <v>40</v>
      </c>
      <c r="H393" t="s">
        <v>30</v>
      </c>
      <c r="I393">
        <v>26</v>
      </c>
      <c r="J393">
        <v>5</v>
      </c>
      <c r="K393">
        <v>2</v>
      </c>
      <c r="L393">
        <v>54</v>
      </c>
      <c r="M393" t="s">
        <v>20</v>
      </c>
      <c r="N393" t="s">
        <v>77</v>
      </c>
      <c r="O393">
        <v>15589</v>
      </c>
      <c r="P393">
        <v>172</v>
      </c>
      <c r="Q393" t="s">
        <v>44</v>
      </c>
      <c r="R393" t="str">
        <f t="shared" si="7"/>
        <v>No</v>
      </c>
    </row>
    <row r="394" spans="1:18" x14ac:dyDescent="0.35">
      <c r="A394" s="1">
        <v>40302</v>
      </c>
      <c r="B394">
        <v>0</v>
      </c>
      <c r="C394" t="s">
        <v>83</v>
      </c>
      <c r="D394" t="s">
        <v>19</v>
      </c>
      <c r="E394" t="s">
        <v>18</v>
      </c>
      <c r="F394">
        <v>27</v>
      </c>
      <c r="G394" t="s">
        <v>53</v>
      </c>
      <c r="H394" t="s">
        <v>18</v>
      </c>
      <c r="I394">
        <v>27</v>
      </c>
      <c r="J394">
        <v>5</v>
      </c>
      <c r="K394">
        <v>4</v>
      </c>
      <c r="L394">
        <v>54</v>
      </c>
      <c r="M394" t="s">
        <v>20</v>
      </c>
      <c r="N394" t="s">
        <v>54</v>
      </c>
      <c r="O394">
        <v>13813</v>
      </c>
      <c r="P394">
        <v>158</v>
      </c>
      <c r="Q394" t="s">
        <v>19</v>
      </c>
      <c r="R394" t="str">
        <f t="shared" si="7"/>
        <v>No</v>
      </c>
    </row>
    <row r="395" spans="1:18" x14ac:dyDescent="0.35">
      <c r="A395" s="1">
        <v>40302</v>
      </c>
      <c r="B395">
        <v>0</v>
      </c>
      <c r="C395" t="s">
        <v>83</v>
      </c>
      <c r="D395" t="s">
        <v>70</v>
      </c>
      <c r="E395" t="s">
        <v>18</v>
      </c>
      <c r="F395">
        <v>25</v>
      </c>
      <c r="G395" t="s">
        <v>17</v>
      </c>
      <c r="H395" t="s">
        <v>18</v>
      </c>
      <c r="I395">
        <v>26</v>
      </c>
      <c r="J395">
        <v>9</v>
      </c>
      <c r="K395">
        <v>6</v>
      </c>
      <c r="L395">
        <v>72</v>
      </c>
      <c r="M395" t="s">
        <v>20</v>
      </c>
      <c r="N395" t="s">
        <v>65</v>
      </c>
      <c r="O395">
        <v>13690</v>
      </c>
      <c r="P395">
        <v>231</v>
      </c>
      <c r="Q395" t="s">
        <v>70</v>
      </c>
      <c r="R395" t="str">
        <f t="shared" si="7"/>
        <v>No</v>
      </c>
    </row>
    <row r="396" spans="1:18" x14ac:dyDescent="0.35">
      <c r="A396" s="1">
        <v>40302</v>
      </c>
      <c r="B396">
        <v>0</v>
      </c>
      <c r="C396" t="s">
        <v>83</v>
      </c>
      <c r="D396" t="s">
        <v>60</v>
      </c>
      <c r="E396" t="s">
        <v>18</v>
      </c>
      <c r="F396">
        <v>27</v>
      </c>
      <c r="G396" t="s">
        <v>66</v>
      </c>
      <c r="H396" t="s">
        <v>18</v>
      </c>
      <c r="I396">
        <v>26</v>
      </c>
      <c r="J396">
        <v>1</v>
      </c>
      <c r="K396">
        <v>0</v>
      </c>
      <c r="L396">
        <v>54</v>
      </c>
      <c r="M396" t="s">
        <v>20</v>
      </c>
      <c r="N396" t="s">
        <v>67</v>
      </c>
      <c r="O396">
        <v>22661</v>
      </c>
      <c r="P396">
        <v>160</v>
      </c>
      <c r="Q396" t="s">
        <v>60</v>
      </c>
      <c r="R396" t="str">
        <f t="shared" si="7"/>
        <v>No</v>
      </c>
    </row>
    <row r="397" spans="1:18" x14ac:dyDescent="0.35">
      <c r="A397" s="1">
        <v>40302</v>
      </c>
      <c r="B397">
        <v>0</v>
      </c>
      <c r="C397" t="s">
        <v>83</v>
      </c>
      <c r="D397" t="s">
        <v>68</v>
      </c>
      <c r="E397" t="s">
        <v>18</v>
      </c>
      <c r="F397">
        <v>26</v>
      </c>
      <c r="G397" t="s">
        <v>22</v>
      </c>
      <c r="H397" t="s">
        <v>18</v>
      </c>
      <c r="I397">
        <v>26</v>
      </c>
      <c r="J397">
        <v>11</v>
      </c>
      <c r="K397">
        <v>6</v>
      </c>
      <c r="L397">
        <v>54</v>
      </c>
      <c r="M397" t="s">
        <v>20</v>
      </c>
      <c r="N397" t="s">
        <v>85</v>
      </c>
      <c r="O397">
        <v>50714</v>
      </c>
      <c r="P397">
        <v>181</v>
      </c>
      <c r="Q397" t="s">
        <v>68</v>
      </c>
      <c r="R397" t="str">
        <f t="shared" si="7"/>
        <v>No</v>
      </c>
    </row>
    <row r="398" spans="1:18" x14ac:dyDescent="0.35">
      <c r="A398" s="1">
        <v>40302</v>
      </c>
      <c r="B398">
        <v>0</v>
      </c>
      <c r="C398" t="s">
        <v>83</v>
      </c>
      <c r="D398" t="s">
        <v>52</v>
      </c>
      <c r="E398" t="s">
        <v>18</v>
      </c>
      <c r="F398">
        <v>27</v>
      </c>
      <c r="G398" t="s">
        <v>25</v>
      </c>
      <c r="H398" t="s">
        <v>18</v>
      </c>
      <c r="I398">
        <v>26</v>
      </c>
      <c r="J398">
        <v>1</v>
      </c>
      <c r="K398">
        <v>2</v>
      </c>
      <c r="L398">
        <v>57</v>
      </c>
      <c r="M398" t="s">
        <v>20</v>
      </c>
      <c r="N398" t="s">
        <v>80</v>
      </c>
      <c r="O398">
        <v>44890</v>
      </c>
      <c r="P398">
        <v>172</v>
      </c>
      <c r="Q398" t="s">
        <v>25</v>
      </c>
      <c r="R398" t="str">
        <f t="shared" si="7"/>
        <v>Yes</v>
      </c>
    </row>
    <row r="399" spans="1:18" x14ac:dyDescent="0.35">
      <c r="A399" s="1">
        <v>40302</v>
      </c>
      <c r="B399">
        <v>0</v>
      </c>
      <c r="C399" t="s">
        <v>83</v>
      </c>
      <c r="D399" t="s">
        <v>49</v>
      </c>
      <c r="E399" t="s">
        <v>18</v>
      </c>
      <c r="F399">
        <v>27</v>
      </c>
      <c r="G399" t="s">
        <v>23</v>
      </c>
      <c r="H399" t="s">
        <v>18</v>
      </c>
      <c r="I399">
        <v>26</v>
      </c>
      <c r="J399">
        <v>2</v>
      </c>
      <c r="K399">
        <v>3</v>
      </c>
      <c r="L399">
        <v>51</v>
      </c>
      <c r="M399" t="s">
        <v>20</v>
      </c>
      <c r="N399" t="s">
        <v>24</v>
      </c>
      <c r="O399">
        <v>10972</v>
      </c>
      <c r="P399">
        <v>148</v>
      </c>
      <c r="Q399" t="s">
        <v>23</v>
      </c>
      <c r="R399" t="str">
        <f t="shared" si="7"/>
        <v>Yes</v>
      </c>
    </row>
    <row r="400" spans="1:18" x14ac:dyDescent="0.35">
      <c r="A400" s="1">
        <v>40302</v>
      </c>
      <c r="B400">
        <v>0</v>
      </c>
      <c r="C400" t="s">
        <v>83</v>
      </c>
      <c r="D400" t="s">
        <v>63</v>
      </c>
      <c r="E400" t="s">
        <v>18</v>
      </c>
      <c r="F400">
        <v>27</v>
      </c>
      <c r="G400" t="s">
        <v>62</v>
      </c>
      <c r="H400" t="s">
        <v>18</v>
      </c>
      <c r="I400">
        <v>27</v>
      </c>
      <c r="J400">
        <v>2</v>
      </c>
      <c r="K400">
        <v>3</v>
      </c>
      <c r="L400">
        <v>53</v>
      </c>
      <c r="M400" t="s">
        <v>20</v>
      </c>
      <c r="N400" t="s">
        <v>81</v>
      </c>
      <c r="O400">
        <v>16329</v>
      </c>
      <c r="P400">
        <v>187</v>
      </c>
      <c r="Q400" t="s">
        <v>62</v>
      </c>
      <c r="R400" t="str">
        <f t="shared" si="7"/>
        <v>Yes</v>
      </c>
    </row>
    <row r="401" spans="1:18" x14ac:dyDescent="0.35">
      <c r="A401" s="1">
        <v>40302</v>
      </c>
      <c r="B401">
        <v>0</v>
      </c>
      <c r="C401" t="s">
        <v>83</v>
      </c>
      <c r="D401" t="s">
        <v>50</v>
      </c>
      <c r="E401" t="s">
        <v>18</v>
      </c>
      <c r="F401">
        <v>26</v>
      </c>
      <c r="G401" t="s">
        <v>26</v>
      </c>
      <c r="H401" t="s">
        <v>18</v>
      </c>
      <c r="I401">
        <v>26</v>
      </c>
      <c r="J401">
        <v>3</v>
      </c>
      <c r="K401">
        <v>6</v>
      </c>
      <c r="L401">
        <v>51</v>
      </c>
      <c r="M401" t="s">
        <v>20</v>
      </c>
      <c r="N401" t="s">
        <v>27</v>
      </c>
      <c r="O401">
        <v>17098</v>
      </c>
      <c r="P401">
        <v>186</v>
      </c>
      <c r="Q401" t="s">
        <v>26</v>
      </c>
      <c r="R401" t="str">
        <f t="shared" si="7"/>
        <v>Yes</v>
      </c>
    </row>
    <row r="402" spans="1:18" x14ac:dyDescent="0.35">
      <c r="A402" s="1">
        <v>40303</v>
      </c>
      <c r="B402">
        <v>0</v>
      </c>
      <c r="C402" t="s">
        <v>16</v>
      </c>
      <c r="D402" t="s">
        <v>31</v>
      </c>
      <c r="E402" t="s">
        <v>30</v>
      </c>
      <c r="F402">
        <v>29</v>
      </c>
      <c r="G402" t="s">
        <v>58</v>
      </c>
      <c r="H402" t="s">
        <v>30</v>
      </c>
      <c r="I402">
        <v>28</v>
      </c>
      <c r="J402">
        <v>1</v>
      </c>
      <c r="K402">
        <v>3</v>
      </c>
      <c r="L402">
        <v>51</v>
      </c>
      <c r="M402" t="s">
        <v>20</v>
      </c>
      <c r="N402" t="s">
        <v>86</v>
      </c>
      <c r="O402">
        <v>37601</v>
      </c>
      <c r="P402">
        <v>153</v>
      </c>
      <c r="Q402" t="s">
        <v>58</v>
      </c>
      <c r="R402" t="str">
        <f t="shared" si="7"/>
        <v>Yes</v>
      </c>
    </row>
    <row r="403" spans="1:18" x14ac:dyDescent="0.35">
      <c r="A403" s="1">
        <v>40303</v>
      </c>
      <c r="B403">
        <v>0</v>
      </c>
      <c r="C403" t="s">
        <v>16</v>
      </c>
      <c r="D403" t="s">
        <v>37</v>
      </c>
      <c r="E403" t="s">
        <v>30</v>
      </c>
      <c r="F403">
        <v>28</v>
      </c>
      <c r="G403" t="s">
        <v>34</v>
      </c>
      <c r="H403" t="s">
        <v>30</v>
      </c>
      <c r="I403">
        <v>28</v>
      </c>
      <c r="J403">
        <v>2</v>
      </c>
      <c r="K403">
        <v>9</v>
      </c>
      <c r="L403">
        <v>51</v>
      </c>
      <c r="M403" t="s">
        <v>20</v>
      </c>
      <c r="N403" t="s">
        <v>35</v>
      </c>
      <c r="O403">
        <v>21255</v>
      </c>
      <c r="P403">
        <v>155</v>
      </c>
      <c r="Q403" t="s">
        <v>34</v>
      </c>
      <c r="R403" t="str">
        <f t="shared" si="7"/>
        <v>Yes</v>
      </c>
    </row>
    <row r="404" spans="1:18" x14ac:dyDescent="0.35">
      <c r="A404" s="1">
        <v>40303</v>
      </c>
      <c r="B404">
        <v>0</v>
      </c>
      <c r="C404" t="s">
        <v>16</v>
      </c>
      <c r="D404" t="s">
        <v>46</v>
      </c>
      <c r="E404" t="s">
        <v>30</v>
      </c>
      <c r="F404">
        <v>29</v>
      </c>
      <c r="G404" t="s">
        <v>33</v>
      </c>
      <c r="H404" t="s">
        <v>30</v>
      </c>
      <c r="I404">
        <v>27</v>
      </c>
      <c r="J404">
        <v>5</v>
      </c>
      <c r="K404">
        <v>4</v>
      </c>
      <c r="L404">
        <v>54</v>
      </c>
      <c r="M404" t="s">
        <v>38</v>
      </c>
      <c r="N404" t="s">
        <v>75</v>
      </c>
      <c r="O404">
        <v>12563</v>
      </c>
      <c r="P404">
        <v>182</v>
      </c>
      <c r="Q404" t="s">
        <v>46</v>
      </c>
      <c r="R404" t="str">
        <f t="shared" si="7"/>
        <v>No</v>
      </c>
    </row>
    <row r="405" spans="1:18" x14ac:dyDescent="0.35">
      <c r="A405" s="1">
        <v>40303</v>
      </c>
      <c r="B405">
        <v>0</v>
      </c>
      <c r="C405" t="s">
        <v>16</v>
      </c>
      <c r="D405" t="s">
        <v>36</v>
      </c>
      <c r="E405" t="s">
        <v>30</v>
      </c>
      <c r="F405">
        <v>29</v>
      </c>
      <c r="G405" t="s">
        <v>29</v>
      </c>
      <c r="H405" t="s">
        <v>30</v>
      </c>
      <c r="I405">
        <v>28</v>
      </c>
      <c r="J405">
        <v>4</v>
      </c>
      <c r="K405">
        <v>5</v>
      </c>
      <c r="L405">
        <v>51</v>
      </c>
      <c r="M405" t="s">
        <v>38</v>
      </c>
      <c r="N405" t="s">
        <v>76</v>
      </c>
      <c r="O405">
        <v>39037</v>
      </c>
      <c r="P405">
        <v>158</v>
      </c>
      <c r="Q405" t="s">
        <v>29</v>
      </c>
      <c r="R405" t="str">
        <f t="shared" si="7"/>
        <v>Yes</v>
      </c>
    </row>
    <row r="406" spans="1:18" x14ac:dyDescent="0.35">
      <c r="A406" s="1">
        <v>40303</v>
      </c>
      <c r="B406">
        <v>0</v>
      </c>
      <c r="C406" t="s">
        <v>16</v>
      </c>
      <c r="D406" t="s">
        <v>43</v>
      </c>
      <c r="E406" t="s">
        <v>30</v>
      </c>
      <c r="F406">
        <v>28</v>
      </c>
      <c r="G406" t="s">
        <v>59</v>
      </c>
      <c r="H406" t="s">
        <v>30</v>
      </c>
      <c r="I406">
        <v>27</v>
      </c>
      <c r="J406">
        <v>5</v>
      </c>
      <c r="K406">
        <v>7</v>
      </c>
      <c r="L406">
        <v>51</v>
      </c>
      <c r="M406" t="s">
        <v>38</v>
      </c>
      <c r="N406" t="s">
        <v>84</v>
      </c>
      <c r="O406">
        <v>43425</v>
      </c>
      <c r="P406">
        <v>183</v>
      </c>
      <c r="Q406" t="s">
        <v>59</v>
      </c>
      <c r="R406" t="str">
        <f t="shared" si="7"/>
        <v>Yes</v>
      </c>
    </row>
    <row r="407" spans="1:18" x14ac:dyDescent="0.35">
      <c r="A407" s="1">
        <v>40303</v>
      </c>
      <c r="B407">
        <v>0</v>
      </c>
      <c r="C407" t="s">
        <v>16</v>
      </c>
      <c r="D407" t="s">
        <v>47</v>
      </c>
      <c r="E407" t="s">
        <v>30</v>
      </c>
      <c r="F407">
        <v>28</v>
      </c>
      <c r="G407" t="s">
        <v>41</v>
      </c>
      <c r="H407" t="s">
        <v>30</v>
      </c>
      <c r="I407">
        <v>29</v>
      </c>
      <c r="J407">
        <v>1</v>
      </c>
      <c r="K407">
        <v>4</v>
      </c>
      <c r="L407">
        <v>51</v>
      </c>
      <c r="M407" t="s">
        <v>38</v>
      </c>
      <c r="N407" t="s">
        <v>42</v>
      </c>
      <c r="O407">
        <v>15403</v>
      </c>
      <c r="P407">
        <v>146</v>
      </c>
      <c r="Q407" t="s">
        <v>41</v>
      </c>
      <c r="R407" t="str">
        <f t="shared" si="7"/>
        <v>Yes</v>
      </c>
    </row>
    <row r="408" spans="1:18" x14ac:dyDescent="0.35">
      <c r="A408" s="1">
        <v>40303</v>
      </c>
      <c r="B408">
        <v>0</v>
      </c>
      <c r="C408" t="s">
        <v>16</v>
      </c>
      <c r="D408" t="s">
        <v>44</v>
      </c>
      <c r="E408" t="s">
        <v>30</v>
      </c>
      <c r="F408">
        <v>27</v>
      </c>
      <c r="G408" t="s">
        <v>40</v>
      </c>
      <c r="H408" t="s">
        <v>30</v>
      </c>
      <c r="I408">
        <v>27</v>
      </c>
      <c r="J408">
        <v>8</v>
      </c>
      <c r="K408">
        <v>3</v>
      </c>
      <c r="L408">
        <v>54</v>
      </c>
      <c r="M408" t="s">
        <v>20</v>
      </c>
      <c r="N408" t="s">
        <v>77</v>
      </c>
      <c r="O408">
        <v>14627</v>
      </c>
      <c r="P408">
        <v>171</v>
      </c>
      <c r="Q408" t="s">
        <v>44</v>
      </c>
      <c r="R408" t="str">
        <f t="shared" si="7"/>
        <v>No</v>
      </c>
    </row>
    <row r="409" spans="1:18" x14ac:dyDescent="0.35">
      <c r="A409" s="1">
        <v>40303</v>
      </c>
      <c r="B409">
        <v>0</v>
      </c>
      <c r="C409" t="s">
        <v>16</v>
      </c>
      <c r="D409" t="s">
        <v>19</v>
      </c>
      <c r="E409" t="s">
        <v>18</v>
      </c>
      <c r="F409">
        <v>28</v>
      </c>
      <c r="G409" t="s">
        <v>53</v>
      </c>
      <c r="H409" t="s">
        <v>18</v>
      </c>
      <c r="I409">
        <v>28</v>
      </c>
      <c r="J409">
        <v>4</v>
      </c>
      <c r="K409">
        <v>5</v>
      </c>
      <c r="L409">
        <v>57</v>
      </c>
      <c r="M409" t="s">
        <v>38</v>
      </c>
      <c r="N409" t="s">
        <v>54</v>
      </c>
      <c r="O409">
        <v>16798</v>
      </c>
      <c r="P409">
        <v>182</v>
      </c>
      <c r="Q409" t="s">
        <v>53</v>
      </c>
      <c r="R409" t="str">
        <f t="shared" si="7"/>
        <v>Yes</v>
      </c>
    </row>
    <row r="410" spans="1:18" x14ac:dyDescent="0.35">
      <c r="A410" s="1">
        <v>40303</v>
      </c>
      <c r="B410">
        <v>0</v>
      </c>
      <c r="C410" t="s">
        <v>16</v>
      </c>
      <c r="D410" t="s">
        <v>70</v>
      </c>
      <c r="E410" t="s">
        <v>18</v>
      </c>
      <c r="F410">
        <v>26</v>
      </c>
      <c r="G410" t="s">
        <v>17</v>
      </c>
      <c r="H410" t="s">
        <v>18</v>
      </c>
      <c r="I410">
        <v>27</v>
      </c>
      <c r="J410">
        <v>3</v>
      </c>
      <c r="K410">
        <v>2</v>
      </c>
      <c r="L410">
        <v>54</v>
      </c>
      <c r="M410" t="s">
        <v>20</v>
      </c>
      <c r="N410" t="s">
        <v>65</v>
      </c>
      <c r="O410">
        <v>11633</v>
      </c>
      <c r="P410">
        <v>162</v>
      </c>
      <c r="Q410" t="s">
        <v>70</v>
      </c>
      <c r="R410" t="str">
        <f t="shared" si="7"/>
        <v>No</v>
      </c>
    </row>
    <row r="411" spans="1:18" x14ac:dyDescent="0.35">
      <c r="A411" s="1">
        <v>40303</v>
      </c>
      <c r="B411">
        <v>0</v>
      </c>
      <c r="C411" t="s">
        <v>16</v>
      </c>
      <c r="D411" t="s">
        <v>60</v>
      </c>
      <c r="E411" t="s">
        <v>18</v>
      </c>
      <c r="F411">
        <v>28</v>
      </c>
      <c r="G411" t="s">
        <v>66</v>
      </c>
      <c r="H411" t="s">
        <v>18</v>
      </c>
      <c r="I411">
        <v>27</v>
      </c>
      <c r="J411">
        <v>2</v>
      </c>
      <c r="K411">
        <v>4</v>
      </c>
      <c r="L411">
        <v>51</v>
      </c>
      <c r="M411" t="s">
        <v>20</v>
      </c>
      <c r="N411" t="s">
        <v>67</v>
      </c>
      <c r="O411">
        <v>21030</v>
      </c>
      <c r="P411">
        <v>144</v>
      </c>
      <c r="Q411" t="s">
        <v>66</v>
      </c>
      <c r="R411" t="str">
        <f t="shared" si="7"/>
        <v>Yes</v>
      </c>
    </row>
    <row r="412" spans="1:18" x14ac:dyDescent="0.35">
      <c r="A412" s="1">
        <v>40303</v>
      </c>
      <c r="B412">
        <v>0</v>
      </c>
      <c r="C412" t="s">
        <v>16</v>
      </c>
      <c r="D412" t="s">
        <v>68</v>
      </c>
      <c r="E412" t="s">
        <v>18</v>
      </c>
      <c r="F412">
        <v>27</v>
      </c>
      <c r="G412" t="s">
        <v>22</v>
      </c>
      <c r="H412" t="s">
        <v>18</v>
      </c>
      <c r="I412">
        <v>27</v>
      </c>
      <c r="J412">
        <v>11</v>
      </c>
      <c r="K412">
        <v>3</v>
      </c>
      <c r="L412">
        <v>54</v>
      </c>
      <c r="M412" t="s">
        <v>20</v>
      </c>
      <c r="N412" t="s">
        <v>85</v>
      </c>
      <c r="O412">
        <v>35659</v>
      </c>
      <c r="P412">
        <v>205</v>
      </c>
      <c r="Q412" t="s">
        <v>68</v>
      </c>
      <c r="R412" t="str">
        <f t="shared" si="7"/>
        <v>No</v>
      </c>
    </row>
    <row r="413" spans="1:18" x14ac:dyDescent="0.35">
      <c r="A413" s="1">
        <v>40303</v>
      </c>
      <c r="B413">
        <v>0</v>
      </c>
      <c r="C413" t="s">
        <v>16</v>
      </c>
      <c r="D413" t="s">
        <v>52</v>
      </c>
      <c r="E413" t="s">
        <v>18</v>
      </c>
      <c r="F413">
        <v>28</v>
      </c>
      <c r="G413" t="s">
        <v>25</v>
      </c>
      <c r="H413" t="s">
        <v>18</v>
      </c>
      <c r="I413">
        <v>27</v>
      </c>
      <c r="J413">
        <v>0</v>
      </c>
      <c r="K413">
        <v>4</v>
      </c>
      <c r="L413">
        <v>51</v>
      </c>
      <c r="M413" t="s">
        <v>20</v>
      </c>
      <c r="N413" t="s">
        <v>80</v>
      </c>
      <c r="O413">
        <v>44261</v>
      </c>
      <c r="P413">
        <v>151</v>
      </c>
      <c r="Q413" t="s">
        <v>25</v>
      </c>
      <c r="R413" t="str">
        <f t="shared" si="7"/>
        <v>Yes</v>
      </c>
    </row>
    <row r="414" spans="1:18" x14ac:dyDescent="0.35">
      <c r="A414" s="1">
        <v>40303</v>
      </c>
      <c r="B414">
        <v>0</v>
      </c>
      <c r="C414" t="s">
        <v>16</v>
      </c>
      <c r="D414" t="s">
        <v>49</v>
      </c>
      <c r="E414" t="s">
        <v>18</v>
      </c>
      <c r="F414">
        <v>28</v>
      </c>
      <c r="G414" t="s">
        <v>23</v>
      </c>
      <c r="H414" t="s">
        <v>18</v>
      </c>
      <c r="I414">
        <v>27</v>
      </c>
      <c r="J414">
        <v>2</v>
      </c>
      <c r="K414">
        <v>4</v>
      </c>
      <c r="L414">
        <v>51</v>
      </c>
      <c r="M414" t="s">
        <v>20</v>
      </c>
      <c r="N414" t="s">
        <v>24</v>
      </c>
      <c r="O414">
        <v>11053</v>
      </c>
      <c r="P414">
        <v>141</v>
      </c>
      <c r="Q414" t="s">
        <v>23</v>
      </c>
      <c r="R414" t="str">
        <f t="shared" si="7"/>
        <v>Yes</v>
      </c>
    </row>
    <row r="415" spans="1:18" x14ac:dyDescent="0.35">
      <c r="A415" s="1">
        <v>40303</v>
      </c>
      <c r="B415">
        <v>0</v>
      </c>
      <c r="C415" t="s">
        <v>16</v>
      </c>
      <c r="D415" t="s">
        <v>63</v>
      </c>
      <c r="E415" t="s">
        <v>18</v>
      </c>
      <c r="F415">
        <v>28</v>
      </c>
      <c r="G415" t="s">
        <v>62</v>
      </c>
      <c r="H415" t="s">
        <v>18</v>
      </c>
      <c r="I415">
        <v>28</v>
      </c>
      <c r="J415">
        <v>6</v>
      </c>
      <c r="K415">
        <v>5</v>
      </c>
      <c r="L415">
        <v>72</v>
      </c>
      <c r="M415" t="s">
        <v>20</v>
      </c>
      <c r="N415" t="s">
        <v>81</v>
      </c>
      <c r="O415">
        <v>17121</v>
      </c>
      <c r="P415">
        <v>240</v>
      </c>
      <c r="Q415" t="s">
        <v>63</v>
      </c>
      <c r="R415" t="str">
        <f t="shared" si="7"/>
        <v>No</v>
      </c>
    </row>
    <row r="416" spans="1:18" x14ac:dyDescent="0.35">
      <c r="A416" s="1">
        <v>40303</v>
      </c>
      <c r="B416">
        <v>0</v>
      </c>
      <c r="C416" t="s">
        <v>16</v>
      </c>
      <c r="D416" t="s">
        <v>50</v>
      </c>
      <c r="E416" t="s">
        <v>18</v>
      </c>
      <c r="F416">
        <v>27</v>
      </c>
      <c r="G416" t="s">
        <v>26</v>
      </c>
      <c r="H416" t="s">
        <v>18</v>
      </c>
      <c r="I416">
        <v>27</v>
      </c>
      <c r="J416">
        <v>7</v>
      </c>
      <c r="K416">
        <v>6</v>
      </c>
      <c r="L416">
        <v>60</v>
      </c>
      <c r="M416" t="s">
        <v>20</v>
      </c>
      <c r="N416" t="s">
        <v>27</v>
      </c>
      <c r="O416">
        <v>15616</v>
      </c>
      <c r="P416">
        <v>201</v>
      </c>
      <c r="Q416" t="s">
        <v>50</v>
      </c>
      <c r="R416" t="str">
        <f t="shared" si="7"/>
        <v>No</v>
      </c>
    </row>
    <row r="417" spans="1:18" x14ac:dyDescent="0.35">
      <c r="A417" s="1">
        <v>40304</v>
      </c>
      <c r="B417">
        <v>0</v>
      </c>
      <c r="C417" t="s">
        <v>28</v>
      </c>
      <c r="D417" t="s">
        <v>31</v>
      </c>
      <c r="E417" t="s">
        <v>30</v>
      </c>
      <c r="F417">
        <v>30</v>
      </c>
      <c r="G417" t="s">
        <v>58</v>
      </c>
      <c r="H417" t="s">
        <v>30</v>
      </c>
      <c r="I417">
        <v>29</v>
      </c>
      <c r="J417">
        <v>6</v>
      </c>
      <c r="K417">
        <v>11</v>
      </c>
      <c r="L417">
        <v>51</v>
      </c>
      <c r="M417" t="s">
        <v>20</v>
      </c>
      <c r="N417" t="s">
        <v>86</v>
      </c>
      <c r="O417">
        <v>37639</v>
      </c>
      <c r="P417">
        <v>223</v>
      </c>
      <c r="Q417" t="s">
        <v>58</v>
      </c>
      <c r="R417" t="str">
        <f t="shared" si="7"/>
        <v>Yes</v>
      </c>
    </row>
    <row r="418" spans="1:18" x14ac:dyDescent="0.35">
      <c r="A418" s="1">
        <v>40304</v>
      </c>
      <c r="B418">
        <v>0</v>
      </c>
      <c r="C418" t="s">
        <v>28</v>
      </c>
      <c r="D418" t="s">
        <v>46</v>
      </c>
      <c r="E418" t="s">
        <v>30</v>
      </c>
      <c r="F418">
        <v>30</v>
      </c>
      <c r="G418" t="s">
        <v>34</v>
      </c>
      <c r="H418" t="s">
        <v>30</v>
      </c>
      <c r="I418">
        <v>29</v>
      </c>
      <c r="J418">
        <v>2</v>
      </c>
      <c r="K418">
        <v>0</v>
      </c>
      <c r="L418">
        <v>54</v>
      </c>
      <c r="M418" t="s">
        <v>20</v>
      </c>
      <c r="N418" t="s">
        <v>35</v>
      </c>
      <c r="O418">
        <v>20106</v>
      </c>
      <c r="P418">
        <v>150</v>
      </c>
      <c r="Q418" t="s">
        <v>46</v>
      </c>
      <c r="R418" t="str">
        <f t="shared" si="7"/>
        <v>No</v>
      </c>
    </row>
    <row r="419" spans="1:18" x14ac:dyDescent="0.35">
      <c r="A419" s="1">
        <v>40304</v>
      </c>
      <c r="B419">
        <v>0</v>
      </c>
      <c r="C419" t="s">
        <v>28</v>
      </c>
      <c r="D419" t="s">
        <v>43</v>
      </c>
      <c r="E419" t="s">
        <v>30</v>
      </c>
      <c r="F419">
        <v>29</v>
      </c>
      <c r="G419" t="s">
        <v>29</v>
      </c>
      <c r="H419" t="s">
        <v>30</v>
      </c>
      <c r="I419">
        <v>29</v>
      </c>
      <c r="J419">
        <v>2</v>
      </c>
      <c r="K419">
        <v>0</v>
      </c>
      <c r="L419">
        <v>54</v>
      </c>
      <c r="M419" t="s">
        <v>20</v>
      </c>
      <c r="N419" t="s">
        <v>76</v>
      </c>
      <c r="O419">
        <v>38489</v>
      </c>
      <c r="P419">
        <v>137</v>
      </c>
      <c r="Q419" t="s">
        <v>43</v>
      </c>
      <c r="R419" t="str">
        <f t="shared" si="7"/>
        <v>No</v>
      </c>
    </row>
    <row r="420" spans="1:18" x14ac:dyDescent="0.35">
      <c r="A420" s="1">
        <v>40304</v>
      </c>
      <c r="B420">
        <v>0</v>
      </c>
      <c r="C420" t="s">
        <v>28</v>
      </c>
      <c r="D420" t="s">
        <v>44</v>
      </c>
      <c r="E420" t="s">
        <v>30</v>
      </c>
      <c r="F420">
        <v>28</v>
      </c>
      <c r="G420" t="s">
        <v>40</v>
      </c>
      <c r="H420" t="s">
        <v>30</v>
      </c>
      <c r="I420">
        <v>28</v>
      </c>
      <c r="J420">
        <v>8</v>
      </c>
      <c r="K420">
        <v>0</v>
      </c>
      <c r="L420">
        <v>54</v>
      </c>
      <c r="M420" t="s">
        <v>20</v>
      </c>
      <c r="N420" t="s">
        <v>77</v>
      </c>
      <c r="O420">
        <v>17617</v>
      </c>
      <c r="P420">
        <v>167</v>
      </c>
      <c r="Q420" t="s">
        <v>44</v>
      </c>
      <c r="R420" t="str">
        <f t="shared" si="7"/>
        <v>No</v>
      </c>
    </row>
    <row r="421" spans="1:18" x14ac:dyDescent="0.35">
      <c r="A421" s="1">
        <v>40304</v>
      </c>
      <c r="B421">
        <v>0</v>
      </c>
      <c r="C421" t="s">
        <v>28</v>
      </c>
      <c r="D421" t="s">
        <v>37</v>
      </c>
      <c r="E421" t="s">
        <v>30</v>
      </c>
      <c r="F421">
        <v>29</v>
      </c>
      <c r="G421" t="s">
        <v>47</v>
      </c>
      <c r="H421" t="s">
        <v>30</v>
      </c>
      <c r="I421">
        <v>29</v>
      </c>
      <c r="J421">
        <v>12</v>
      </c>
      <c r="K421">
        <v>13</v>
      </c>
      <c r="L421">
        <v>51</v>
      </c>
      <c r="M421" t="s">
        <v>20</v>
      </c>
      <c r="N421" t="s">
        <v>48</v>
      </c>
      <c r="O421">
        <v>15132</v>
      </c>
      <c r="P421">
        <v>192</v>
      </c>
      <c r="Q421" t="s">
        <v>47</v>
      </c>
      <c r="R421" t="str">
        <f t="shared" si="7"/>
        <v>Yes</v>
      </c>
    </row>
    <row r="422" spans="1:18" x14ac:dyDescent="0.35">
      <c r="A422" s="1">
        <v>40304</v>
      </c>
      <c r="B422">
        <v>0</v>
      </c>
      <c r="C422" t="s">
        <v>28</v>
      </c>
      <c r="D422" t="s">
        <v>70</v>
      </c>
      <c r="E422" t="s">
        <v>18</v>
      </c>
      <c r="F422">
        <v>27</v>
      </c>
      <c r="G422" t="s">
        <v>17</v>
      </c>
      <c r="H422" t="s">
        <v>18</v>
      </c>
      <c r="I422">
        <v>28</v>
      </c>
      <c r="J422">
        <v>6</v>
      </c>
      <c r="K422">
        <v>3</v>
      </c>
      <c r="L422">
        <v>54</v>
      </c>
      <c r="M422" t="s">
        <v>20</v>
      </c>
      <c r="N422" t="s">
        <v>65</v>
      </c>
      <c r="O422">
        <v>12804</v>
      </c>
      <c r="P422">
        <v>174</v>
      </c>
      <c r="Q422" t="s">
        <v>70</v>
      </c>
      <c r="R422" t="str">
        <f t="shared" si="7"/>
        <v>No</v>
      </c>
    </row>
    <row r="423" spans="1:18" x14ac:dyDescent="0.35">
      <c r="A423" s="1">
        <v>40304</v>
      </c>
      <c r="B423">
        <v>0</v>
      </c>
      <c r="C423" t="s">
        <v>28</v>
      </c>
      <c r="D423" t="s">
        <v>60</v>
      </c>
      <c r="E423" t="s">
        <v>18</v>
      </c>
      <c r="F423">
        <v>29</v>
      </c>
      <c r="G423" t="s">
        <v>66</v>
      </c>
      <c r="H423" t="s">
        <v>18</v>
      </c>
      <c r="I423">
        <v>28</v>
      </c>
      <c r="J423">
        <v>6</v>
      </c>
      <c r="K423">
        <v>3</v>
      </c>
      <c r="L423">
        <v>54</v>
      </c>
      <c r="M423" t="s">
        <v>20</v>
      </c>
      <c r="N423" t="s">
        <v>67</v>
      </c>
      <c r="O423">
        <v>21019</v>
      </c>
      <c r="P423">
        <v>152</v>
      </c>
      <c r="Q423" t="s">
        <v>60</v>
      </c>
      <c r="R423" t="str">
        <f t="shared" si="7"/>
        <v>No</v>
      </c>
    </row>
    <row r="424" spans="1:18" x14ac:dyDescent="0.35">
      <c r="A424" s="1">
        <v>40304</v>
      </c>
      <c r="B424">
        <v>0</v>
      </c>
      <c r="C424" t="s">
        <v>28</v>
      </c>
      <c r="D424" t="s">
        <v>68</v>
      </c>
      <c r="E424" t="s">
        <v>18</v>
      </c>
      <c r="F424">
        <v>28</v>
      </c>
      <c r="G424" t="s">
        <v>22</v>
      </c>
      <c r="H424" t="s">
        <v>18</v>
      </c>
      <c r="I424">
        <v>28</v>
      </c>
      <c r="J424">
        <v>3</v>
      </c>
      <c r="K424">
        <v>7</v>
      </c>
      <c r="L424">
        <v>52</v>
      </c>
      <c r="M424" t="s">
        <v>20</v>
      </c>
      <c r="N424" t="s">
        <v>85</v>
      </c>
      <c r="O424">
        <v>38456</v>
      </c>
      <c r="P424">
        <v>210</v>
      </c>
      <c r="Q424" t="s">
        <v>22</v>
      </c>
      <c r="R424" t="str">
        <f t="shared" si="7"/>
        <v>Yes</v>
      </c>
    </row>
    <row r="425" spans="1:18" x14ac:dyDescent="0.35">
      <c r="A425" s="1">
        <v>40304</v>
      </c>
      <c r="B425">
        <v>0</v>
      </c>
      <c r="C425" t="s">
        <v>28</v>
      </c>
      <c r="D425" t="s">
        <v>52</v>
      </c>
      <c r="E425" t="s">
        <v>18</v>
      </c>
      <c r="F425">
        <v>29</v>
      </c>
      <c r="G425" t="s">
        <v>25</v>
      </c>
      <c r="H425" t="s">
        <v>18</v>
      </c>
      <c r="I425">
        <v>28</v>
      </c>
      <c r="J425">
        <v>2</v>
      </c>
      <c r="K425">
        <v>7</v>
      </c>
      <c r="L425">
        <v>51</v>
      </c>
      <c r="M425" t="s">
        <v>38</v>
      </c>
      <c r="N425" t="s">
        <v>80</v>
      </c>
      <c r="O425">
        <v>44831</v>
      </c>
      <c r="P425">
        <v>174</v>
      </c>
      <c r="Q425" t="s">
        <v>25</v>
      </c>
      <c r="R425" t="str">
        <f t="shared" si="7"/>
        <v>Yes</v>
      </c>
    </row>
    <row r="426" spans="1:18" x14ac:dyDescent="0.35">
      <c r="A426" s="1">
        <v>40304</v>
      </c>
      <c r="B426">
        <v>0</v>
      </c>
      <c r="C426" t="s">
        <v>28</v>
      </c>
      <c r="D426" t="s">
        <v>49</v>
      </c>
      <c r="E426" t="s">
        <v>18</v>
      </c>
      <c r="F426">
        <v>29</v>
      </c>
      <c r="G426" t="s">
        <v>23</v>
      </c>
      <c r="H426" t="s">
        <v>18</v>
      </c>
      <c r="I426">
        <v>28</v>
      </c>
      <c r="J426">
        <v>1</v>
      </c>
      <c r="K426">
        <v>11</v>
      </c>
      <c r="L426">
        <v>51</v>
      </c>
      <c r="M426" t="s">
        <v>20</v>
      </c>
      <c r="N426" t="s">
        <v>24</v>
      </c>
      <c r="O426">
        <v>11085</v>
      </c>
      <c r="P426">
        <v>148</v>
      </c>
      <c r="Q426" t="s">
        <v>23</v>
      </c>
      <c r="R426" t="str">
        <f t="shared" si="7"/>
        <v>Yes</v>
      </c>
    </row>
    <row r="427" spans="1:18" x14ac:dyDescent="0.35">
      <c r="A427" s="1">
        <v>40304</v>
      </c>
      <c r="B427">
        <v>0</v>
      </c>
      <c r="C427" t="s">
        <v>28</v>
      </c>
      <c r="D427" t="s">
        <v>50</v>
      </c>
      <c r="E427" t="s">
        <v>18</v>
      </c>
      <c r="F427">
        <v>28</v>
      </c>
      <c r="G427" t="s">
        <v>26</v>
      </c>
      <c r="H427" t="s">
        <v>18</v>
      </c>
      <c r="I427">
        <v>28</v>
      </c>
      <c r="J427">
        <v>2</v>
      </c>
      <c r="K427">
        <v>3</v>
      </c>
      <c r="L427">
        <v>51</v>
      </c>
      <c r="M427" t="s">
        <v>20</v>
      </c>
      <c r="N427" t="s">
        <v>27</v>
      </c>
      <c r="O427">
        <v>17131</v>
      </c>
      <c r="P427">
        <v>154</v>
      </c>
      <c r="Q427" t="s">
        <v>26</v>
      </c>
      <c r="R427" t="str">
        <f t="shared" si="7"/>
        <v>Yes</v>
      </c>
    </row>
    <row r="428" spans="1:18" x14ac:dyDescent="0.35">
      <c r="A428" s="1">
        <v>40305</v>
      </c>
      <c r="B428">
        <v>0</v>
      </c>
      <c r="C428" t="s">
        <v>55</v>
      </c>
      <c r="D428" t="s">
        <v>59</v>
      </c>
      <c r="E428" t="s">
        <v>30</v>
      </c>
      <c r="F428">
        <v>28</v>
      </c>
      <c r="G428" t="s">
        <v>58</v>
      </c>
      <c r="H428" t="s">
        <v>30</v>
      </c>
      <c r="I428">
        <v>30</v>
      </c>
      <c r="J428">
        <v>10</v>
      </c>
      <c r="K428">
        <v>3</v>
      </c>
      <c r="L428">
        <v>54</v>
      </c>
      <c r="M428" t="s">
        <v>20</v>
      </c>
      <c r="N428" t="s">
        <v>86</v>
      </c>
      <c r="O428">
        <v>37898</v>
      </c>
      <c r="P428">
        <v>181</v>
      </c>
      <c r="Q428" t="s">
        <v>59</v>
      </c>
      <c r="R428" t="str">
        <f t="shared" si="7"/>
        <v>No</v>
      </c>
    </row>
    <row r="429" spans="1:18" x14ac:dyDescent="0.35">
      <c r="A429" s="1">
        <v>40305</v>
      </c>
      <c r="B429">
        <v>0</v>
      </c>
      <c r="C429" t="s">
        <v>55</v>
      </c>
      <c r="D429" t="s">
        <v>46</v>
      </c>
      <c r="E429" t="s">
        <v>30</v>
      </c>
      <c r="F429">
        <v>31</v>
      </c>
      <c r="G429" t="s">
        <v>34</v>
      </c>
      <c r="H429" t="s">
        <v>30</v>
      </c>
      <c r="I429">
        <v>30</v>
      </c>
      <c r="J429">
        <v>7</v>
      </c>
      <c r="K429">
        <v>4</v>
      </c>
      <c r="L429">
        <v>72</v>
      </c>
      <c r="M429" t="s">
        <v>20</v>
      </c>
      <c r="N429" t="s">
        <v>35</v>
      </c>
      <c r="O429">
        <v>20072</v>
      </c>
      <c r="P429">
        <v>192</v>
      </c>
      <c r="Q429" t="s">
        <v>46</v>
      </c>
      <c r="R429" t="str">
        <f t="shared" si="7"/>
        <v>No</v>
      </c>
    </row>
    <row r="430" spans="1:18" x14ac:dyDescent="0.35">
      <c r="A430" s="1">
        <v>40305</v>
      </c>
      <c r="B430">
        <v>0</v>
      </c>
      <c r="C430" t="s">
        <v>55</v>
      </c>
      <c r="D430" t="s">
        <v>44</v>
      </c>
      <c r="E430" t="s">
        <v>30</v>
      </c>
      <c r="F430">
        <v>29</v>
      </c>
      <c r="G430" t="s">
        <v>41</v>
      </c>
      <c r="H430" t="s">
        <v>30</v>
      </c>
      <c r="I430">
        <v>30</v>
      </c>
      <c r="J430">
        <v>4</v>
      </c>
      <c r="K430">
        <v>1</v>
      </c>
      <c r="L430">
        <v>54</v>
      </c>
      <c r="M430" t="s">
        <v>20</v>
      </c>
      <c r="N430" t="s">
        <v>42</v>
      </c>
      <c r="O430">
        <v>19193</v>
      </c>
      <c r="P430">
        <v>162</v>
      </c>
      <c r="Q430" t="s">
        <v>44</v>
      </c>
      <c r="R430" t="str">
        <f t="shared" si="7"/>
        <v>No</v>
      </c>
    </row>
    <row r="431" spans="1:18" x14ac:dyDescent="0.35">
      <c r="A431" s="1">
        <v>40305</v>
      </c>
      <c r="B431">
        <v>0</v>
      </c>
      <c r="C431" t="s">
        <v>55</v>
      </c>
      <c r="D431" t="s">
        <v>31</v>
      </c>
      <c r="E431" t="s">
        <v>30</v>
      </c>
      <c r="F431">
        <v>31</v>
      </c>
      <c r="G431" t="s">
        <v>40</v>
      </c>
      <c r="H431" t="s">
        <v>30</v>
      </c>
      <c r="I431">
        <v>29</v>
      </c>
      <c r="J431">
        <v>8</v>
      </c>
      <c r="K431">
        <v>0</v>
      </c>
      <c r="L431">
        <v>54</v>
      </c>
      <c r="M431" t="s">
        <v>20</v>
      </c>
      <c r="N431" t="s">
        <v>77</v>
      </c>
      <c r="O431">
        <v>37602</v>
      </c>
      <c r="P431">
        <v>169</v>
      </c>
      <c r="Q431" t="s">
        <v>31</v>
      </c>
      <c r="R431" t="str">
        <f t="shared" si="7"/>
        <v>No</v>
      </c>
    </row>
    <row r="432" spans="1:18" x14ac:dyDescent="0.35">
      <c r="A432" s="1">
        <v>40305</v>
      </c>
      <c r="B432">
        <v>0</v>
      </c>
      <c r="C432" t="s">
        <v>55</v>
      </c>
      <c r="D432" t="s">
        <v>37</v>
      </c>
      <c r="E432" t="s">
        <v>30</v>
      </c>
      <c r="F432">
        <v>30</v>
      </c>
      <c r="G432" t="s">
        <v>47</v>
      </c>
      <c r="H432" t="s">
        <v>30</v>
      </c>
      <c r="I432">
        <v>30</v>
      </c>
      <c r="J432">
        <v>1</v>
      </c>
      <c r="K432">
        <v>4</v>
      </c>
      <c r="L432">
        <v>51</v>
      </c>
      <c r="M432" t="s">
        <v>20</v>
      </c>
      <c r="N432" t="s">
        <v>48</v>
      </c>
      <c r="O432">
        <v>29065</v>
      </c>
      <c r="P432">
        <v>129</v>
      </c>
      <c r="Q432" t="s">
        <v>47</v>
      </c>
      <c r="R432" t="str">
        <f t="shared" si="7"/>
        <v>Yes</v>
      </c>
    </row>
    <row r="433" spans="1:18" x14ac:dyDescent="0.35">
      <c r="A433" s="1">
        <v>40305</v>
      </c>
      <c r="B433">
        <v>0</v>
      </c>
      <c r="C433" t="s">
        <v>55</v>
      </c>
      <c r="D433" t="s">
        <v>68</v>
      </c>
      <c r="E433" t="s">
        <v>18</v>
      </c>
      <c r="F433">
        <v>29</v>
      </c>
      <c r="G433" t="s">
        <v>60</v>
      </c>
      <c r="H433" t="s">
        <v>18</v>
      </c>
      <c r="I433">
        <v>30</v>
      </c>
      <c r="J433">
        <v>3</v>
      </c>
      <c r="K433">
        <v>2</v>
      </c>
      <c r="L433">
        <v>54</v>
      </c>
      <c r="M433" t="s">
        <v>20</v>
      </c>
      <c r="N433" t="s">
        <v>61</v>
      </c>
      <c r="O433">
        <v>27067</v>
      </c>
      <c r="P433">
        <v>165</v>
      </c>
      <c r="Q433" t="s">
        <v>68</v>
      </c>
      <c r="R433" t="str">
        <f t="shared" si="7"/>
        <v>No</v>
      </c>
    </row>
    <row r="434" spans="1:18" x14ac:dyDescent="0.35">
      <c r="A434" s="1">
        <v>40305</v>
      </c>
      <c r="B434">
        <v>0</v>
      </c>
      <c r="C434" t="s">
        <v>55</v>
      </c>
      <c r="D434" t="s">
        <v>49</v>
      </c>
      <c r="E434" t="s">
        <v>18</v>
      </c>
      <c r="F434">
        <v>30</v>
      </c>
      <c r="G434" t="s">
        <v>53</v>
      </c>
      <c r="H434" t="s">
        <v>18</v>
      </c>
      <c r="I434">
        <v>29</v>
      </c>
      <c r="J434">
        <v>14</v>
      </c>
      <c r="K434">
        <v>7</v>
      </c>
      <c r="L434">
        <v>54</v>
      </c>
      <c r="M434" t="s">
        <v>20</v>
      </c>
      <c r="N434" t="s">
        <v>54</v>
      </c>
      <c r="O434">
        <v>20030</v>
      </c>
      <c r="P434">
        <v>199</v>
      </c>
      <c r="Q434" t="s">
        <v>49</v>
      </c>
      <c r="R434" t="str">
        <f t="shared" si="7"/>
        <v>No</v>
      </c>
    </row>
    <row r="435" spans="1:18" x14ac:dyDescent="0.35">
      <c r="A435" s="1">
        <v>40305</v>
      </c>
      <c r="B435">
        <v>0</v>
      </c>
      <c r="C435" t="s">
        <v>55</v>
      </c>
      <c r="D435" t="s">
        <v>62</v>
      </c>
      <c r="E435" t="s">
        <v>18</v>
      </c>
      <c r="F435">
        <v>29</v>
      </c>
      <c r="G435" t="s">
        <v>66</v>
      </c>
      <c r="H435" t="s">
        <v>18</v>
      </c>
      <c r="I435">
        <v>29</v>
      </c>
      <c r="J435">
        <v>7</v>
      </c>
      <c r="K435">
        <v>0</v>
      </c>
      <c r="L435">
        <v>54</v>
      </c>
      <c r="M435" t="s">
        <v>20</v>
      </c>
      <c r="N435" t="s">
        <v>67</v>
      </c>
      <c r="O435">
        <v>25586</v>
      </c>
      <c r="P435">
        <v>165</v>
      </c>
      <c r="Q435" t="s">
        <v>62</v>
      </c>
      <c r="R435" t="str">
        <f t="shared" si="7"/>
        <v>No</v>
      </c>
    </row>
    <row r="436" spans="1:18" x14ac:dyDescent="0.35">
      <c r="A436" s="1">
        <v>40305</v>
      </c>
      <c r="B436">
        <v>0</v>
      </c>
      <c r="C436" t="s">
        <v>55</v>
      </c>
      <c r="D436" t="s">
        <v>63</v>
      </c>
      <c r="E436" t="s">
        <v>18</v>
      </c>
      <c r="F436">
        <v>29</v>
      </c>
      <c r="G436" t="s">
        <v>22</v>
      </c>
      <c r="H436" t="s">
        <v>18</v>
      </c>
      <c r="I436">
        <v>29</v>
      </c>
      <c r="J436">
        <v>5</v>
      </c>
      <c r="K436">
        <v>6</v>
      </c>
      <c r="L436">
        <v>51</v>
      </c>
      <c r="M436" t="s">
        <v>20</v>
      </c>
      <c r="N436" t="s">
        <v>85</v>
      </c>
      <c r="O436">
        <v>40567</v>
      </c>
      <c r="P436">
        <v>195</v>
      </c>
      <c r="Q436" t="s">
        <v>22</v>
      </c>
      <c r="R436" t="str">
        <f t="shared" si="7"/>
        <v>Yes</v>
      </c>
    </row>
    <row r="437" spans="1:18" x14ac:dyDescent="0.35">
      <c r="A437" s="1">
        <v>40305</v>
      </c>
      <c r="B437">
        <v>0</v>
      </c>
      <c r="C437" t="s">
        <v>55</v>
      </c>
      <c r="D437" t="s">
        <v>70</v>
      </c>
      <c r="E437" t="s">
        <v>18</v>
      </c>
      <c r="F437">
        <v>28</v>
      </c>
      <c r="G437" t="s">
        <v>19</v>
      </c>
      <c r="H437" t="s">
        <v>18</v>
      </c>
      <c r="I437">
        <v>29</v>
      </c>
      <c r="J437">
        <v>4</v>
      </c>
      <c r="K437">
        <v>6</v>
      </c>
      <c r="L437">
        <v>52</v>
      </c>
      <c r="M437" t="s">
        <v>20</v>
      </c>
      <c r="N437" t="s">
        <v>21</v>
      </c>
      <c r="O437">
        <v>34681</v>
      </c>
      <c r="P437">
        <v>166</v>
      </c>
      <c r="Q437" t="s">
        <v>19</v>
      </c>
      <c r="R437" t="str">
        <f t="shared" si="7"/>
        <v>Yes</v>
      </c>
    </row>
    <row r="438" spans="1:18" x14ac:dyDescent="0.35">
      <c r="A438" s="1">
        <v>40305</v>
      </c>
      <c r="B438">
        <v>0</v>
      </c>
      <c r="C438" t="s">
        <v>55</v>
      </c>
      <c r="D438" t="s">
        <v>50</v>
      </c>
      <c r="E438" t="s">
        <v>18</v>
      </c>
      <c r="F438">
        <v>29</v>
      </c>
      <c r="G438" t="s">
        <v>25</v>
      </c>
      <c r="H438" t="s">
        <v>18</v>
      </c>
      <c r="I438">
        <v>29</v>
      </c>
      <c r="J438">
        <v>0</v>
      </c>
      <c r="K438">
        <v>7</v>
      </c>
      <c r="L438">
        <v>51</v>
      </c>
      <c r="M438" t="s">
        <v>20</v>
      </c>
      <c r="N438" t="s">
        <v>80</v>
      </c>
      <c r="O438">
        <v>45349</v>
      </c>
      <c r="P438">
        <v>137</v>
      </c>
      <c r="Q438" t="s">
        <v>25</v>
      </c>
      <c r="R438" t="str">
        <f t="shared" si="7"/>
        <v>Yes</v>
      </c>
    </row>
    <row r="439" spans="1:18" x14ac:dyDescent="0.35">
      <c r="A439" s="1">
        <v>40305</v>
      </c>
      <c r="B439">
        <v>0</v>
      </c>
      <c r="C439" t="s">
        <v>55</v>
      </c>
      <c r="D439" t="s">
        <v>52</v>
      </c>
      <c r="E439" t="s">
        <v>18</v>
      </c>
      <c r="F439">
        <v>30</v>
      </c>
      <c r="G439" t="s">
        <v>23</v>
      </c>
      <c r="H439" t="s">
        <v>18</v>
      </c>
      <c r="I439">
        <v>29</v>
      </c>
      <c r="J439">
        <v>4</v>
      </c>
      <c r="K439">
        <v>3</v>
      </c>
      <c r="L439">
        <v>54</v>
      </c>
      <c r="M439" t="s">
        <v>20</v>
      </c>
      <c r="N439" t="s">
        <v>24</v>
      </c>
      <c r="O439">
        <v>16473</v>
      </c>
      <c r="P439">
        <v>190</v>
      </c>
      <c r="Q439" t="s">
        <v>52</v>
      </c>
      <c r="R439" t="str">
        <f t="shared" si="7"/>
        <v>No</v>
      </c>
    </row>
    <row r="440" spans="1:18" x14ac:dyDescent="0.35">
      <c r="A440" s="1">
        <v>40305</v>
      </c>
      <c r="B440">
        <v>0</v>
      </c>
      <c r="C440" t="s">
        <v>55</v>
      </c>
      <c r="D440" t="s">
        <v>17</v>
      </c>
      <c r="E440" t="s">
        <v>18</v>
      </c>
      <c r="F440">
        <v>29</v>
      </c>
      <c r="G440" t="s">
        <v>26</v>
      </c>
      <c r="H440" t="s">
        <v>18</v>
      </c>
      <c r="I440">
        <v>29</v>
      </c>
      <c r="J440">
        <v>4</v>
      </c>
      <c r="K440">
        <v>2</v>
      </c>
      <c r="L440">
        <v>54</v>
      </c>
      <c r="M440" t="s">
        <v>20</v>
      </c>
      <c r="N440" t="s">
        <v>27</v>
      </c>
      <c r="O440">
        <v>20161</v>
      </c>
      <c r="P440">
        <v>178</v>
      </c>
      <c r="Q440" t="s">
        <v>17</v>
      </c>
      <c r="R440" t="str">
        <f t="shared" si="7"/>
        <v>No</v>
      </c>
    </row>
    <row r="441" spans="1:18" x14ac:dyDescent="0.35">
      <c r="A441" s="1">
        <v>40306</v>
      </c>
      <c r="B441">
        <v>0</v>
      </c>
      <c r="C441" t="s">
        <v>72</v>
      </c>
      <c r="D441" t="s">
        <v>59</v>
      </c>
      <c r="E441" t="s">
        <v>30</v>
      </c>
      <c r="F441">
        <v>29</v>
      </c>
      <c r="G441" t="s">
        <v>58</v>
      </c>
      <c r="H441" t="s">
        <v>30</v>
      </c>
      <c r="I441">
        <v>31</v>
      </c>
      <c r="J441">
        <v>14</v>
      </c>
      <c r="K441">
        <v>3</v>
      </c>
      <c r="L441">
        <v>54</v>
      </c>
      <c r="M441" t="s">
        <v>38</v>
      </c>
      <c r="N441" t="s">
        <v>86</v>
      </c>
      <c r="O441">
        <v>37138</v>
      </c>
      <c r="P441">
        <v>236</v>
      </c>
      <c r="Q441" t="s">
        <v>59</v>
      </c>
      <c r="R441" t="str">
        <f t="shared" si="7"/>
        <v>No</v>
      </c>
    </row>
    <row r="442" spans="1:18" x14ac:dyDescent="0.35">
      <c r="A442" s="1">
        <v>40306</v>
      </c>
      <c r="B442">
        <v>0</v>
      </c>
      <c r="C442" t="s">
        <v>72</v>
      </c>
      <c r="D442" t="s">
        <v>46</v>
      </c>
      <c r="E442" t="s">
        <v>30</v>
      </c>
      <c r="F442">
        <v>32</v>
      </c>
      <c r="G442" t="s">
        <v>34</v>
      </c>
      <c r="H442" t="s">
        <v>30</v>
      </c>
      <c r="I442">
        <v>31</v>
      </c>
      <c r="J442">
        <v>3</v>
      </c>
      <c r="K442">
        <v>7</v>
      </c>
      <c r="L442">
        <v>51</v>
      </c>
      <c r="M442" t="s">
        <v>20</v>
      </c>
      <c r="N442" t="s">
        <v>35</v>
      </c>
      <c r="O442">
        <v>24945</v>
      </c>
      <c r="P442">
        <v>162</v>
      </c>
      <c r="Q442" t="s">
        <v>34</v>
      </c>
      <c r="R442" t="str">
        <f t="shared" si="7"/>
        <v>Yes</v>
      </c>
    </row>
    <row r="443" spans="1:18" x14ac:dyDescent="0.35">
      <c r="A443" s="1">
        <v>40306</v>
      </c>
      <c r="B443">
        <v>0</v>
      </c>
      <c r="C443" t="s">
        <v>72</v>
      </c>
      <c r="D443" t="s">
        <v>36</v>
      </c>
      <c r="E443" t="s">
        <v>30</v>
      </c>
      <c r="F443">
        <v>30</v>
      </c>
      <c r="G443" t="s">
        <v>33</v>
      </c>
      <c r="H443" t="s">
        <v>30</v>
      </c>
      <c r="I443">
        <v>28</v>
      </c>
      <c r="J443">
        <v>6</v>
      </c>
      <c r="K443">
        <v>4</v>
      </c>
      <c r="L443">
        <v>54</v>
      </c>
      <c r="M443" t="s">
        <v>38</v>
      </c>
      <c r="N443" t="s">
        <v>75</v>
      </c>
      <c r="O443">
        <v>18428</v>
      </c>
      <c r="P443">
        <v>190</v>
      </c>
      <c r="Q443" t="s">
        <v>36</v>
      </c>
      <c r="R443" t="str">
        <f t="shared" si="7"/>
        <v>No</v>
      </c>
    </row>
    <row r="444" spans="1:18" x14ac:dyDescent="0.35">
      <c r="A444" s="1">
        <v>40306</v>
      </c>
      <c r="B444">
        <v>1</v>
      </c>
      <c r="C444" t="s">
        <v>72</v>
      </c>
      <c r="D444" t="s">
        <v>43</v>
      </c>
      <c r="E444" t="s">
        <v>30</v>
      </c>
      <c r="F444">
        <v>30</v>
      </c>
      <c r="G444" t="s">
        <v>29</v>
      </c>
      <c r="H444" t="s">
        <v>30</v>
      </c>
      <c r="I444">
        <v>30</v>
      </c>
      <c r="J444">
        <v>7</v>
      </c>
      <c r="K444">
        <v>3</v>
      </c>
      <c r="L444">
        <v>54</v>
      </c>
      <c r="M444" t="s">
        <v>38</v>
      </c>
      <c r="N444" t="s">
        <v>76</v>
      </c>
      <c r="O444">
        <v>38608</v>
      </c>
      <c r="P444">
        <v>156</v>
      </c>
      <c r="Q444" t="s">
        <v>43</v>
      </c>
      <c r="R444" t="str">
        <f t="shared" si="7"/>
        <v>No</v>
      </c>
    </row>
    <row r="445" spans="1:18" x14ac:dyDescent="0.35">
      <c r="A445" s="1">
        <v>40306</v>
      </c>
      <c r="B445">
        <v>2</v>
      </c>
      <c r="C445" t="s">
        <v>72</v>
      </c>
      <c r="D445" t="s">
        <v>43</v>
      </c>
      <c r="E445" t="s">
        <v>30</v>
      </c>
      <c r="F445">
        <v>31</v>
      </c>
      <c r="G445" t="s">
        <v>29</v>
      </c>
      <c r="H445" t="s">
        <v>30</v>
      </c>
      <c r="I445">
        <v>31</v>
      </c>
      <c r="J445">
        <v>1</v>
      </c>
      <c r="K445">
        <v>6</v>
      </c>
      <c r="L445">
        <v>51</v>
      </c>
      <c r="M445" t="s">
        <v>20</v>
      </c>
      <c r="N445" t="s">
        <v>76</v>
      </c>
      <c r="O445">
        <v>38863</v>
      </c>
      <c r="P445">
        <v>143</v>
      </c>
      <c r="Q445" t="s">
        <v>29</v>
      </c>
      <c r="R445" t="str">
        <f t="shared" si="7"/>
        <v>Yes</v>
      </c>
    </row>
    <row r="446" spans="1:18" x14ac:dyDescent="0.35">
      <c r="A446" s="1">
        <v>40306</v>
      </c>
      <c r="B446">
        <v>0</v>
      </c>
      <c r="C446" t="s">
        <v>72</v>
      </c>
      <c r="D446" t="s">
        <v>44</v>
      </c>
      <c r="E446" t="s">
        <v>30</v>
      </c>
      <c r="F446">
        <v>30</v>
      </c>
      <c r="G446" t="s">
        <v>41</v>
      </c>
      <c r="H446" t="s">
        <v>30</v>
      </c>
      <c r="I446">
        <v>31</v>
      </c>
      <c r="J446">
        <v>2</v>
      </c>
      <c r="K446">
        <v>4</v>
      </c>
      <c r="L446">
        <v>51</v>
      </c>
      <c r="M446" t="s">
        <v>38</v>
      </c>
      <c r="N446" t="s">
        <v>42</v>
      </c>
      <c r="O446">
        <v>15493</v>
      </c>
      <c r="P446">
        <v>151</v>
      </c>
      <c r="Q446" t="s">
        <v>41</v>
      </c>
      <c r="R446" t="str">
        <f t="shared" si="7"/>
        <v>Yes</v>
      </c>
    </row>
    <row r="447" spans="1:18" x14ac:dyDescent="0.35">
      <c r="A447" s="1">
        <v>40306</v>
      </c>
      <c r="B447">
        <v>0</v>
      </c>
      <c r="C447" t="s">
        <v>72</v>
      </c>
      <c r="D447" t="s">
        <v>31</v>
      </c>
      <c r="E447" t="s">
        <v>30</v>
      </c>
      <c r="F447">
        <v>32</v>
      </c>
      <c r="G447" t="s">
        <v>40</v>
      </c>
      <c r="H447" t="s">
        <v>30</v>
      </c>
      <c r="I447">
        <v>30</v>
      </c>
      <c r="J447">
        <v>4</v>
      </c>
      <c r="K447">
        <v>3</v>
      </c>
      <c r="L447">
        <v>60</v>
      </c>
      <c r="M447" t="s">
        <v>20</v>
      </c>
      <c r="N447" t="s">
        <v>77</v>
      </c>
      <c r="O447">
        <v>30446</v>
      </c>
      <c r="P447">
        <v>208</v>
      </c>
      <c r="Q447" t="s">
        <v>31</v>
      </c>
      <c r="R447" t="str">
        <f t="shared" si="7"/>
        <v>No</v>
      </c>
    </row>
    <row r="448" spans="1:18" x14ac:dyDescent="0.35">
      <c r="A448" s="1">
        <v>40306</v>
      </c>
      <c r="B448">
        <v>0</v>
      </c>
      <c r="C448" t="s">
        <v>72</v>
      </c>
      <c r="D448" t="s">
        <v>37</v>
      </c>
      <c r="E448" t="s">
        <v>30</v>
      </c>
      <c r="F448">
        <v>31</v>
      </c>
      <c r="G448" t="s">
        <v>47</v>
      </c>
      <c r="H448" t="s">
        <v>30</v>
      </c>
      <c r="I448">
        <v>31</v>
      </c>
      <c r="J448">
        <v>2</v>
      </c>
      <c r="K448">
        <v>3</v>
      </c>
      <c r="L448">
        <v>51</v>
      </c>
      <c r="M448" t="s">
        <v>20</v>
      </c>
      <c r="N448" t="s">
        <v>48</v>
      </c>
      <c r="O448">
        <v>36349</v>
      </c>
      <c r="P448">
        <v>163</v>
      </c>
      <c r="Q448" t="s">
        <v>47</v>
      </c>
      <c r="R448" t="str">
        <f t="shared" si="7"/>
        <v>Yes</v>
      </c>
    </row>
    <row r="449" spans="1:18" x14ac:dyDescent="0.35">
      <c r="A449" s="1">
        <v>40306</v>
      </c>
      <c r="B449">
        <v>0</v>
      </c>
      <c r="C449" t="s">
        <v>72</v>
      </c>
      <c r="D449" t="s">
        <v>68</v>
      </c>
      <c r="E449" t="s">
        <v>18</v>
      </c>
      <c r="F449">
        <v>30</v>
      </c>
      <c r="G449" t="s">
        <v>60</v>
      </c>
      <c r="H449" t="s">
        <v>18</v>
      </c>
      <c r="I449">
        <v>31</v>
      </c>
      <c r="J449">
        <v>17</v>
      </c>
      <c r="K449">
        <v>3</v>
      </c>
      <c r="L449">
        <v>54</v>
      </c>
      <c r="M449" t="s">
        <v>20</v>
      </c>
      <c r="N449" t="s">
        <v>61</v>
      </c>
      <c r="O449">
        <v>26877</v>
      </c>
      <c r="P449">
        <v>200</v>
      </c>
      <c r="Q449" t="s">
        <v>68</v>
      </c>
      <c r="R449" t="str">
        <f t="shared" si="7"/>
        <v>No</v>
      </c>
    </row>
    <row r="450" spans="1:18" x14ac:dyDescent="0.35">
      <c r="A450" s="1">
        <v>40306</v>
      </c>
      <c r="B450">
        <v>0</v>
      </c>
      <c r="C450" t="s">
        <v>72</v>
      </c>
      <c r="D450" t="s">
        <v>49</v>
      </c>
      <c r="E450" t="s">
        <v>18</v>
      </c>
      <c r="F450">
        <v>31</v>
      </c>
      <c r="G450" t="s">
        <v>53</v>
      </c>
      <c r="H450" t="s">
        <v>18</v>
      </c>
      <c r="I450">
        <v>30</v>
      </c>
      <c r="J450">
        <v>2</v>
      </c>
      <c r="K450">
        <v>14</v>
      </c>
      <c r="L450">
        <v>51</v>
      </c>
      <c r="M450" t="s">
        <v>20</v>
      </c>
      <c r="N450" t="s">
        <v>54</v>
      </c>
      <c r="O450">
        <v>26404</v>
      </c>
      <c r="P450">
        <v>196</v>
      </c>
      <c r="Q450" t="s">
        <v>53</v>
      </c>
      <c r="R450" t="str">
        <f t="shared" si="7"/>
        <v>Yes</v>
      </c>
    </row>
    <row r="451" spans="1:18" x14ac:dyDescent="0.35">
      <c r="A451" s="1">
        <v>40306</v>
      </c>
      <c r="B451">
        <v>0</v>
      </c>
      <c r="C451" t="s">
        <v>72</v>
      </c>
      <c r="D451" t="s">
        <v>62</v>
      </c>
      <c r="E451" t="s">
        <v>18</v>
      </c>
      <c r="F451">
        <v>30</v>
      </c>
      <c r="G451" t="s">
        <v>66</v>
      </c>
      <c r="H451" t="s">
        <v>18</v>
      </c>
      <c r="I451">
        <v>30</v>
      </c>
      <c r="J451">
        <v>2</v>
      </c>
      <c r="K451">
        <v>1</v>
      </c>
      <c r="L451">
        <v>54</v>
      </c>
      <c r="M451" t="s">
        <v>20</v>
      </c>
      <c r="N451" t="s">
        <v>67</v>
      </c>
      <c r="O451">
        <v>27038</v>
      </c>
      <c r="P451">
        <v>171</v>
      </c>
      <c r="Q451" t="s">
        <v>62</v>
      </c>
      <c r="R451" t="str">
        <f t="shared" ref="R451:R514" si="8">IF(K451&gt;J451,"Yes","No")</f>
        <v>No</v>
      </c>
    </row>
    <row r="452" spans="1:18" x14ac:dyDescent="0.35">
      <c r="A452" s="1">
        <v>40306</v>
      </c>
      <c r="B452">
        <v>0</v>
      </c>
      <c r="C452" t="s">
        <v>72</v>
      </c>
      <c r="D452" t="s">
        <v>63</v>
      </c>
      <c r="E452" t="s">
        <v>18</v>
      </c>
      <c r="F452">
        <v>30</v>
      </c>
      <c r="G452" t="s">
        <v>22</v>
      </c>
      <c r="H452" t="s">
        <v>18</v>
      </c>
      <c r="I452">
        <v>30</v>
      </c>
      <c r="J452">
        <v>8</v>
      </c>
      <c r="K452">
        <v>0</v>
      </c>
      <c r="L452">
        <v>54</v>
      </c>
      <c r="M452" t="s">
        <v>20</v>
      </c>
      <c r="N452" t="s">
        <v>85</v>
      </c>
      <c r="O452">
        <v>42287</v>
      </c>
      <c r="P452">
        <v>172</v>
      </c>
      <c r="Q452" t="s">
        <v>63</v>
      </c>
      <c r="R452" t="str">
        <f t="shared" si="8"/>
        <v>No</v>
      </c>
    </row>
    <row r="453" spans="1:18" x14ac:dyDescent="0.35">
      <c r="A453" s="1">
        <v>40306</v>
      </c>
      <c r="B453">
        <v>0</v>
      </c>
      <c r="C453" t="s">
        <v>72</v>
      </c>
      <c r="D453" t="s">
        <v>70</v>
      </c>
      <c r="E453" t="s">
        <v>18</v>
      </c>
      <c r="F453">
        <v>29</v>
      </c>
      <c r="G453" t="s">
        <v>19</v>
      </c>
      <c r="H453" t="s">
        <v>18</v>
      </c>
      <c r="I453">
        <v>30</v>
      </c>
      <c r="J453">
        <v>4</v>
      </c>
      <c r="K453">
        <v>5</v>
      </c>
      <c r="L453">
        <v>63</v>
      </c>
      <c r="M453" t="s">
        <v>38</v>
      </c>
      <c r="N453" t="s">
        <v>21</v>
      </c>
      <c r="O453">
        <v>36764</v>
      </c>
      <c r="P453">
        <v>212</v>
      </c>
      <c r="Q453" t="s">
        <v>19</v>
      </c>
      <c r="R453" t="str">
        <f t="shared" si="8"/>
        <v>Yes</v>
      </c>
    </row>
    <row r="454" spans="1:18" x14ac:dyDescent="0.35">
      <c r="A454" s="1">
        <v>40306</v>
      </c>
      <c r="B454">
        <v>0</v>
      </c>
      <c r="C454" t="s">
        <v>72</v>
      </c>
      <c r="D454" t="s">
        <v>50</v>
      </c>
      <c r="E454" t="s">
        <v>18</v>
      </c>
      <c r="F454">
        <v>30</v>
      </c>
      <c r="G454" t="s">
        <v>25</v>
      </c>
      <c r="H454" t="s">
        <v>18</v>
      </c>
      <c r="I454">
        <v>30</v>
      </c>
      <c r="J454">
        <v>4</v>
      </c>
      <c r="K454">
        <v>1</v>
      </c>
      <c r="L454">
        <v>54</v>
      </c>
      <c r="M454" t="s">
        <v>38</v>
      </c>
      <c r="N454" t="s">
        <v>80</v>
      </c>
      <c r="O454">
        <v>45395</v>
      </c>
      <c r="P454">
        <v>191</v>
      </c>
      <c r="Q454" t="s">
        <v>50</v>
      </c>
      <c r="R454" t="str">
        <f t="shared" si="8"/>
        <v>No</v>
      </c>
    </row>
    <row r="455" spans="1:18" x14ac:dyDescent="0.35">
      <c r="A455" s="1">
        <v>40306</v>
      </c>
      <c r="B455">
        <v>0</v>
      </c>
      <c r="C455" t="s">
        <v>72</v>
      </c>
      <c r="D455" t="s">
        <v>52</v>
      </c>
      <c r="E455" t="s">
        <v>18</v>
      </c>
      <c r="F455">
        <v>31</v>
      </c>
      <c r="G455" t="s">
        <v>23</v>
      </c>
      <c r="H455" t="s">
        <v>18</v>
      </c>
      <c r="I455">
        <v>30</v>
      </c>
      <c r="J455">
        <v>0</v>
      </c>
      <c r="K455">
        <v>2</v>
      </c>
      <c r="L455">
        <v>51</v>
      </c>
      <c r="M455" t="s">
        <v>20</v>
      </c>
      <c r="N455" t="s">
        <v>24</v>
      </c>
      <c r="O455">
        <v>25047</v>
      </c>
      <c r="P455">
        <v>159</v>
      </c>
      <c r="Q455" t="s">
        <v>23</v>
      </c>
      <c r="R455" t="str">
        <f t="shared" si="8"/>
        <v>Yes</v>
      </c>
    </row>
    <row r="456" spans="1:18" x14ac:dyDescent="0.35">
      <c r="A456" s="1">
        <v>40306</v>
      </c>
      <c r="B456">
        <v>0</v>
      </c>
      <c r="C456" t="s">
        <v>72</v>
      </c>
      <c r="D456" t="s">
        <v>17</v>
      </c>
      <c r="E456" t="s">
        <v>18</v>
      </c>
      <c r="F456">
        <v>30</v>
      </c>
      <c r="G456" t="s">
        <v>26</v>
      </c>
      <c r="H456" t="s">
        <v>18</v>
      </c>
      <c r="I456">
        <v>30</v>
      </c>
      <c r="J456">
        <v>4</v>
      </c>
      <c r="K456">
        <v>5</v>
      </c>
      <c r="L456">
        <v>51</v>
      </c>
      <c r="M456" t="s">
        <v>38</v>
      </c>
      <c r="N456" t="s">
        <v>27</v>
      </c>
      <c r="O456">
        <v>21633</v>
      </c>
      <c r="P456">
        <v>167</v>
      </c>
      <c r="Q456" t="s">
        <v>26</v>
      </c>
      <c r="R456" t="str">
        <f t="shared" si="8"/>
        <v>Yes</v>
      </c>
    </row>
    <row r="457" spans="1:18" x14ac:dyDescent="0.35">
      <c r="A457" s="1">
        <v>40307</v>
      </c>
      <c r="B457">
        <v>0</v>
      </c>
      <c r="C457" t="s">
        <v>73</v>
      </c>
      <c r="D457" t="s">
        <v>59</v>
      </c>
      <c r="E457" t="s">
        <v>30</v>
      </c>
      <c r="F457">
        <v>30</v>
      </c>
      <c r="G457" t="s">
        <v>58</v>
      </c>
      <c r="H457" t="s">
        <v>30</v>
      </c>
      <c r="I457">
        <v>32</v>
      </c>
      <c r="J457">
        <v>3</v>
      </c>
      <c r="K457">
        <v>9</v>
      </c>
      <c r="L457">
        <v>51</v>
      </c>
      <c r="M457" t="s">
        <v>20</v>
      </c>
      <c r="N457" t="s">
        <v>86</v>
      </c>
      <c r="O457">
        <v>37618</v>
      </c>
      <c r="P457">
        <v>185</v>
      </c>
      <c r="Q457" t="s">
        <v>58</v>
      </c>
      <c r="R457" t="str">
        <f t="shared" si="8"/>
        <v>Yes</v>
      </c>
    </row>
    <row r="458" spans="1:18" x14ac:dyDescent="0.35">
      <c r="A458" s="1">
        <v>40307</v>
      </c>
      <c r="B458">
        <v>0</v>
      </c>
      <c r="C458" t="s">
        <v>73</v>
      </c>
      <c r="D458" t="s">
        <v>46</v>
      </c>
      <c r="E458" t="s">
        <v>30</v>
      </c>
      <c r="F458">
        <v>33</v>
      </c>
      <c r="G458" t="s">
        <v>34</v>
      </c>
      <c r="H458" t="s">
        <v>30</v>
      </c>
      <c r="I458">
        <v>32</v>
      </c>
      <c r="J458">
        <v>9</v>
      </c>
      <c r="K458">
        <v>7</v>
      </c>
      <c r="L458">
        <v>54</v>
      </c>
      <c r="M458" t="s">
        <v>38</v>
      </c>
      <c r="N458" t="s">
        <v>35</v>
      </c>
      <c r="O458">
        <v>23850</v>
      </c>
      <c r="P458">
        <v>209</v>
      </c>
      <c r="Q458" t="s">
        <v>46</v>
      </c>
      <c r="R458" t="str">
        <f t="shared" si="8"/>
        <v>No</v>
      </c>
    </row>
    <row r="459" spans="1:18" x14ac:dyDescent="0.35">
      <c r="A459" s="1">
        <v>40307</v>
      </c>
      <c r="B459">
        <v>0</v>
      </c>
      <c r="C459" t="s">
        <v>73</v>
      </c>
      <c r="D459" t="s">
        <v>36</v>
      </c>
      <c r="E459" t="s">
        <v>30</v>
      </c>
      <c r="F459">
        <v>31</v>
      </c>
      <c r="G459" t="s">
        <v>33</v>
      </c>
      <c r="H459" t="s">
        <v>30</v>
      </c>
      <c r="I459">
        <v>29</v>
      </c>
      <c r="J459">
        <v>4</v>
      </c>
      <c r="K459">
        <v>7</v>
      </c>
      <c r="L459">
        <v>51</v>
      </c>
      <c r="M459" t="s">
        <v>38</v>
      </c>
      <c r="N459" t="s">
        <v>75</v>
      </c>
      <c r="O459">
        <v>16980</v>
      </c>
      <c r="P459">
        <v>196</v>
      </c>
      <c r="Q459" t="s">
        <v>33</v>
      </c>
      <c r="R459" t="str">
        <f t="shared" si="8"/>
        <v>Yes</v>
      </c>
    </row>
    <row r="460" spans="1:18" x14ac:dyDescent="0.35">
      <c r="A460" s="1">
        <v>40307</v>
      </c>
      <c r="B460">
        <v>0</v>
      </c>
      <c r="C460" t="s">
        <v>73</v>
      </c>
      <c r="D460" t="s">
        <v>43</v>
      </c>
      <c r="E460" t="s">
        <v>30</v>
      </c>
      <c r="F460">
        <v>32</v>
      </c>
      <c r="G460" t="s">
        <v>29</v>
      </c>
      <c r="H460" t="s">
        <v>30</v>
      </c>
      <c r="I460">
        <v>32</v>
      </c>
      <c r="J460">
        <v>0</v>
      </c>
      <c r="K460">
        <v>6</v>
      </c>
      <c r="L460">
        <v>51</v>
      </c>
      <c r="M460" t="s">
        <v>38</v>
      </c>
      <c r="N460" t="s">
        <v>76</v>
      </c>
      <c r="O460">
        <v>38641</v>
      </c>
      <c r="P460">
        <v>144</v>
      </c>
      <c r="Q460" t="s">
        <v>29</v>
      </c>
      <c r="R460" t="str">
        <f t="shared" si="8"/>
        <v>Yes</v>
      </c>
    </row>
    <row r="461" spans="1:18" x14ac:dyDescent="0.35">
      <c r="A461" s="1">
        <v>40307</v>
      </c>
      <c r="B461">
        <v>0</v>
      </c>
      <c r="C461" t="s">
        <v>73</v>
      </c>
      <c r="D461" t="s">
        <v>44</v>
      </c>
      <c r="E461" t="s">
        <v>30</v>
      </c>
      <c r="F461">
        <v>31</v>
      </c>
      <c r="G461" t="s">
        <v>41</v>
      </c>
      <c r="H461" t="s">
        <v>30</v>
      </c>
      <c r="I461">
        <v>32</v>
      </c>
      <c r="J461">
        <v>0</v>
      </c>
      <c r="K461">
        <v>4</v>
      </c>
      <c r="L461">
        <v>51</v>
      </c>
      <c r="M461" t="s">
        <v>38</v>
      </c>
      <c r="N461" t="s">
        <v>42</v>
      </c>
      <c r="O461">
        <v>12228</v>
      </c>
      <c r="P461">
        <v>127</v>
      </c>
      <c r="Q461" t="s">
        <v>41</v>
      </c>
      <c r="R461" t="str">
        <f t="shared" si="8"/>
        <v>Yes</v>
      </c>
    </row>
    <row r="462" spans="1:18" x14ac:dyDescent="0.35">
      <c r="A462" s="1">
        <v>40307</v>
      </c>
      <c r="B462">
        <v>0</v>
      </c>
      <c r="C462" t="s">
        <v>73</v>
      </c>
      <c r="D462" t="s">
        <v>31</v>
      </c>
      <c r="E462" t="s">
        <v>30</v>
      </c>
      <c r="F462">
        <v>33</v>
      </c>
      <c r="G462" t="s">
        <v>40</v>
      </c>
      <c r="H462" t="s">
        <v>30</v>
      </c>
      <c r="I462">
        <v>31</v>
      </c>
      <c r="J462">
        <v>1</v>
      </c>
      <c r="K462">
        <v>8</v>
      </c>
      <c r="L462">
        <v>51</v>
      </c>
      <c r="M462" t="s">
        <v>38</v>
      </c>
      <c r="N462" t="s">
        <v>77</v>
      </c>
      <c r="O462">
        <v>28668</v>
      </c>
      <c r="P462">
        <v>156</v>
      </c>
      <c r="Q462" t="s">
        <v>40</v>
      </c>
      <c r="R462" t="str">
        <f t="shared" si="8"/>
        <v>Yes</v>
      </c>
    </row>
    <row r="463" spans="1:18" x14ac:dyDescent="0.35">
      <c r="A463" s="1">
        <v>40307</v>
      </c>
      <c r="B463">
        <v>0</v>
      </c>
      <c r="C463" t="s">
        <v>73</v>
      </c>
      <c r="D463" t="s">
        <v>37</v>
      </c>
      <c r="E463" t="s">
        <v>30</v>
      </c>
      <c r="F463">
        <v>32</v>
      </c>
      <c r="G463" t="s">
        <v>47</v>
      </c>
      <c r="H463" t="s">
        <v>30</v>
      </c>
      <c r="I463">
        <v>32</v>
      </c>
      <c r="J463">
        <v>4</v>
      </c>
      <c r="K463">
        <v>6</v>
      </c>
      <c r="L463">
        <v>51</v>
      </c>
      <c r="M463" t="s">
        <v>38</v>
      </c>
      <c r="N463" t="s">
        <v>48</v>
      </c>
      <c r="O463">
        <v>25476</v>
      </c>
      <c r="P463">
        <v>193</v>
      </c>
      <c r="Q463" t="s">
        <v>47</v>
      </c>
      <c r="R463" t="str">
        <f t="shared" si="8"/>
        <v>Yes</v>
      </c>
    </row>
    <row r="464" spans="1:18" x14ac:dyDescent="0.35">
      <c r="A464" s="1">
        <v>40307</v>
      </c>
      <c r="B464">
        <v>0</v>
      </c>
      <c r="C464" t="s">
        <v>73</v>
      </c>
      <c r="D464" t="s">
        <v>68</v>
      </c>
      <c r="E464" t="s">
        <v>18</v>
      </c>
      <c r="F464">
        <v>31</v>
      </c>
      <c r="G464" t="s">
        <v>60</v>
      </c>
      <c r="H464" t="s">
        <v>18</v>
      </c>
      <c r="I464">
        <v>32</v>
      </c>
      <c r="J464">
        <v>6</v>
      </c>
      <c r="K464">
        <v>1</v>
      </c>
      <c r="L464">
        <v>54</v>
      </c>
      <c r="M464" t="s">
        <v>38</v>
      </c>
      <c r="N464" t="s">
        <v>61</v>
      </c>
      <c r="O464">
        <v>25358</v>
      </c>
      <c r="P464">
        <v>194</v>
      </c>
      <c r="Q464" t="s">
        <v>68</v>
      </c>
      <c r="R464" t="str">
        <f t="shared" si="8"/>
        <v>No</v>
      </c>
    </row>
    <row r="465" spans="1:18" x14ac:dyDescent="0.35">
      <c r="A465" s="1">
        <v>40307</v>
      </c>
      <c r="B465">
        <v>0</v>
      </c>
      <c r="C465" t="s">
        <v>73</v>
      </c>
      <c r="D465" t="s">
        <v>49</v>
      </c>
      <c r="E465" t="s">
        <v>18</v>
      </c>
      <c r="F465">
        <v>32</v>
      </c>
      <c r="G465" t="s">
        <v>53</v>
      </c>
      <c r="H465" t="s">
        <v>18</v>
      </c>
      <c r="I465">
        <v>31</v>
      </c>
      <c r="J465">
        <v>3</v>
      </c>
      <c r="K465">
        <v>5</v>
      </c>
      <c r="L465">
        <v>51</v>
      </c>
      <c r="M465" t="s">
        <v>38</v>
      </c>
      <c r="N465" t="s">
        <v>54</v>
      </c>
      <c r="O465">
        <v>20402</v>
      </c>
      <c r="P465">
        <v>143</v>
      </c>
      <c r="Q465" t="s">
        <v>53</v>
      </c>
      <c r="R465" t="str">
        <f t="shared" si="8"/>
        <v>Yes</v>
      </c>
    </row>
    <row r="466" spans="1:18" x14ac:dyDescent="0.35">
      <c r="A466" s="1">
        <v>40307</v>
      </c>
      <c r="B466">
        <v>0</v>
      </c>
      <c r="C466" t="s">
        <v>73</v>
      </c>
      <c r="D466" t="s">
        <v>62</v>
      </c>
      <c r="E466" t="s">
        <v>18</v>
      </c>
      <c r="F466">
        <v>31</v>
      </c>
      <c r="G466" t="s">
        <v>66</v>
      </c>
      <c r="H466" t="s">
        <v>18</v>
      </c>
      <c r="I466">
        <v>31</v>
      </c>
      <c r="J466">
        <v>3</v>
      </c>
      <c r="K466">
        <v>4</v>
      </c>
      <c r="L466">
        <v>64</v>
      </c>
      <c r="M466" t="s">
        <v>38</v>
      </c>
      <c r="N466" t="s">
        <v>67</v>
      </c>
      <c r="O466">
        <v>23526</v>
      </c>
      <c r="P466">
        <v>172</v>
      </c>
      <c r="Q466" t="s">
        <v>66</v>
      </c>
      <c r="R466" t="str">
        <f t="shared" si="8"/>
        <v>Yes</v>
      </c>
    </row>
    <row r="467" spans="1:18" x14ac:dyDescent="0.35">
      <c r="A467" s="1">
        <v>40307</v>
      </c>
      <c r="B467">
        <v>0</v>
      </c>
      <c r="C467" t="s">
        <v>73</v>
      </c>
      <c r="D467" t="s">
        <v>63</v>
      </c>
      <c r="E467" t="s">
        <v>18</v>
      </c>
      <c r="F467">
        <v>31</v>
      </c>
      <c r="G467" t="s">
        <v>22</v>
      </c>
      <c r="H467" t="s">
        <v>18</v>
      </c>
      <c r="I467">
        <v>31</v>
      </c>
      <c r="J467">
        <v>0</v>
      </c>
      <c r="K467">
        <v>2</v>
      </c>
      <c r="L467">
        <v>51</v>
      </c>
      <c r="M467" t="s">
        <v>38</v>
      </c>
      <c r="N467" t="s">
        <v>85</v>
      </c>
      <c r="O467">
        <v>40718</v>
      </c>
      <c r="P467">
        <v>139</v>
      </c>
      <c r="Q467" t="s">
        <v>22</v>
      </c>
      <c r="R467" t="str">
        <f t="shared" si="8"/>
        <v>Yes</v>
      </c>
    </row>
    <row r="468" spans="1:18" x14ac:dyDescent="0.35">
      <c r="A468" s="1">
        <v>40307</v>
      </c>
      <c r="B468">
        <v>0</v>
      </c>
      <c r="C468" t="s">
        <v>73</v>
      </c>
      <c r="D468" t="s">
        <v>70</v>
      </c>
      <c r="E468" t="s">
        <v>18</v>
      </c>
      <c r="F468">
        <v>30</v>
      </c>
      <c r="G468" t="s">
        <v>19</v>
      </c>
      <c r="H468" t="s">
        <v>18</v>
      </c>
      <c r="I468">
        <v>31</v>
      </c>
      <c r="J468">
        <v>6</v>
      </c>
      <c r="K468">
        <v>5</v>
      </c>
      <c r="L468">
        <v>54</v>
      </c>
      <c r="M468" t="s">
        <v>38</v>
      </c>
      <c r="N468" t="s">
        <v>21</v>
      </c>
      <c r="O468">
        <v>35641</v>
      </c>
      <c r="P468">
        <v>225</v>
      </c>
      <c r="Q468" t="s">
        <v>70</v>
      </c>
      <c r="R468" t="str">
        <f t="shared" si="8"/>
        <v>No</v>
      </c>
    </row>
    <row r="469" spans="1:18" x14ac:dyDescent="0.35">
      <c r="A469" s="1">
        <v>40307</v>
      </c>
      <c r="B469">
        <v>0</v>
      </c>
      <c r="C469" t="s">
        <v>73</v>
      </c>
      <c r="D469" t="s">
        <v>50</v>
      </c>
      <c r="E469" t="s">
        <v>18</v>
      </c>
      <c r="F469">
        <v>31</v>
      </c>
      <c r="G469" t="s">
        <v>25</v>
      </c>
      <c r="H469" t="s">
        <v>18</v>
      </c>
      <c r="I469">
        <v>31</v>
      </c>
      <c r="J469">
        <v>3</v>
      </c>
      <c r="K469">
        <v>5</v>
      </c>
      <c r="L469">
        <v>51</v>
      </c>
      <c r="M469" t="s">
        <v>38</v>
      </c>
      <c r="N469" t="s">
        <v>80</v>
      </c>
      <c r="O469">
        <v>45193</v>
      </c>
      <c r="P469">
        <v>156</v>
      </c>
      <c r="Q469" t="s">
        <v>25</v>
      </c>
      <c r="R469" t="str">
        <f t="shared" si="8"/>
        <v>Yes</v>
      </c>
    </row>
    <row r="470" spans="1:18" x14ac:dyDescent="0.35">
      <c r="A470" s="1">
        <v>40307</v>
      </c>
      <c r="B470">
        <v>0</v>
      </c>
      <c r="C470" t="s">
        <v>73</v>
      </c>
      <c r="D470" t="s">
        <v>52</v>
      </c>
      <c r="E470" t="s">
        <v>18</v>
      </c>
      <c r="F470">
        <v>32</v>
      </c>
      <c r="G470" t="s">
        <v>23</v>
      </c>
      <c r="H470" t="s">
        <v>18</v>
      </c>
      <c r="I470">
        <v>31</v>
      </c>
      <c r="J470">
        <v>11</v>
      </c>
      <c r="K470">
        <v>4</v>
      </c>
      <c r="L470">
        <v>54</v>
      </c>
      <c r="M470" t="s">
        <v>38</v>
      </c>
      <c r="N470" t="s">
        <v>24</v>
      </c>
      <c r="O470">
        <v>17342</v>
      </c>
      <c r="P470">
        <v>184</v>
      </c>
      <c r="Q470" t="s">
        <v>52</v>
      </c>
      <c r="R470" t="str">
        <f t="shared" si="8"/>
        <v>No</v>
      </c>
    </row>
    <row r="471" spans="1:18" x14ac:dyDescent="0.35">
      <c r="A471" s="1">
        <v>40307</v>
      </c>
      <c r="B471">
        <v>0</v>
      </c>
      <c r="C471" t="s">
        <v>73</v>
      </c>
      <c r="D471" t="s">
        <v>17</v>
      </c>
      <c r="E471" t="s">
        <v>18</v>
      </c>
      <c r="F471">
        <v>31</v>
      </c>
      <c r="G471" t="s">
        <v>26</v>
      </c>
      <c r="H471" t="s">
        <v>18</v>
      </c>
      <c r="I471">
        <v>31</v>
      </c>
      <c r="J471">
        <v>2</v>
      </c>
      <c r="K471">
        <v>3</v>
      </c>
      <c r="L471">
        <v>51</v>
      </c>
      <c r="M471" t="s">
        <v>38</v>
      </c>
      <c r="N471" t="s">
        <v>27</v>
      </c>
      <c r="O471">
        <v>21299</v>
      </c>
      <c r="P471">
        <v>178</v>
      </c>
      <c r="Q471" t="s">
        <v>26</v>
      </c>
      <c r="R471" t="str">
        <f t="shared" si="8"/>
        <v>Yes</v>
      </c>
    </row>
    <row r="472" spans="1:18" x14ac:dyDescent="0.35">
      <c r="A472" s="1">
        <v>40308</v>
      </c>
      <c r="B472">
        <v>0</v>
      </c>
      <c r="C472" t="s">
        <v>74</v>
      </c>
      <c r="D472" t="s">
        <v>44</v>
      </c>
      <c r="E472" t="s">
        <v>30</v>
      </c>
      <c r="F472">
        <v>32</v>
      </c>
      <c r="G472" t="s">
        <v>31</v>
      </c>
      <c r="H472" t="s">
        <v>30</v>
      </c>
      <c r="I472">
        <v>34</v>
      </c>
      <c r="J472">
        <v>4</v>
      </c>
      <c r="K472">
        <v>5</v>
      </c>
      <c r="L472">
        <v>65</v>
      </c>
      <c r="M472" t="s">
        <v>20</v>
      </c>
      <c r="N472" t="s">
        <v>32</v>
      </c>
      <c r="O472">
        <v>36798</v>
      </c>
      <c r="P472">
        <v>244</v>
      </c>
      <c r="Q472" t="s">
        <v>31</v>
      </c>
      <c r="R472" t="str">
        <f t="shared" si="8"/>
        <v>Yes</v>
      </c>
    </row>
    <row r="473" spans="1:18" x14ac:dyDescent="0.35">
      <c r="A473" s="1">
        <v>40308</v>
      </c>
      <c r="B473">
        <v>0</v>
      </c>
      <c r="C473" t="s">
        <v>74</v>
      </c>
      <c r="D473" t="s">
        <v>46</v>
      </c>
      <c r="E473" t="s">
        <v>30</v>
      </c>
      <c r="F473">
        <v>34</v>
      </c>
      <c r="G473" t="s">
        <v>58</v>
      </c>
      <c r="H473" t="s">
        <v>30</v>
      </c>
      <c r="I473">
        <v>33</v>
      </c>
      <c r="J473">
        <v>6</v>
      </c>
      <c r="K473">
        <v>7</v>
      </c>
      <c r="L473">
        <v>51</v>
      </c>
      <c r="M473" t="s">
        <v>20</v>
      </c>
      <c r="N473" t="s">
        <v>86</v>
      </c>
      <c r="O473">
        <v>37332</v>
      </c>
      <c r="P473">
        <v>186</v>
      </c>
      <c r="Q473" t="s">
        <v>58</v>
      </c>
      <c r="R473" t="str">
        <f t="shared" si="8"/>
        <v>Yes</v>
      </c>
    </row>
    <row r="474" spans="1:18" x14ac:dyDescent="0.35">
      <c r="A474" s="1">
        <v>40308</v>
      </c>
      <c r="B474">
        <v>0</v>
      </c>
      <c r="C474" t="s">
        <v>74</v>
      </c>
      <c r="D474" t="s">
        <v>59</v>
      </c>
      <c r="E474" t="s">
        <v>30</v>
      </c>
      <c r="F474">
        <v>31</v>
      </c>
      <c r="G474" t="s">
        <v>36</v>
      </c>
      <c r="H474" t="s">
        <v>30</v>
      </c>
      <c r="I474">
        <v>32</v>
      </c>
      <c r="J474">
        <v>4</v>
      </c>
      <c r="K474">
        <v>5</v>
      </c>
      <c r="L474">
        <v>51</v>
      </c>
      <c r="M474" t="s">
        <v>20</v>
      </c>
      <c r="N474" t="s">
        <v>57</v>
      </c>
      <c r="O474">
        <v>34365</v>
      </c>
      <c r="P474">
        <v>196</v>
      </c>
      <c r="Q474" t="s">
        <v>36</v>
      </c>
      <c r="R474" t="str">
        <f t="shared" si="8"/>
        <v>Yes</v>
      </c>
    </row>
    <row r="475" spans="1:18" x14ac:dyDescent="0.35">
      <c r="A475" s="1">
        <v>40308</v>
      </c>
      <c r="B475">
        <v>0</v>
      </c>
      <c r="C475" t="s">
        <v>74</v>
      </c>
      <c r="D475" t="s">
        <v>22</v>
      </c>
      <c r="E475" t="s">
        <v>18</v>
      </c>
      <c r="F475">
        <v>32</v>
      </c>
      <c r="G475" t="s">
        <v>60</v>
      </c>
      <c r="H475" t="s">
        <v>18</v>
      </c>
      <c r="I475">
        <v>33</v>
      </c>
      <c r="J475">
        <v>7</v>
      </c>
      <c r="K475">
        <v>3</v>
      </c>
      <c r="L475">
        <v>54</v>
      </c>
      <c r="M475" t="s">
        <v>20</v>
      </c>
      <c r="N475" t="s">
        <v>61</v>
      </c>
      <c r="O475">
        <v>19863</v>
      </c>
      <c r="P475">
        <v>179</v>
      </c>
      <c r="Q475" t="s">
        <v>22</v>
      </c>
      <c r="R475" t="str">
        <f t="shared" si="8"/>
        <v>No</v>
      </c>
    </row>
    <row r="476" spans="1:18" x14ac:dyDescent="0.35">
      <c r="A476" s="1">
        <v>40308</v>
      </c>
      <c r="B476">
        <v>0</v>
      </c>
      <c r="C476" t="s">
        <v>74</v>
      </c>
      <c r="D476" t="s">
        <v>17</v>
      </c>
      <c r="E476" t="s">
        <v>18</v>
      </c>
      <c r="F476">
        <v>32</v>
      </c>
      <c r="G476" t="s">
        <v>49</v>
      </c>
      <c r="H476" t="s">
        <v>18</v>
      </c>
      <c r="I476">
        <v>33</v>
      </c>
      <c r="J476">
        <v>4</v>
      </c>
      <c r="K476">
        <v>2</v>
      </c>
      <c r="L476">
        <v>54</v>
      </c>
      <c r="M476" t="s">
        <v>20</v>
      </c>
      <c r="N476" t="s">
        <v>79</v>
      </c>
      <c r="O476">
        <v>38266</v>
      </c>
      <c r="P476">
        <v>144</v>
      </c>
      <c r="Q476" t="s">
        <v>17</v>
      </c>
      <c r="R476" t="str">
        <f t="shared" si="8"/>
        <v>No</v>
      </c>
    </row>
    <row r="477" spans="1:18" x14ac:dyDescent="0.35">
      <c r="A477" s="1">
        <v>40308</v>
      </c>
      <c r="B477">
        <v>0</v>
      </c>
      <c r="C477" t="s">
        <v>74</v>
      </c>
      <c r="D477" t="s">
        <v>25</v>
      </c>
      <c r="E477" t="s">
        <v>18</v>
      </c>
      <c r="F477">
        <v>32</v>
      </c>
      <c r="G477" t="s">
        <v>63</v>
      </c>
      <c r="H477" t="s">
        <v>18</v>
      </c>
      <c r="I477">
        <v>32</v>
      </c>
      <c r="J477">
        <v>9</v>
      </c>
      <c r="K477">
        <v>5</v>
      </c>
      <c r="L477">
        <v>54</v>
      </c>
      <c r="M477" t="s">
        <v>20</v>
      </c>
      <c r="N477" t="s">
        <v>64</v>
      </c>
      <c r="O477">
        <v>30403</v>
      </c>
      <c r="P477">
        <v>217</v>
      </c>
      <c r="Q477" t="s">
        <v>25</v>
      </c>
      <c r="R477" t="str">
        <f t="shared" si="8"/>
        <v>No</v>
      </c>
    </row>
    <row r="478" spans="1:18" x14ac:dyDescent="0.35">
      <c r="A478" s="1">
        <v>40308</v>
      </c>
      <c r="B478">
        <v>0</v>
      </c>
      <c r="C478" t="s">
        <v>74</v>
      </c>
      <c r="D478" t="s">
        <v>50</v>
      </c>
      <c r="E478" t="s">
        <v>18</v>
      </c>
      <c r="F478">
        <v>32</v>
      </c>
      <c r="G478" t="s">
        <v>68</v>
      </c>
      <c r="H478" t="s">
        <v>18</v>
      </c>
      <c r="I478">
        <v>32</v>
      </c>
      <c r="J478">
        <v>8</v>
      </c>
      <c r="K478">
        <v>2</v>
      </c>
      <c r="L478">
        <v>54</v>
      </c>
      <c r="M478" t="s">
        <v>20</v>
      </c>
      <c r="N478" t="s">
        <v>69</v>
      </c>
      <c r="O478">
        <v>24365</v>
      </c>
      <c r="P478">
        <v>171</v>
      </c>
      <c r="Q478" t="s">
        <v>50</v>
      </c>
      <c r="R478" t="str">
        <f t="shared" si="8"/>
        <v>No</v>
      </c>
    </row>
    <row r="479" spans="1:18" x14ac:dyDescent="0.35">
      <c r="A479" s="1">
        <v>40308</v>
      </c>
      <c r="B479">
        <v>0</v>
      </c>
      <c r="C479" t="s">
        <v>74</v>
      </c>
      <c r="D479" t="s">
        <v>26</v>
      </c>
      <c r="E479" t="s">
        <v>18</v>
      </c>
      <c r="F479">
        <v>32</v>
      </c>
      <c r="G479" t="s">
        <v>19</v>
      </c>
      <c r="H479" t="s">
        <v>18</v>
      </c>
      <c r="I479">
        <v>32</v>
      </c>
      <c r="J479">
        <v>3</v>
      </c>
      <c r="K479">
        <v>2</v>
      </c>
      <c r="L479">
        <v>54</v>
      </c>
      <c r="M479" t="s">
        <v>20</v>
      </c>
      <c r="N479" t="s">
        <v>21</v>
      </c>
      <c r="O479">
        <v>29313</v>
      </c>
      <c r="P479">
        <v>203</v>
      </c>
      <c r="Q479" t="s">
        <v>26</v>
      </c>
      <c r="R479" t="str">
        <f t="shared" si="8"/>
        <v>No</v>
      </c>
    </row>
    <row r="480" spans="1:18" x14ac:dyDescent="0.35">
      <c r="A480" s="1">
        <v>40308</v>
      </c>
      <c r="B480">
        <v>0</v>
      </c>
      <c r="C480" t="s">
        <v>74</v>
      </c>
      <c r="D480" t="s">
        <v>53</v>
      </c>
      <c r="E480" t="s">
        <v>18</v>
      </c>
      <c r="F480">
        <v>32</v>
      </c>
      <c r="G480" t="s">
        <v>23</v>
      </c>
      <c r="H480" t="s">
        <v>18</v>
      </c>
      <c r="I480">
        <v>32</v>
      </c>
      <c r="J480">
        <v>2</v>
      </c>
      <c r="K480">
        <v>1</v>
      </c>
      <c r="L480">
        <v>54</v>
      </c>
      <c r="M480" t="s">
        <v>20</v>
      </c>
      <c r="N480" t="s">
        <v>24</v>
      </c>
      <c r="O480">
        <v>9045</v>
      </c>
      <c r="P480">
        <v>168</v>
      </c>
      <c r="Q480" t="s">
        <v>53</v>
      </c>
      <c r="R480" t="str">
        <f t="shared" si="8"/>
        <v>No</v>
      </c>
    </row>
    <row r="481" spans="1:18" x14ac:dyDescent="0.35">
      <c r="A481" s="1">
        <v>40309</v>
      </c>
      <c r="B481">
        <v>0</v>
      </c>
      <c r="C481" t="s">
        <v>83</v>
      </c>
      <c r="D481" t="s">
        <v>44</v>
      </c>
      <c r="E481" t="s">
        <v>30</v>
      </c>
      <c r="F481">
        <v>33</v>
      </c>
      <c r="G481" t="s">
        <v>31</v>
      </c>
      <c r="H481" t="s">
        <v>30</v>
      </c>
      <c r="I481">
        <v>35</v>
      </c>
      <c r="J481">
        <v>7</v>
      </c>
      <c r="K481">
        <v>2</v>
      </c>
      <c r="L481">
        <v>54</v>
      </c>
      <c r="M481" t="s">
        <v>20</v>
      </c>
      <c r="N481" t="s">
        <v>32</v>
      </c>
      <c r="O481">
        <v>39007</v>
      </c>
      <c r="P481">
        <v>183</v>
      </c>
      <c r="Q481" t="s">
        <v>44</v>
      </c>
      <c r="R481" t="str">
        <f t="shared" si="8"/>
        <v>No</v>
      </c>
    </row>
    <row r="482" spans="1:18" x14ac:dyDescent="0.35">
      <c r="A482" s="1">
        <v>40309</v>
      </c>
      <c r="B482">
        <v>0</v>
      </c>
      <c r="C482" t="s">
        <v>83</v>
      </c>
      <c r="D482" t="s">
        <v>40</v>
      </c>
      <c r="E482" t="s">
        <v>30</v>
      </c>
      <c r="F482">
        <v>32</v>
      </c>
      <c r="G482" t="s">
        <v>43</v>
      </c>
      <c r="H482" t="s">
        <v>30</v>
      </c>
      <c r="I482">
        <v>33</v>
      </c>
      <c r="J482">
        <v>5</v>
      </c>
      <c r="K482">
        <v>1</v>
      </c>
      <c r="L482">
        <v>54</v>
      </c>
      <c r="M482" t="s">
        <v>20</v>
      </c>
      <c r="N482" t="s">
        <v>56</v>
      </c>
      <c r="O482">
        <v>12614</v>
      </c>
      <c r="P482">
        <v>152</v>
      </c>
      <c r="Q482" t="s">
        <v>40</v>
      </c>
      <c r="R482" t="str">
        <f t="shared" si="8"/>
        <v>No</v>
      </c>
    </row>
    <row r="483" spans="1:18" x14ac:dyDescent="0.35">
      <c r="A483" s="1">
        <v>40309</v>
      </c>
      <c r="B483">
        <v>0</v>
      </c>
      <c r="C483" t="s">
        <v>83</v>
      </c>
      <c r="D483" t="s">
        <v>46</v>
      </c>
      <c r="E483" t="s">
        <v>30</v>
      </c>
      <c r="F483">
        <v>35</v>
      </c>
      <c r="G483" t="s">
        <v>58</v>
      </c>
      <c r="H483" t="s">
        <v>30</v>
      </c>
      <c r="I483">
        <v>34</v>
      </c>
      <c r="J483">
        <v>1</v>
      </c>
      <c r="K483">
        <v>6</v>
      </c>
      <c r="L483">
        <v>51</v>
      </c>
      <c r="M483" t="s">
        <v>20</v>
      </c>
      <c r="N483" t="s">
        <v>86</v>
      </c>
      <c r="O483">
        <v>37609</v>
      </c>
      <c r="P483">
        <v>184</v>
      </c>
      <c r="Q483" t="s">
        <v>58</v>
      </c>
      <c r="R483" t="str">
        <f t="shared" si="8"/>
        <v>Yes</v>
      </c>
    </row>
    <row r="484" spans="1:18" x14ac:dyDescent="0.35">
      <c r="A484" s="1">
        <v>40309</v>
      </c>
      <c r="B484">
        <v>0</v>
      </c>
      <c r="C484" t="s">
        <v>83</v>
      </c>
      <c r="D484" t="s">
        <v>33</v>
      </c>
      <c r="E484" t="s">
        <v>30</v>
      </c>
      <c r="F484">
        <v>30</v>
      </c>
      <c r="G484" t="s">
        <v>37</v>
      </c>
      <c r="H484" t="s">
        <v>30</v>
      </c>
      <c r="I484">
        <v>33</v>
      </c>
      <c r="J484">
        <v>8</v>
      </c>
      <c r="K484">
        <v>2</v>
      </c>
      <c r="L484">
        <v>54</v>
      </c>
      <c r="M484" t="s">
        <v>20</v>
      </c>
      <c r="N484" t="s">
        <v>39</v>
      </c>
      <c r="O484">
        <v>15930</v>
      </c>
      <c r="P484">
        <v>166</v>
      </c>
      <c r="Q484" t="s">
        <v>33</v>
      </c>
      <c r="R484" t="str">
        <f t="shared" si="8"/>
        <v>No</v>
      </c>
    </row>
    <row r="485" spans="1:18" x14ac:dyDescent="0.35">
      <c r="A485" s="1">
        <v>40309</v>
      </c>
      <c r="B485">
        <v>0</v>
      </c>
      <c r="C485" t="s">
        <v>83</v>
      </c>
      <c r="D485" t="s">
        <v>34</v>
      </c>
      <c r="E485" t="s">
        <v>30</v>
      </c>
      <c r="F485">
        <v>33</v>
      </c>
      <c r="G485" t="s">
        <v>29</v>
      </c>
      <c r="H485" t="s">
        <v>30</v>
      </c>
      <c r="I485">
        <v>33</v>
      </c>
      <c r="J485">
        <v>5</v>
      </c>
      <c r="K485">
        <v>2</v>
      </c>
      <c r="L485">
        <v>54</v>
      </c>
      <c r="M485" t="s">
        <v>20</v>
      </c>
      <c r="N485" t="s">
        <v>76</v>
      </c>
      <c r="O485">
        <v>38764</v>
      </c>
      <c r="P485">
        <v>159</v>
      </c>
      <c r="Q485" t="s">
        <v>34</v>
      </c>
      <c r="R485" t="str">
        <f t="shared" si="8"/>
        <v>No</v>
      </c>
    </row>
    <row r="486" spans="1:18" x14ac:dyDescent="0.35">
      <c r="A486" s="1">
        <v>40309</v>
      </c>
      <c r="B486">
        <v>0</v>
      </c>
      <c r="C486" t="s">
        <v>83</v>
      </c>
      <c r="D486" t="s">
        <v>41</v>
      </c>
      <c r="E486" t="s">
        <v>30</v>
      </c>
      <c r="F486">
        <v>33</v>
      </c>
      <c r="G486" t="s">
        <v>47</v>
      </c>
      <c r="H486" t="s">
        <v>30</v>
      </c>
      <c r="I486">
        <v>33</v>
      </c>
      <c r="J486">
        <v>7</v>
      </c>
      <c r="K486">
        <v>6</v>
      </c>
      <c r="L486">
        <v>78</v>
      </c>
      <c r="M486" t="s">
        <v>20</v>
      </c>
      <c r="N486" t="s">
        <v>48</v>
      </c>
      <c r="O486">
        <v>15474</v>
      </c>
      <c r="P486">
        <v>248</v>
      </c>
      <c r="Q486" t="s">
        <v>41</v>
      </c>
      <c r="R486" t="str">
        <f t="shared" si="8"/>
        <v>No</v>
      </c>
    </row>
    <row r="487" spans="1:18" x14ac:dyDescent="0.35">
      <c r="A487" s="1">
        <v>40309</v>
      </c>
      <c r="B487">
        <v>0</v>
      </c>
      <c r="C487" t="s">
        <v>83</v>
      </c>
      <c r="D487" t="s">
        <v>22</v>
      </c>
      <c r="E487" t="s">
        <v>18</v>
      </c>
      <c r="F487">
        <v>33</v>
      </c>
      <c r="G487" t="s">
        <v>60</v>
      </c>
      <c r="H487" t="s">
        <v>18</v>
      </c>
      <c r="I487">
        <v>34</v>
      </c>
      <c r="J487">
        <v>13</v>
      </c>
      <c r="K487">
        <v>3</v>
      </c>
      <c r="L487">
        <v>54</v>
      </c>
      <c r="M487" t="s">
        <v>20</v>
      </c>
      <c r="N487" t="s">
        <v>61</v>
      </c>
      <c r="O487">
        <v>21030</v>
      </c>
      <c r="P487">
        <v>200</v>
      </c>
      <c r="Q487" t="s">
        <v>22</v>
      </c>
      <c r="R487" t="str">
        <f t="shared" si="8"/>
        <v>No</v>
      </c>
    </row>
    <row r="488" spans="1:18" x14ac:dyDescent="0.35">
      <c r="A488" s="1">
        <v>40309</v>
      </c>
      <c r="B488">
        <v>0</v>
      </c>
      <c r="C488" t="s">
        <v>83</v>
      </c>
      <c r="D488" t="s">
        <v>17</v>
      </c>
      <c r="E488" t="s">
        <v>18</v>
      </c>
      <c r="F488">
        <v>33</v>
      </c>
      <c r="G488" t="s">
        <v>49</v>
      </c>
      <c r="H488" t="s">
        <v>18</v>
      </c>
      <c r="I488">
        <v>34</v>
      </c>
      <c r="J488">
        <v>3</v>
      </c>
      <c r="K488">
        <v>2</v>
      </c>
      <c r="L488">
        <v>54</v>
      </c>
      <c r="M488" t="s">
        <v>20</v>
      </c>
      <c r="N488" t="s">
        <v>79</v>
      </c>
      <c r="O488">
        <v>38007</v>
      </c>
      <c r="P488">
        <v>151</v>
      </c>
      <c r="Q488" t="s">
        <v>17</v>
      </c>
      <c r="R488" t="str">
        <f t="shared" si="8"/>
        <v>No</v>
      </c>
    </row>
    <row r="489" spans="1:18" x14ac:dyDescent="0.35">
      <c r="A489" s="1">
        <v>40309</v>
      </c>
      <c r="B489">
        <v>0</v>
      </c>
      <c r="C489" t="s">
        <v>83</v>
      </c>
      <c r="D489" t="s">
        <v>50</v>
      </c>
      <c r="E489" t="s">
        <v>18</v>
      </c>
      <c r="F489">
        <v>33</v>
      </c>
      <c r="G489" t="s">
        <v>68</v>
      </c>
      <c r="H489" t="s">
        <v>18</v>
      </c>
      <c r="I489">
        <v>33</v>
      </c>
      <c r="J489">
        <v>11</v>
      </c>
      <c r="K489">
        <v>3</v>
      </c>
      <c r="L489">
        <v>54</v>
      </c>
      <c r="M489" t="s">
        <v>20</v>
      </c>
      <c r="N489" t="s">
        <v>69</v>
      </c>
      <c r="O489">
        <v>30678</v>
      </c>
      <c r="P489">
        <v>211</v>
      </c>
      <c r="Q489" t="s">
        <v>50</v>
      </c>
      <c r="R489" t="str">
        <f t="shared" si="8"/>
        <v>No</v>
      </c>
    </row>
    <row r="490" spans="1:18" x14ac:dyDescent="0.35">
      <c r="A490" s="1">
        <v>40309</v>
      </c>
      <c r="B490">
        <v>0</v>
      </c>
      <c r="C490" t="s">
        <v>83</v>
      </c>
      <c r="D490" t="s">
        <v>26</v>
      </c>
      <c r="E490" t="s">
        <v>18</v>
      </c>
      <c r="F490">
        <v>33</v>
      </c>
      <c r="G490" t="s">
        <v>19</v>
      </c>
      <c r="H490" t="s">
        <v>18</v>
      </c>
      <c r="I490">
        <v>33</v>
      </c>
      <c r="J490">
        <v>6</v>
      </c>
      <c r="K490">
        <v>8</v>
      </c>
      <c r="L490">
        <v>51</v>
      </c>
      <c r="M490" t="s">
        <v>20</v>
      </c>
      <c r="N490" t="s">
        <v>21</v>
      </c>
      <c r="O490">
        <v>31606</v>
      </c>
      <c r="P490">
        <v>203</v>
      </c>
      <c r="Q490" t="s">
        <v>19</v>
      </c>
      <c r="R490" t="str">
        <f t="shared" si="8"/>
        <v>Yes</v>
      </c>
    </row>
    <row r="491" spans="1:18" x14ac:dyDescent="0.35">
      <c r="A491" s="1">
        <v>40309</v>
      </c>
      <c r="B491">
        <v>0</v>
      </c>
      <c r="C491" t="s">
        <v>83</v>
      </c>
      <c r="D491" t="s">
        <v>53</v>
      </c>
      <c r="E491" t="s">
        <v>18</v>
      </c>
      <c r="F491">
        <v>33</v>
      </c>
      <c r="G491" t="s">
        <v>23</v>
      </c>
      <c r="H491" t="s">
        <v>18</v>
      </c>
      <c r="I491">
        <v>33</v>
      </c>
      <c r="J491">
        <v>9</v>
      </c>
      <c r="K491">
        <v>0</v>
      </c>
      <c r="L491">
        <v>54</v>
      </c>
      <c r="M491" t="s">
        <v>20</v>
      </c>
      <c r="N491" t="s">
        <v>24</v>
      </c>
      <c r="O491">
        <v>9027</v>
      </c>
      <c r="P491">
        <v>160</v>
      </c>
      <c r="Q491" t="s">
        <v>53</v>
      </c>
      <c r="R491" t="str">
        <f t="shared" si="8"/>
        <v>No</v>
      </c>
    </row>
    <row r="492" spans="1:18" x14ac:dyDescent="0.35">
      <c r="A492" s="1">
        <v>40309</v>
      </c>
      <c r="B492">
        <v>0</v>
      </c>
      <c r="C492" t="s">
        <v>83</v>
      </c>
      <c r="D492" t="s">
        <v>62</v>
      </c>
      <c r="E492" t="s">
        <v>18</v>
      </c>
      <c r="F492">
        <v>32</v>
      </c>
      <c r="G492" t="s">
        <v>70</v>
      </c>
      <c r="H492" t="s">
        <v>18</v>
      </c>
      <c r="I492">
        <v>31</v>
      </c>
      <c r="J492">
        <v>3</v>
      </c>
      <c r="K492">
        <v>2</v>
      </c>
      <c r="L492">
        <v>54</v>
      </c>
      <c r="M492" t="s">
        <v>20</v>
      </c>
      <c r="N492" t="s">
        <v>71</v>
      </c>
      <c r="O492">
        <v>33249</v>
      </c>
      <c r="P492">
        <v>205</v>
      </c>
      <c r="Q492" t="s">
        <v>62</v>
      </c>
      <c r="R492" t="str">
        <f t="shared" si="8"/>
        <v>No</v>
      </c>
    </row>
    <row r="493" spans="1:18" x14ac:dyDescent="0.35">
      <c r="A493" s="1">
        <v>40309</v>
      </c>
      <c r="B493">
        <v>0</v>
      </c>
      <c r="C493" t="s">
        <v>83</v>
      </c>
      <c r="D493" t="s">
        <v>66</v>
      </c>
      <c r="E493" t="s">
        <v>18</v>
      </c>
      <c r="F493">
        <v>32</v>
      </c>
      <c r="G493" t="s">
        <v>52</v>
      </c>
      <c r="H493" t="s">
        <v>18</v>
      </c>
      <c r="I493">
        <v>33</v>
      </c>
      <c r="J493">
        <v>6</v>
      </c>
      <c r="K493">
        <v>3</v>
      </c>
      <c r="L493">
        <v>54</v>
      </c>
      <c r="M493" t="s">
        <v>20</v>
      </c>
      <c r="N493" t="s">
        <v>82</v>
      </c>
      <c r="O493">
        <v>35875</v>
      </c>
      <c r="P493">
        <v>169</v>
      </c>
      <c r="Q493" t="s">
        <v>66</v>
      </c>
      <c r="R493" t="str">
        <f t="shared" si="8"/>
        <v>No</v>
      </c>
    </row>
    <row r="494" spans="1:18" x14ac:dyDescent="0.35">
      <c r="A494" s="1">
        <v>40310</v>
      </c>
      <c r="B494">
        <v>0</v>
      </c>
      <c r="C494" t="s">
        <v>16</v>
      </c>
      <c r="D494" t="s">
        <v>44</v>
      </c>
      <c r="E494" t="s">
        <v>30</v>
      </c>
      <c r="F494">
        <v>34</v>
      </c>
      <c r="G494" t="s">
        <v>31</v>
      </c>
      <c r="H494" t="s">
        <v>30</v>
      </c>
      <c r="I494">
        <v>36</v>
      </c>
      <c r="J494">
        <v>4</v>
      </c>
      <c r="K494">
        <v>3</v>
      </c>
      <c r="L494">
        <v>54</v>
      </c>
      <c r="M494" t="s">
        <v>38</v>
      </c>
      <c r="N494" t="s">
        <v>32</v>
      </c>
      <c r="O494">
        <v>35700</v>
      </c>
      <c r="P494">
        <v>189</v>
      </c>
      <c r="Q494" t="s">
        <v>44</v>
      </c>
      <c r="R494" t="str">
        <f t="shared" si="8"/>
        <v>No</v>
      </c>
    </row>
    <row r="495" spans="1:18" x14ac:dyDescent="0.35">
      <c r="A495" s="1">
        <v>40310</v>
      </c>
      <c r="B495">
        <v>0</v>
      </c>
      <c r="C495" t="s">
        <v>16</v>
      </c>
      <c r="D495" t="s">
        <v>40</v>
      </c>
      <c r="E495" t="s">
        <v>30</v>
      </c>
      <c r="F495">
        <v>33</v>
      </c>
      <c r="G495" t="s">
        <v>43</v>
      </c>
      <c r="H495" t="s">
        <v>30</v>
      </c>
      <c r="I495">
        <v>34</v>
      </c>
      <c r="J495">
        <v>2</v>
      </c>
      <c r="K495">
        <v>5</v>
      </c>
      <c r="L495">
        <v>51</v>
      </c>
      <c r="M495" t="s">
        <v>20</v>
      </c>
      <c r="N495" t="s">
        <v>56</v>
      </c>
      <c r="O495">
        <v>11448</v>
      </c>
      <c r="P495">
        <v>168</v>
      </c>
      <c r="Q495" t="s">
        <v>43</v>
      </c>
      <c r="R495" t="str">
        <f t="shared" si="8"/>
        <v>Yes</v>
      </c>
    </row>
    <row r="496" spans="1:18" x14ac:dyDescent="0.35">
      <c r="A496" s="1">
        <v>40310</v>
      </c>
      <c r="B496">
        <v>0</v>
      </c>
      <c r="C496" t="s">
        <v>16</v>
      </c>
      <c r="D496" t="s">
        <v>46</v>
      </c>
      <c r="E496" t="s">
        <v>30</v>
      </c>
      <c r="F496">
        <v>36</v>
      </c>
      <c r="G496" t="s">
        <v>58</v>
      </c>
      <c r="H496" t="s">
        <v>30</v>
      </c>
      <c r="I496">
        <v>35</v>
      </c>
      <c r="J496">
        <v>3</v>
      </c>
      <c r="K496">
        <v>2</v>
      </c>
      <c r="L496">
        <v>54</v>
      </c>
      <c r="M496" t="s">
        <v>38</v>
      </c>
      <c r="N496" t="s">
        <v>86</v>
      </c>
      <c r="O496">
        <v>37198</v>
      </c>
      <c r="P496">
        <v>152</v>
      </c>
      <c r="Q496" t="s">
        <v>46</v>
      </c>
      <c r="R496" t="str">
        <f t="shared" si="8"/>
        <v>No</v>
      </c>
    </row>
    <row r="497" spans="1:18" x14ac:dyDescent="0.35">
      <c r="A497" s="1">
        <v>40310</v>
      </c>
      <c r="B497">
        <v>1</v>
      </c>
      <c r="C497" t="s">
        <v>16</v>
      </c>
      <c r="D497" t="s">
        <v>59</v>
      </c>
      <c r="E497" t="s">
        <v>30</v>
      </c>
      <c r="F497">
        <v>32</v>
      </c>
      <c r="G497" t="s">
        <v>36</v>
      </c>
      <c r="H497" t="s">
        <v>30</v>
      </c>
      <c r="I497">
        <v>33</v>
      </c>
      <c r="J497">
        <v>0</v>
      </c>
      <c r="K497">
        <v>2</v>
      </c>
      <c r="L497">
        <v>51</v>
      </c>
      <c r="M497" t="s">
        <v>38</v>
      </c>
      <c r="N497" t="s">
        <v>57</v>
      </c>
      <c r="O497">
        <v>27376</v>
      </c>
      <c r="P497">
        <v>135</v>
      </c>
      <c r="Q497" t="s">
        <v>36</v>
      </c>
      <c r="R497" t="str">
        <f t="shared" si="8"/>
        <v>Yes</v>
      </c>
    </row>
    <row r="498" spans="1:18" x14ac:dyDescent="0.35">
      <c r="A498" s="1">
        <v>40310</v>
      </c>
      <c r="B498">
        <v>2</v>
      </c>
      <c r="C498" t="s">
        <v>16</v>
      </c>
      <c r="D498" t="s">
        <v>59</v>
      </c>
      <c r="E498" t="s">
        <v>30</v>
      </c>
      <c r="F498">
        <v>33</v>
      </c>
      <c r="G498" t="s">
        <v>36</v>
      </c>
      <c r="H498" t="s">
        <v>30</v>
      </c>
      <c r="I498">
        <v>34</v>
      </c>
      <c r="J498">
        <v>8</v>
      </c>
      <c r="K498">
        <v>0</v>
      </c>
      <c r="L498">
        <v>54</v>
      </c>
      <c r="M498" t="s">
        <v>20</v>
      </c>
      <c r="N498" t="s">
        <v>57</v>
      </c>
      <c r="O498">
        <v>28514</v>
      </c>
      <c r="P498">
        <v>186</v>
      </c>
      <c r="Q498" t="s">
        <v>59</v>
      </c>
      <c r="R498" t="str">
        <f t="shared" si="8"/>
        <v>No</v>
      </c>
    </row>
    <row r="499" spans="1:18" x14ac:dyDescent="0.35">
      <c r="A499" s="1">
        <v>40310</v>
      </c>
      <c r="B499">
        <v>0</v>
      </c>
      <c r="C499" t="s">
        <v>16</v>
      </c>
      <c r="D499" t="s">
        <v>33</v>
      </c>
      <c r="E499" t="s">
        <v>30</v>
      </c>
      <c r="F499">
        <v>31</v>
      </c>
      <c r="G499" t="s">
        <v>37</v>
      </c>
      <c r="H499" t="s">
        <v>30</v>
      </c>
      <c r="I499">
        <v>34</v>
      </c>
      <c r="J499">
        <v>4</v>
      </c>
      <c r="K499">
        <v>0</v>
      </c>
      <c r="L499">
        <v>54</v>
      </c>
      <c r="M499" t="s">
        <v>20</v>
      </c>
      <c r="N499" t="s">
        <v>39</v>
      </c>
      <c r="O499">
        <v>11803</v>
      </c>
      <c r="P499">
        <v>163</v>
      </c>
      <c r="Q499" t="s">
        <v>33</v>
      </c>
      <c r="R499" t="str">
        <f t="shared" si="8"/>
        <v>No</v>
      </c>
    </row>
    <row r="500" spans="1:18" x14ac:dyDescent="0.35">
      <c r="A500" s="1">
        <v>40310</v>
      </c>
      <c r="B500">
        <v>0</v>
      </c>
      <c r="C500" t="s">
        <v>16</v>
      </c>
      <c r="D500" t="s">
        <v>34</v>
      </c>
      <c r="E500" t="s">
        <v>30</v>
      </c>
      <c r="F500">
        <v>34</v>
      </c>
      <c r="G500" t="s">
        <v>29</v>
      </c>
      <c r="H500" t="s">
        <v>30</v>
      </c>
      <c r="I500">
        <v>34</v>
      </c>
      <c r="J500">
        <v>2</v>
      </c>
      <c r="K500">
        <v>3</v>
      </c>
      <c r="L500">
        <v>51</v>
      </c>
      <c r="M500" t="s">
        <v>38</v>
      </c>
      <c r="N500" t="s">
        <v>76</v>
      </c>
      <c r="O500">
        <v>38895</v>
      </c>
      <c r="P500">
        <v>142</v>
      </c>
      <c r="Q500" t="s">
        <v>29</v>
      </c>
      <c r="R500" t="str">
        <f t="shared" si="8"/>
        <v>Yes</v>
      </c>
    </row>
    <row r="501" spans="1:18" x14ac:dyDescent="0.35">
      <c r="A501" s="1">
        <v>40310</v>
      </c>
      <c r="B501">
        <v>0</v>
      </c>
      <c r="C501" t="s">
        <v>16</v>
      </c>
      <c r="D501" t="s">
        <v>41</v>
      </c>
      <c r="E501" t="s">
        <v>30</v>
      </c>
      <c r="F501">
        <v>34</v>
      </c>
      <c r="G501" t="s">
        <v>47</v>
      </c>
      <c r="H501" t="s">
        <v>30</v>
      </c>
      <c r="I501">
        <v>34</v>
      </c>
      <c r="J501">
        <v>1</v>
      </c>
      <c r="K501">
        <v>10</v>
      </c>
      <c r="L501">
        <v>51</v>
      </c>
      <c r="M501" t="s">
        <v>20</v>
      </c>
      <c r="N501" t="s">
        <v>48</v>
      </c>
      <c r="O501">
        <v>26625</v>
      </c>
      <c r="P501">
        <v>188</v>
      </c>
      <c r="Q501" t="s">
        <v>47</v>
      </c>
      <c r="R501" t="str">
        <f t="shared" si="8"/>
        <v>Yes</v>
      </c>
    </row>
    <row r="502" spans="1:18" x14ac:dyDescent="0.35">
      <c r="A502" s="1">
        <v>40310</v>
      </c>
      <c r="B502">
        <v>0</v>
      </c>
      <c r="C502" t="s">
        <v>16</v>
      </c>
      <c r="D502" t="s">
        <v>22</v>
      </c>
      <c r="E502" t="s">
        <v>18</v>
      </c>
      <c r="F502">
        <v>34</v>
      </c>
      <c r="G502" t="s">
        <v>60</v>
      </c>
      <c r="H502" t="s">
        <v>18</v>
      </c>
      <c r="I502">
        <v>35</v>
      </c>
      <c r="J502">
        <v>6</v>
      </c>
      <c r="K502">
        <v>3</v>
      </c>
      <c r="L502">
        <v>54</v>
      </c>
      <c r="M502" t="s">
        <v>20</v>
      </c>
      <c r="N502" t="s">
        <v>61</v>
      </c>
      <c r="O502">
        <v>22714</v>
      </c>
      <c r="P502">
        <v>193</v>
      </c>
      <c r="Q502" t="s">
        <v>22</v>
      </c>
      <c r="R502" t="str">
        <f t="shared" si="8"/>
        <v>No</v>
      </c>
    </row>
    <row r="503" spans="1:18" x14ac:dyDescent="0.35">
      <c r="A503" s="1">
        <v>40310</v>
      </c>
      <c r="B503">
        <v>0</v>
      </c>
      <c r="C503" t="s">
        <v>16</v>
      </c>
      <c r="D503" t="s">
        <v>17</v>
      </c>
      <c r="E503" t="s">
        <v>18</v>
      </c>
      <c r="F503">
        <v>34</v>
      </c>
      <c r="G503" t="s">
        <v>49</v>
      </c>
      <c r="H503" t="s">
        <v>18</v>
      </c>
      <c r="I503">
        <v>35</v>
      </c>
      <c r="J503">
        <v>3</v>
      </c>
      <c r="K503">
        <v>4</v>
      </c>
      <c r="L503">
        <v>51</v>
      </c>
      <c r="M503" t="s">
        <v>38</v>
      </c>
      <c r="N503" t="s">
        <v>79</v>
      </c>
      <c r="O503">
        <v>38637</v>
      </c>
      <c r="P503">
        <v>156</v>
      </c>
      <c r="Q503" t="s">
        <v>49</v>
      </c>
      <c r="R503" t="str">
        <f t="shared" si="8"/>
        <v>Yes</v>
      </c>
    </row>
    <row r="504" spans="1:18" x14ac:dyDescent="0.35">
      <c r="A504" s="1">
        <v>40310</v>
      </c>
      <c r="B504">
        <v>0</v>
      </c>
      <c r="C504" t="s">
        <v>16</v>
      </c>
      <c r="D504" t="s">
        <v>25</v>
      </c>
      <c r="E504" t="s">
        <v>18</v>
      </c>
      <c r="F504">
        <v>33</v>
      </c>
      <c r="G504" t="s">
        <v>63</v>
      </c>
      <c r="H504" t="s">
        <v>18</v>
      </c>
      <c r="I504">
        <v>33</v>
      </c>
      <c r="J504">
        <v>3</v>
      </c>
      <c r="K504">
        <v>4</v>
      </c>
      <c r="L504">
        <v>57</v>
      </c>
      <c r="M504" t="s">
        <v>38</v>
      </c>
      <c r="N504" t="s">
        <v>64</v>
      </c>
      <c r="O504">
        <v>23475</v>
      </c>
      <c r="P504">
        <v>196</v>
      </c>
      <c r="Q504" t="s">
        <v>63</v>
      </c>
      <c r="R504" t="str">
        <f t="shared" si="8"/>
        <v>Yes</v>
      </c>
    </row>
    <row r="505" spans="1:18" x14ac:dyDescent="0.35">
      <c r="A505" s="1">
        <v>40310</v>
      </c>
      <c r="B505">
        <v>0</v>
      </c>
      <c r="C505" t="s">
        <v>16</v>
      </c>
      <c r="D505" t="s">
        <v>50</v>
      </c>
      <c r="E505" t="s">
        <v>18</v>
      </c>
      <c r="F505">
        <v>34</v>
      </c>
      <c r="G505" t="s">
        <v>68</v>
      </c>
      <c r="H505" t="s">
        <v>18</v>
      </c>
      <c r="I505">
        <v>34</v>
      </c>
      <c r="J505">
        <v>9</v>
      </c>
      <c r="K505">
        <v>2</v>
      </c>
      <c r="L505">
        <v>54</v>
      </c>
      <c r="M505" t="s">
        <v>38</v>
      </c>
      <c r="N505" t="s">
        <v>69</v>
      </c>
      <c r="O505">
        <v>30175</v>
      </c>
      <c r="P505">
        <v>189</v>
      </c>
      <c r="Q505" t="s">
        <v>50</v>
      </c>
      <c r="R505" t="str">
        <f t="shared" si="8"/>
        <v>No</v>
      </c>
    </row>
    <row r="506" spans="1:18" x14ac:dyDescent="0.35">
      <c r="A506" s="1">
        <v>40310</v>
      </c>
      <c r="B506">
        <v>0</v>
      </c>
      <c r="C506" t="s">
        <v>16</v>
      </c>
      <c r="D506" t="s">
        <v>26</v>
      </c>
      <c r="E506" t="s">
        <v>18</v>
      </c>
      <c r="F506">
        <v>34</v>
      </c>
      <c r="G506" t="s">
        <v>19</v>
      </c>
      <c r="H506" t="s">
        <v>18</v>
      </c>
      <c r="I506">
        <v>34</v>
      </c>
      <c r="J506">
        <v>6</v>
      </c>
      <c r="K506">
        <v>4</v>
      </c>
      <c r="L506">
        <v>54</v>
      </c>
      <c r="M506" t="s">
        <v>38</v>
      </c>
      <c r="N506" t="s">
        <v>21</v>
      </c>
      <c r="O506">
        <v>33024</v>
      </c>
      <c r="P506">
        <v>213</v>
      </c>
      <c r="Q506" t="s">
        <v>26</v>
      </c>
      <c r="R506" t="str">
        <f t="shared" si="8"/>
        <v>No</v>
      </c>
    </row>
    <row r="507" spans="1:18" x14ac:dyDescent="0.35">
      <c r="A507" s="1">
        <v>40310</v>
      </c>
      <c r="B507">
        <v>0</v>
      </c>
      <c r="C507" t="s">
        <v>16</v>
      </c>
      <c r="D507" t="s">
        <v>53</v>
      </c>
      <c r="E507" t="s">
        <v>18</v>
      </c>
      <c r="F507">
        <v>34</v>
      </c>
      <c r="G507" t="s">
        <v>23</v>
      </c>
      <c r="H507" t="s">
        <v>18</v>
      </c>
      <c r="I507">
        <v>34</v>
      </c>
      <c r="J507">
        <v>5</v>
      </c>
      <c r="K507">
        <v>0</v>
      </c>
      <c r="L507">
        <v>54</v>
      </c>
      <c r="M507" t="s">
        <v>38</v>
      </c>
      <c r="N507" t="s">
        <v>24</v>
      </c>
      <c r="O507">
        <v>20064</v>
      </c>
      <c r="P507">
        <v>139</v>
      </c>
      <c r="Q507" t="s">
        <v>53</v>
      </c>
      <c r="R507" t="str">
        <f t="shared" si="8"/>
        <v>No</v>
      </c>
    </row>
    <row r="508" spans="1:18" x14ac:dyDescent="0.35">
      <c r="A508" s="1">
        <v>40310</v>
      </c>
      <c r="B508">
        <v>0</v>
      </c>
      <c r="C508" t="s">
        <v>16</v>
      </c>
      <c r="D508" t="s">
        <v>62</v>
      </c>
      <c r="E508" t="s">
        <v>18</v>
      </c>
      <c r="F508">
        <v>33</v>
      </c>
      <c r="G508" t="s">
        <v>70</v>
      </c>
      <c r="H508" t="s">
        <v>18</v>
      </c>
      <c r="I508">
        <v>32</v>
      </c>
      <c r="J508">
        <v>5</v>
      </c>
      <c r="K508">
        <v>2</v>
      </c>
      <c r="L508">
        <v>54</v>
      </c>
      <c r="M508" t="s">
        <v>20</v>
      </c>
      <c r="N508" t="s">
        <v>71</v>
      </c>
      <c r="O508">
        <v>30924</v>
      </c>
      <c r="P508">
        <v>149</v>
      </c>
      <c r="Q508" t="s">
        <v>62</v>
      </c>
      <c r="R508" t="str">
        <f t="shared" si="8"/>
        <v>No</v>
      </c>
    </row>
    <row r="509" spans="1:18" x14ac:dyDescent="0.35">
      <c r="A509" s="1">
        <v>40310</v>
      </c>
      <c r="B509">
        <v>0</v>
      </c>
      <c r="C509" t="s">
        <v>16</v>
      </c>
      <c r="D509" t="s">
        <v>66</v>
      </c>
      <c r="E509" t="s">
        <v>18</v>
      </c>
      <c r="F509">
        <v>33</v>
      </c>
      <c r="G509" t="s">
        <v>52</v>
      </c>
      <c r="H509" t="s">
        <v>18</v>
      </c>
      <c r="I509">
        <v>34</v>
      </c>
      <c r="J509">
        <v>9</v>
      </c>
      <c r="K509">
        <v>6</v>
      </c>
      <c r="L509">
        <v>54</v>
      </c>
      <c r="M509" t="s">
        <v>20</v>
      </c>
      <c r="N509" t="s">
        <v>82</v>
      </c>
      <c r="O509">
        <v>36342</v>
      </c>
      <c r="P509">
        <v>168</v>
      </c>
      <c r="Q509" t="s">
        <v>66</v>
      </c>
      <c r="R509" t="str">
        <f t="shared" si="8"/>
        <v>No</v>
      </c>
    </row>
    <row r="510" spans="1:18" x14ac:dyDescent="0.35">
      <c r="A510" s="1">
        <v>40311</v>
      </c>
      <c r="B510">
        <v>0</v>
      </c>
      <c r="C510" t="s">
        <v>28</v>
      </c>
      <c r="D510" t="s">
        <v>40</v>
      </c>
      <c r="E510" t="s">
        <v>30</v>
      </c>
      <c r="F510">
        <v>34</v>
      </c>
      <c r="G510" t="s">
        <v>43</v>
      </c>
      <c r="H510" t="s">
        <v>30</v>
      </c>
      <c r="I510">
        <v>35</v>
      </c>
      <c r="J510">
        <v>5</v>
      </c>
      <c r="K510">
        <v>6</v>
      </c>
      <c r="L510">
        <v>51</v>
      </c>
      <c r="M510" t="s">
        <v>38</v>
      </c>
      <c r="N510" t="s">
        <v>56</v>
      </c>
      <c r="O510">
        <v>20938</v>
      </c>
      <c r="P510">
        <v>152</v>
      </c>
      <c r="Q510" t="s">
        <v>43</v>
      </c>
      <c r="R510" t="str">
        <f t="shared" si="8"/>
        <v>Yes</v>
      </c>
    </row>
    <row r="511" spans="1:18" x14ac:dyDescent="0.35">
      <c r="A511" s="1">
        <v>40311</v>
      </c>
      <c r="B511">
        <v>0</v>
      </c>
      <c r="C511" t="s">
        <v>28</v>
      </c>
      <c r="D511" t="s">
        <v>59</v>
      </c>
      <c r="E511" t="s">
        <v>30</v>
      </c>
      <c r="F511">
        <v>34</v>
      </c>
      <c r="G511" t="s">
        <v>36</v>
      </c>
      <c r="H511" t="s">
        <v>30</v>
      </c>
      <c r="I511">
        <v>35</v>
      </c>
      <c r="J511">
        <v>0</v>
      </c>
      <c r="K511">
        <v>6</v>
      </c>
      <c r="L511">
        <v>51</v>
      </c>
      <c r="M511" t="s">
        <v>38</v>
      </c>
      <c r="N511" t="s">
        <v>57</v>
      </c>
      <c r="O511">
        <v>31130</v>
      </c>
      <c r="P511">
        <v>158</v>
      </c>
      <c r="Q511" t="s">
        <v>36</v>
      </c>
      <c r="R511" t="str">
        <f t="shared" si="8"/>
        <v>Yes</v>
      </c>
    </row>
    <row r="512" spans="1:18" x14ac:dyDescent="0.35">
      <c r="A512" s="1">
        <v>40311</v>
      </c>
      <c r="B512">
        <v>0</v>
      </c>
      <c r="C512" t="s">
        <v>28</v>
      </c>
      <c r="D512" t="s">
        <v>33</v>
      </c>
      <c r="E512" t="s">
        <v>30</v>
      </c>
      <c r="F512">
        <v>32</v>
      </c>
      <c r="G512" t="s">
        <v>37</v>
      </c>
      <c r="H512" t="s">
        <v>30</v>
      </c>
      <c r="I512">
        <v>35</v>
      </c>
      <c r="J512">
        <v>4</v>
      </c>
      <c r="K512">
        <v>6</v>
      </c>
      <c r="L512">
        <v>51</v>
      </c>
      <c r="M512" t="s">
        <v>38</v>
      </c>
      <c r="N512" t="s">
        <v>39</v>
      </c>
      <c r="O512">
        <v>28361</v>
      </c>
      <c r="P512">
        <v>166</v>
      </c>
      <c r="Q512" t="s">
        <v>37</v>
      </c>
      <c r="R512" t="str">
        <f t="shared" si="8"/>
        <v>Yes</v>
      </c>
    </row>
    <row r="513" spans="1:18" x14ac:dyDescent="0.35">
      <c r="A513" s="1">
        <v>40311</v>
      </c>
      <c r="B513">
        <v>0</v>
      </c>
      <c r="C513" t="s">
        <v>28</v>
      </c>
      <c r="D513" t="s">
        <v>41</v>
      </c>
      <c r="E513" t="s">
        <v>30</v>
      </c>
      <c r="F513">
        <v>35</v>
      </c>
      <c r="G513" t="s">
        <v>47</v>
      </c>
      <c r="H513" t="s">
        <v>30</v>
      </c>
      <c r="I513">
        <v>35</v>
      </c>
      <c r="J513">
        <v>1</v>
      </c>
      <c r="K513">
        <v>2</v>
      </c>
      <c r="L513">
        <v>70</v>
      </c>
      <c r="M513" t="s">
        <v>38</v>
      </c>
      <c r="N513" t="s">
        <v>48</v>
      </c>
      <c r="O513">
        <v>27507</v>
      </c>
      <c r="P513">
        <v>231</v>
      </c>
      <c r="Q513" t="s">
        <v>47</v>
      </c>
      <c r="R513" t="str">
        <f t="shared" si="8"/>
        <v>Yes</v>
      </c>
    </row>
    <row r="514" spans="1:18" x14ac:dyDescent="0.35">
      <c r="A514" s="1">
        <v>40311</v>
      </c>
      <c r="B514">
        <v>0</v>
      </c>
      <c r="C514" t="s">
        <v>28</v>
      </c>
      <c r="D514" t="s">
        <v>26</v>
      </c>
      <c r="E514" t="s">
        <v>18</v>
      </c>
      <c r="F514">
        <v>35</v>
      </c>
      <c r="G514" t="s">
        <v>63</v>
      </c>
      <c r="H514" t="s">
        <v>18</v>
      </c>
      <c r="I514">
        <v>34</v>
      </c>
      <c r="J514">
        <v>14</v>
      </c>
      <c r="K514">
        <v>6</v>
      </c>
      <c r="L514">
        <v>48</v>
      </c>
      <c r="M514" t="s">
        <v>20</v>
      </c>
      <c r="N514" t="s">
        <v>64</v>
      </c>
      <c r="O514">
        <v>20795</v>
      </c>
      <c r="P514">
        <v>195</v>
      </c>
      <c r="Q514" t="s">
        <v>26</v>
      </c>
      <c r="R514" t="str">
        <f t="shared" si="8"/>
        <v>No</v>
      </c>
    </row>
    <row r="515" spans="1:18" x14ac:dyDescent="0.35">
      <c r="A515" s="1">
        <v>40311</v>
      </c>
      <c r="B515">
        <v>0</v>
      </c>
      <c r="C515" t="s">
        <v>28</v>
      </c>
      <c r="D515" t="s">
        <v>19</v>
      </c>
      <c r="E515" t="s">
        <v>18</v>
      </c>
      <c r="F515">
        <v>35</v>
      </c>
      <c r="G515" t="s">
        <v>17</v>
      </c>
      <c r="H515" t="s">
        <v>18</v>
      </c>
      <c r="I515">
        <v>35</v>
      </c>
      <c r="J515">
        <v>1</v>
      </c>
      <c r="K515">
        <v>2</v>
      </c>
      <c r="L515">
        <v>52</v>
      </c>
      <c r="M515" t="s">
        <v>20</v>
      </c>
      <c r="N515" t="s">
        <v>65</v>
      </c>
      <c r="O515">
        <v>16229</v>
      </c>
      <c r="P515">
        <v>148</v>
      </c>
      <c r="Q515" t="s">
        <v>17</v>
      </c>
      <c r="R515" t="str">
        <f t="shared" ref="R515:R578" si="9">IF(K515&gt;J515,"Yes","No")</f>
        <v>Yes</v>
      </c>
    </row>
    <row r="516" spans="1:18" x14ac:dyDescent="0.35">
      <c r="A516" s="1">
        <v>40311</v>
      </c>
      <c r="B516">
        <v>0</v>
      </c>
      <c r="C516" t="s">
        <v>28</v>
      </c>
      <c r="D516" t="s">
        <v>62</v>
      </c>
      <c r="E516" t="s">
        <v>18</v>
      </c>
      <c r="F516">
        <v>34</v>
      </c>
      <c r="G516" t="s">
        <v>70</v>
      </c>
      <c r="H516" t="s">
        <v>18</v>
      </c>
      <c r="I516">
        <v>33</v>
      </c>
      <c r="J516">
        <v>1</v>
      </c>
      <c r="K516">
        <v>0</v>
      </c>
      <c r="L516">
        <v>54</v>
      </c>
      <c r="M516" t="s">
        <v>38</v>
      </c>
      <c r="N516" t="s">
        <v>71</v>
      </c>
      <c r="O516">
        <v>32861</v>
      </c>
      <c r="P516">
        <v>126</v>
      </c>
      <c r="Q516" t="s">
        <v>62</v>
      </c>
      <c r="R516" t="str">
        <f t="shared" si="9"/>
        <v>No</v>
      </c>
    </row>
    <row r="517" spans="1:18" x14ac:dyDescent="0.35">
      <c r="A517" s="1">
        <v>40311</v>
      </c>
      <c r="B517">
        <v>0</v>
      </c>
      <c r="C517" t="s">
        <v>28</v>
      </c>
      <c r="D517" t="s">
        <v>66</v>
      </c>
      <c r="E517" t="s">
        <v>18</v>
      </c>
      <c r="F517">
        <v>34</v>
      </c>
      <c r="G517" t="s">
        <v>52</v>
      </c>
      <c r="H517" t="s">
        <v>18</v>
      </c>
      <c r="I517">
        <v>35</v>
      </c>
      <c r="J517">
        <v>4</v>
      </c>
      <c r="K517">
        <v>1</v>
      </c>
      <c r="L517">
        <v>54</v>
      </c>
      <c r="M517" t="s">
        <v>38</v>
      </c>
      <c r="N517" t="s">
        <v>82</v>
      </c>
      <c r="O517">
        <v>39026</v>
      </c>
      <c r="P517">
        <v>138</v>
      </c>
      <c r="Q517" t="s">
        <v>66</v>
      </c>
      <c r="R517" t="str">
        <f t="shared" si="9"/>
        <v>No</v>
      </c>
    </row>
    <row r="518" spans="1:18" x14ac:dyDescent="0.35">
      <c r="A518" s="1">
        <v>40312</v>
      </c>
      <c r="B518">
        <v>0</v>
      </c>
      <c r="C518" t="s">
        <v>55</v>
      </c>
      <c r="D518" t="s">
        <v>41</v>
      </c>
      <c r="E518" t="s">
        <v>30</v>
      </c>
      <c r="F518">
        <v>36</v>
      </c>
      <c r="G518" t="s">
        <v>31</v>
      </c>
      <c r="H518" t="s">
        <v>30</v>
      </c>
      <c r="I518">
        <v>37</v>
      </c>
      <c r="J518">
        <v>0</v>
      </c>
      <c r="K518">
        <v>4</v>
      </c>
      <c r="L518">
        <v>51</v>
      </c>
      <c r="M518" t="s">
        <v>20</v>
      </c>
      <c r="N518" t="s">
        <v>32</v>
      </c>
      <c r="O518">
        <v>41290</v>
      </c>
      <c r="P518">
        <v>125</v>
      </c>
      <c r="Q518" t="s">
        <v>31</v>
      </c>
      <c r="R518" t="str">
        <f t="shared" si="9"/>
        <v>Yes</v>
      </c>
    </row>
    <row r="519" spans="1:18" x14ac:dyDescent="0.35">
      <c r="A519" s="1">
        <v>40312</v>
      </c>
      <c r="B519">
        <v>0</v>
      </c>
      <c r="C519" t="s">
        <v>55</v>
      </c>
      <c r="D519" t="s">
        <v>33</v>
      </c>
      <c r="E519" t="s">
        <v>30</v>
      </c>
      <c r="F519">
        <v>33</v>
      </c>
      <c r="G519" t="s">
        <v>43</v>
      </c>
      <c r="H519" t="s">
        <v>30</v>
      </c>
      <c r="I519">
        <v>36</v>
      </c>
      <c r="J519">
        <v>1</v>
      </c>
      <c r="K519">
        <v>8</v>
      </c>
      <c r="L519">
        <v>51</v>
      </c>
      <c r="M519" t="s">
        <v>20</v>
      </c>
      <c r="N519" t="s">
        <v>56</v>
      </c>
      <c r="O519">
        <v>25902</v>
      </c>
      <c r="P519">
        <v>165</v>
      </c>
      <c r="Q519" t="s">
        <v>43</v>
      </c>
      <c r="R519" t="str">
        <f t="shared" si="9"/>
        <v>Yes</v>
      </c>
    </row>
    <row r="520" spans="1:18" x14ac:dyDescent="0.35">
      <c r="A520" s="1">
        <v>40312</v>
      </c>
      <c r="B520">
        <v>0</v>
      </c>
      <c r="C520" t="s">
        <v>55</v>
      </c>
      <c r="D520" t="s">
        <v>58</v>
      </c>
      <c r="E520" t="s">
        <v>30</v>
      </c>
      <c r="F520">
        <v>36</v>
      </c>
      <c r="G520" t="s">
        <v>36</v>
      </c>
      <c r="H520" t="s">
        <v>30</v>
      </c>
      <c r="I520">
        <v>36</v>
      </c>
      <c r="J520">
        <v>7</v>
      </c>
      <c r="K520">
        <v>2</v>
      </c>
      <c r="L520">
        <v>54</v>
      </c>
      <c r="M520" t="s">
        <v>20</v>
      </c>
      <c r="N520" t="s">
        <v>57</v>
      </c>
      <c r="O520">
        <v>31732</v>
      </c>
      <c r="P520">
        <v>177</v>
      </c>
      <c r="Q520" t="s">
        <v>58</v>
      </c>
      <c r="R520" t="str">
        <f t="shared" si="9"/>
        <v>No</v>
      </c>
    </row>
    <row r="521" spans="1:18" x14ac:dyDescent="0.35">
      <c r="A521" s="1">
        <v>40312</v>
      </c>
      <c r="B521">
        <v>0</v>
      </c>
      <c r="C521" t="s">
        <v>55</v>
      </c>
      <c r="D521" t="s">
        <v>34</v>
      </c>
      <c r="E521" t="s">
        <v>30</v>
      </c>
      <c r="F521">
        <v>35</v>
      </c>
      <c r="G521" t="s">
        <v>37</v>
      </c>
      <c r="H521" t="s">
        <v>30</v>
      </c>
      <c r="I521">
        <v>36</v>
      </c>
      <c r="J521">
        <v>1</v>
      </c>
      <c r="K521">
        <v>6</v>
      </c>
      <c r="L521">
        <v>51</v>
      </c>
      <c r="M521" t="s">
        <v>20</v>
      </c>
      <c r="N521" t="s">
        <v>39</v>
      </c>
      <c r="O521">
        <v>27816</v>
      </c>
      <c r="P521">
        <v>145</v>
      </c>
      <c r="Q521" t="s">
        <v>37</v>
      </c>
      <c r="R521" t="str">
        <f t="shared" si="9"/>
        <v>Yes</v>
      </c>
    </row>
    <row r="522" spans="1:18" x14ac:dyDescent="0.35">
      <c r="A522" s="1">
        <v>40312</v>
      </c>
      <c r="B522">
        <v>0</v>
      </c>
      <c r="C522" t="s">
        <v>55</v>
      </c>
      <c r="D522" t="s">
        <v>29</v>
      </c>
      <c r="E522" t="s">
        <v>30</v>
      </c>
      <c r="F522">
        <v>35</v>
      </c>
      <c r="G522" t="s">
        <v>59</v>
      </c>
      <c r="H522" t="s">
        <v>30</v>
      </c>
      <c r="I522">
        <v>35</v>
      </c>
      <c r="J522">
        <v>4</v>
      </c>
      <c r="K522">
        <v>8</v>
      </c>
      <c r="L522">
        <v>51</v>
      </c>
      <c r="M522" t="s">
        <v>20</v>
      </c>
      <c r="N522" t="s">
        <v>84</v>
      </c>
      <c r="O522">
        <v>45195</v>
      </c>
      <c r="P522">
        <v>191</v>
      </c>
      <c r="Q522" t="s">
        <v>59</v>
      </c>
      <c r="R522" t="str">
        <f t="shared" si="9"/>
        <v>Yes</v>
      </c>
    </row>
    <row r="523" spans="1:18" x14ac:dyDescent="0.35">
      <c r="A523" s="1">
        <v>40312</v>
      </c>
      <c r="B523">
        <v>0</v>
      </c>
      <c r="C523" t="s">
        <v>55</v>
      </c>
      <c r="D523" t="s">
        <v>40</v>
      </c>
      <c r="E523" t="s">
        <v>30</v>
      </c>
      <c r="F523">
        <v>35</v>
      </c>
      <c r="G523" t="s">
        <v>44</v>
      </c>
      <c r="H523" t="s">
        <v>30</v>
      </c>
      <c r="I523">
        <v>35</v>
      </c>
      <c r="J523">
        <v>4</v>
      </c>
      <c r="K523">
        <v>3</v>
      </c>
      <c r="L523">
        <v>54</v>
      </c>
      <c r="M523" t="s">
        <v>20</v>
      </c>
      <c r="N523" t="s">
        <v>45</v>
      </c>
      <c r="O523">
        <v>27856</v>
      </c>
      <c r="P523">
        <v>179</v>
      </c>
      <c r="Q523" t="s">
        <v>40</v>
      </c>
      <c r="R523" t="str">
        <f t="shared" si="9"/>
        <v>No</v>
      </c>
    </row>
    <row r="524" spans="1:18" x14ac:dyDescent="0.35">
      <c r="A524" s="1">
        <v>40312</v>
      </c>
      <c r="B524">
        <v>0</v>
      </c>
      <c r="C524" t="s">
        <v>55</v>
      </c>
      <c r="D524" t="s">
        <v>47</v>
      </c>
      <c r="E524" t="s">
        <v>30</v>
      </c>
      <c r="F524">
        <v>36</v>
      </c>
      <c r="G524" t="s">
        <v>46</v>
      </c>
      <c r="H524" t="s">
        <v>30</v>
      </c>
      <c r="I524">
        <v>37</v>
      </c>
      <c r="J524">
        <v>10</v>
      </c>
      <c r="K524">
        <v>16</v>
      </c>
      <c r="L524">
        <v>51</v>
      </c>
      <c r="M524" t="s">
        <v>20</v>
      </c>
      <c r="N524" t="s">
        <v>78</v>
      </c>
      <c r="O524">
        <v>16020</v>
      </c>
      <c r="P524">
        <v>201</v>
      </c>
      <c r="Q524" t="s">
        <v>46</v>
      </c>
      <c r="R524" t="str">
        <f t="shared" si="9"/>
        <v>Yes</v>
      </c>
    </row>
    <row r="525" spans="1:18" x14ac:dyDescent="0.35">
      <c r="A525" s="1">
        <v>40312</v>
      </c>
      <c r="B525">
        <v>0</v>
      </c>
      <c r="C525" t="s">
        <v>55</v>
      </c>
      <c r="D525" t="s">
        <v>60</v>
      </c>
      <c r="E525" t="s">
        <v>18</v>
      </c>
      <c r="F525">
        <v>36</v>
      </c>
      <c r="G525" t="s">
        <v>50</v>
      </c>
      <c r="H525" t="s">
        <v>18</v>
      </c>
      <c r="I525">
        <v>35</v>
      </c>
      <c r="J525">
        <v>5</v>
      </c>
      <c r="K525">
        <v>6</v>
      </c>
      <c r="L525">
        <v>52</v>
      </c>
      <c r="M525" t="s">
        <v>20</v>
      </c>
      <c r="N525" t="s">
        <v>51</v>
      </c>
      <c r="O525">
        <v>30657</v>
      </c>
      <c r="P525">
        <v>204</v>
      </c>
      <c r="Q525" t="s">
        <v>50</v>
      </c>
      <c r="R525" t="str">
        <f t="shared" si="9"/>
        <v>Yes</v>
      </c>
    </row>
    <row r="526" spans="1:18" x14ac:dyDescent="0.35">
      <c r="A526" s="1">
        <v>40312</v>
      </c>
      <c r="B526">
        <v>0</v>
      </c>
      <c r="C526" t="s">
        <v>55</v>
      </c>
      <c r="D526" t="s">
        <v>23</v>
      </c>
      <c r="E526" t="s">
        <v>18</v>
      </c>
      <c r="F526">
        <v>35</v>
      </c>
      <c r="G526" t="s">
        <v>49</v>
      </c>
      <c r="H526" t="s">
        <v>18</v>
      </c>
      <c r="I526">
        <v>36</v>
      </c>
      <c r="J526">
        <v>10</v>
      </c>
      <c r="K526">
        <v>6</v>
      </c>
      <c r="L526">
        <v>54</v>
      </c>
      <c r="M526" t="s">
        <v>38</v>
      </c>
      <c r="N526" t="s">
        <v>79</v>
      </c>
      <c r="O526">
        <v>39082</v>
      </c>
      <c r="P526">
        <v>205</v>
      </c>
      <c r="Q526" t="s">
        <v>23</v>
      </c>
      <c r="R526" t="str">
        <f t="shared" si="9"/>
        <v>No</v>
      </c>
    </row>
    <row r="527" spans="1:18" x14ac:dyDescent="0.35">
      <c r="A527" s="1">
        <v>40312</v>
      </c>
      <c r="B527">
        <v>0</v>
      </c>
      <c r="C527" t="s">
        <v>55</v>
      </c>
      <c r="D527" t="s">
        <v>52</v>
      </c>
      <c r="E527" t="s">
        <v>18</v>
      </c>
      <c r="F527">
        <v>36</v>
      </c>
      <c r="G527" t="s">
        <v>53</v>
      </c>
      <c r="H527" t="s">
        <v>18</v>
      </c>
      <c r="I527">
        <v>35</v>
      </c>
      <c r="J527">
        <v>4</v>
      </c>
      <c r="K527">
        <v>3</v>
      </c>
      <c r="L527">
        <v>54</v>
      </c>
      <c r="M527" t="s">
        <v>20</v>
      </c>
      <c r="N527" t="s">
        <v>54</v>
      </c>
      <c r="O527">
        <v>27568</v>
      </c>
      <c r="P527">
        <v>181</v>
      </c>
      <c r="Q527" t="s">
        <v>52</v>
      </c>
      <c r="R527" t="str">
        <f t="shared" si="9"/>
        <v>No</v>
      </c>
    </row>
    <row r="528" spans="1:18" x14ac:dyDescent="0.35">
      <c r="A528" s="1">
        <v>40312</v>
      </c>
      <c r="B528">
        <v>0</v>
      </c>
      <c r="C528" t="s">
        <v>55</v>
      </c>
      <c r="D528" t="s">
        <v>19</v>
      </c>
      <c r="E528" t="s">
        <v>18</v>
      </c>
      <c r="F528">
        <v>36</v>
      </c>
      <c r="G528" t="s">
        <v>17</v>
      </c>
      <c r="H528" t="s">
        <v>18</v>
      </c>
      <c r="I528">
        <v>36</v>
      </c>
      <c r="J528">
        <v>2</v>
      </c>
      <c r="K528">
        <v>7</v>
      </c>
      <c r="L528">
        <v>51</v>
      </c>
      <c r="M528" t="s">
        <v>20</v>
      </c>
      <c r="N528" t="s">
        <v>65</v>
      </c>
      <c r="O528">
        <v>21221</v>
      </c>
      <c r="P528">
        <v>167</v>
      </c>
      <c r="Q528" t="s">
        <v>17</v>
      </c>
      <c r="R528" t="str">
        <f t="shared" si="9"/>
        <v>Yes</v>
      </c>
    </row>
    <row r="529" spans="1:18" x14ac:dyDescent="0.35">
      <c r="A529" s="1">
        <v>40312</v>
      </c>
      <c r="B529">
        <v>0</v>
      </c>
      <c r="C529" t="s">
        <v>55</v>
      </c>
      <c r="D529" t="s">
        <v>25</v>
      </c>
      <c r="E529" t="s">
        <v>18</v>
      </c>
      <c r="F529">
        <v>34</v>
      </c>
      <c r="G529" t="s">
        <v>68</v>
      </c>
      <c r="H529" t="s">
        <v>18</v>
      </c>
      <c r="I529">
        <v>35</v>
      </c>
      <c r="J529">
        <v>9</v>
      </c>
      <c r="K529">
        <v>5</v>
      </c>
      <c r="L529">
        <v>54</v>
      </c>
      <c r="M529" t="s">
        <v>20</v>
      </c>
      <c r="N529" t="s">
        <v>69</v>
      </c>
      <c r="O529">
        <v>41706</v>
      </c>
      <c r="P529">
        <v>186</v>
      </c>
      <c r="Q529" t="s">
        <v>25</v>
      </c>
      <c r="R529" t="str">
        <f t="shared" si="9"/>
        <v>No</v>
      </c>
    </row>
    <row r="530" spans="1:18" x14ac:dyDescent="0.35">
      <c r="A530" s="1">
        <v>40312</v>
      </c>
      <c r="B530">
        <v>0</v>
      </c>
      <c r="C530" t="s">
        <v>55</v>
      </c>
      <c r="D530" t="s">
        <v>22</v>
      </c>
      <c r="E530" t="s">
        <v>18</v>
      </c>
      <c r="F530">
        <v>35</v>
      </c>
      <c r="G530" t="s">
        <v>62</v>
      </c>
      <c r="H530" t="s">
        <v>18</v>
      </c>
      <c r="I530">
        <v>35</v>
      </c>
      <c r="J530">
        <v>4</v>
      </c>
      <c r="K530">
        <v>3</v>
      </c>
      <c r="L530">
        <v>54</v>
      </c>
      <c r="M530" t="s">
        <v>20</v>
      </c>
      <c r="N530" t="s">
        <v>81</v>
      </c>
      <c r="O530">
        <v>42056</v>
      </c>
      <c r="P530">
        <v>206</v>
      </c>
      <c r="Q530" t="s">
        <v>22</v>
      </c>
      <c r="R530" t="str">
        <f t="shared" si="9"/>
        <v>No</v>
      </c>
    </row>
    <row r="531" spans="1:18" x14ac:dyDescent="0.35">
      <c r="A531" s="1">
        <v>40312</v>
      </c>
      <c r="B531">
        <v>0</v>
      </c>
      <c r="C531" t="s">
        <v>55</v>
      </c>
      <c r="D531" t="s">
        <v>66</v>
      </c>
      <c r="E531" t="s">
        <v>18</v>
      </c>
      <c r="F531">
        <v>35</v>
      </c>
      <c r="G531" t="s">
        <v>70</v>
      </c>
      <c r="H531" t="s">
        <v>18</v>
      </c>
      <c r="I531">
        <v>34</v>
      </c>
      <c r="J531">
        <v>2</v>
      </c>
      <c r="K531">
        <v>8</v>
      </c>
      <c r="L531">
        <v>51</v>
      </c>
      <c r="M531" t="s">
        <v>20</v>
      </c>
      <c r="N531" t="s">
        <v>71</v>
      </c>
      <c r="O531">
        <v>38650</v>
      </c>
      <c r="P531">
        <v>163</v>
      </c>
      <c r="Q531" t="s">
        <v>70</v>
      </c>
      <c r="R531" t="str">
        <f t="shared" si="9"/>
        <v>Yes</v>
      </c>
    </row>
    <row r="532" spans="1:18" x14ac:dyDescent="0.35">
      <c r="A532" s="1">
        <v>40313</v>
      </c>
      <c r="B532">
        <v>0</v>
      </c>
      <c r="C532" t="s">
        <v>72</v>
      </c>
      <c r="D532" t="s">
        <v>41</v>
      </c>
      <c r="E532" t="s">
        <v>30</v>
      </c>
      <c r="F532">
        <v>37</v>
      </c>
      <c r="G532" t="s">
        <v>31</v>
      </c>
      <c r="H532" t="s">
        <v>30</v>
      </c>
      <c r="I532">
        <v>38</v>
      </c>
      <c r="J532">
        <v>3</v>
      </c>
      <c r="K532">
        <v>12</v>
      </c>
      <c r="L532">
        <v>51</v>
      </c>
      <c r="M532" t="s">
        <v>20</v>
      </c>
      <c r="N532" t="s">
        <v>32</v>
      </c>
      <c r="O532">
        <v>41744</v>
      </c>
      <c r="P532">
        <v>177</v>
      </c>
      <c r="Q532" t="s">
        <v>31</v>
      </c>
      <c r="R532" t="str">
        <f t="shared" si="9"/>
        <v>Yes</v>
      </c>
    </row>
    <row r="533" spans="1:18" x14ac:dyDescent="0.35">
      <c r="A533" s="1">
        <v>40313</v>
      </c>
      <c r="B533">
        <v>0</v>
      </c>
      <c r="C533" t="s">
        <v>72</v>
      </c>
      <c r="D533" t="s">
        <v>33</v>
      </c>
      <c r="E533" t="s">
        <v>30</v>
      </c>
      <c r="F533">
        <v>34</v>
      </c>
      <c r="G533" t="s">
        <v>43</v>
      </c>
      <c r="H533" t="s">
        <v>30</v>
      </c>
      <c r="I533">
        <v>37</v>
      </c>
      <c r="J533">
        <v>8</v>
      </c>
      <c r="K533">
        <v>2</v>
      </c>
      <c r="L533">
        <v>54</v>
      </c>
      <c r="M533" t="s">
        <v>20</v>
      </c>
      <c r="N533" t="s">
        <v>56</v>
      </c>
      <c r="O533">
        <v>29545</v>
      </c>
      <c r="P533">
        <v>173</v>
      </c>
      <c r="Q533" t="s">
        <v>33</v>
      </c>
      <c r="R533" t="str">
        <f t="shared" si="9"/>
        <v>No</v>
      </c>
    </row>
    <row r="534" spans="1:18" x14ac:dyDescent="0.35">
      <c r="A534" s="1">
        <v>40313</v>
      </c>
      <c r="B534">
        <v>0</v>
      </c>
      <c r="C534" t="s">
        <v>72</v>
      </c>
      <c r="D534" t="s">
        <v>58</v>
      </c>
      <c r="E534" t="s">
        <v>30</v>
      </c>
      <c r="F534">
        <v>37</v>
      </c>
      <c r="G534" t="s">
        <v>36</v>
      </c>
      <c r="H534" t="s">
        <v>30</v>
      </c>
      <c r="I534">
        <v>37</v>
      </c>
      <c r="J534">
        <v>6</v>
      </c>
      <c r="K534">
        <v>7</v>
      </c>
      <c r="L534">
        <v>71</v>
      </c>
      <c r="M534" t="s">
        <v>20</v>
      </c>
      <c r="N534" t="s">
        <v>57</v>
      </c>
      <c r="O534">
        <v>40742</v>
      </c>
      <c r="P534">
        <v>275</v>
      </c>
      <c r="Q534" t="s">
        <v>36</v>
      </c>
      <c r="R534" t="str">
        <f t="shared" si="9"/>
        <v>Yes</v>
      </c>
    </row>
    <row r="535" spans="1:18" x14ac:dyDescent="0.35">
      <c r="A535" s="1">
        <v>40313</v>
      </c>
      <c r="B535">
        <v>0</v>
      </c>
      <c r="C535" t="s">
        <v>72</v>
      </c>
      <c r="D535" t="s">
        <v>34</v>
      </c>
      <c r="E535" t="s">
        <v>30</v>
      </c>
      <c r="F535">
        <v>36</v>
      </c>
      <c r="G535" t="s">
        <v>37</v>
      </c>
      <c r="H535" t="s">
        <v>30</v>
      </c>
      <c r="I535">
        <v>37</v>
      </c>
      <c r="J535">
        <v>5</v>
      </c>
      <c r="K535">
        <v>4</v>
      </c>
      <c r="L535">
        <v>54</v>
      </c>
      <c r="M535" t="s">
        <v>20</v>
      </c>
      <c r="N535" t="s">
        <v>39</v>
      </c>
      <c r="O535">
        <v>22192</v>
      </c>
      <c r="P535">
        <v>153</v>
      </c>
      <c r="Q535" t="s">
        <v>34</v>
      </c>
      <c r="R535" t="str">
        <f t="shared" si="9"/>
        <v>No</v>
      </c>
    </row>
    <row r="536" spans="1:18" x14ac:dyDescent="0.35">
      <c r="A536" s="1">
        <v>40313</v>
      </c>
      <c r="B536">
        <v>0</v>
      </c>
      <c r="C536" t="s">
        <v>72</v>
      </c>
      <c r="D536" t="s">
        <v>29</v>
      </c>
      <c r="E536" t="s">
        <v>30</v>
      </c>
      <c r="F536">
        <v>36</v>
      </c>
      <c r="G536" t="s">
        <v>59</v>
      </c>
      <c r="H536" t="s">
        <v>30</v>
      </c>
      <c r="I536">
        <v>36</v>
      </c>
      <c r="J536">
        <v>1</v>
      </c>
      <c r="K536">
        <v>7</v>
      </c>
      <c r="L536">
        <v>51</v>
      </c>
      <c r="M536" t="s">
        <v>38</v>
      </c>
      <c r="N536" t="s">
        <v>84</v>
      </c>
      <c r="O536">
        <v>46347</v>
      </c>
      <c r="P536">
        <v>181</v>
      </c>
      <c r="Q536" t="s">
        <v>59</v>
      </c>
      <c r="R536" t="str">
        <f t="shared" si="9"/>
        <v>Yes</v>
      </c>
    </row>
    <row r="537" spans="1:18" x14ac:dyDescent="0.35">
      <c r="A537" s="1">
        <v>40313</v>
      </c>
      <c r="B537">
        <v>0</v>
      </c>
      <c r="C537" t="s">
        <v>72</v>
      </c>
      <c r="D537" t="s">
        <v>40</v>
      </c>
      <c r="E537" t="s">
        <v>30</v>
      </c>
      <c r="F537">
        <v>36</v>
      </c>
      <c r="G537" t="s">
        <v>44</v>
      </c>
      <c r="H537" t="s">
        <v>30</v>
      </c>
      <c r="I537">
        <v>36</v>
      </c>
      <c r="J537">
        <v>2</v>
      </c>
      <c r="K537">
        <v>3</v>
      </c>
      <c r="L537">
        <v>51</v>
      </c>
      <c r="M537" t="s">
        <v>38</v>
      </c>
      <c r="N537" t="s">
        <v>45</v>
      </c>
      <c r="O537">
        <v>23627</v>
      </c>
      <c r="P537">
        <v>159</v>
      </c>
      <c r="Q537" t="s">
        <v>44</v>
      </c>
      <c r="R537" t="str">
        <f t="shared" si="9"/>
        <v>Yes</v>
      </c>
    </row>
    <row r="538" spans="1:18" x14ac:dyDescent="0.35">
      <c r="A538" s="1">
        <v>40313</v>
      </c>
      <c r="B538">
        <v>0</v>
      </c>
      <c r="C538" t="s">
        <v>72</v>
      </c>
      <c r="D538" t="s">
        <v>47</v>
      </c>
      <c r="E538" t="s">
        <v>30</v>
      </c>
      <c r="F538">
        <v>37</v>
      </c>
      <c r="G538" t="s">
        <v>46</v>
      </c>
      <c r="H538" t="s">
        <v>30</v>
      </c>
      <c r="I538">
        <v>38</v>
      </c>
      <c r="J538">
        <v>0</v>
      </c>
      <c r="K538">
        <v>6</v>
      </c>
      <c r="L538">
        <v>51</v>
      </c>
      <c r="M538" t="s">
        <v>38</v>
      </c>
      <c r="N538" t="s">
        <v>78</v>
      </c>
      <c r="O538">
        <v>15945</v>
      </c>
      <c r="P538">
        <v>142</v>
      </c>
      <c r="Q538" t="s">
        <v>46</v>
      </c>
      <c r="R538" t="str">
        <f t="shared" si="9"/>
        <v>Yes</v>
      </c>
    </row>
    <row r="539" spans="1:18" x14ac:dyDescent="0.35">
      <c r="A539" s="1">
        <v>40313</v>
      </c>
      <c r="B539">
        <v>0</v>
      </c>
      <c r="C539" t="s">
        <v>72</v>
      </c>
      <c r="D539" t="s">
        <v>60</v>
      </c>
      <c r="E539" t="s">
        <v>18</v>
      </c>
      <c r="F539">
        <v>37</v>
      </c>
      <c r="G539" t="s">
        <v>50</v>
      </c>
      <c r="H539" t="s">
        <v>18</v>
      </c>
      <c r="I539">
        <v>36</v>
      </c>
      <c r="J539">
        <v>11</v>
      </c>
      <c r="K539">
        <v>1</v>
      </c>
      <c r="L539">
        <v>54</v>
      </c>
      <c r="M539" t="s">
        <v>20</v>
      </c>
      <c r="N539" t="s">
        <v>51</v>
      </c>
      <c r="O539">
        <v>32718</v>
      </c>
      <c r="P539">
        <v>174</v>
      </c>
      <c r="Q539" t="s">
        <v>60</v>
      </c>
      <c r="R539" t="str">
        <f t="shared" si="9"/>
        <v>No</v>
      </c>
    </row>
    <row r="540" spans="1:18" x14ac:dyDescent="0.35">
      <c r="A540" s="1">
        <v>40313</v>
      </c>
      <c r="B540">
        <v>0</v>
      </c>
      <c r="C540" t="s">
        <v>72</v>
      </c>
      <c r="D540" t="s">
        <v>23</v>
      </c>
      <c r="E540" t="s">
        <v>18</v>
      </c>
      <c r="F540">
        <v>36</v>
      </c>
      <c r="G540" t="s">
        <v>49</v>
      </c>
      <c r="H540" t="s">
        <v>18</v>
      </c>
      <c r="I540">
        <v>37</v>
      </c>
      <c r="J540">
        <v>4</v>
      </c>
      <c r="K540">
        <v>3</v>
      </c>
      <c r="L540">
        <v>54</v>
      </c>
      <c r="M540" t="s">
        <v>38</v>
      </c>
      <c r="N540" t="s">
        <v>79</v>
      </c>
      <c r="O540">
        <v>41336</v>
      </c>
      <c r="P540">
        <v>164</v>
      </c>
      <c r="Q540" t="s">
        <v>23</v>
      </c>
      <c r="R540" t="str">
        <f t="shared" si="9"/>
        <v>No</v>
      </c>
    </row>
    <row r="541" spans="1:18" x14ac:dyDescent="0.35">
      <c r="A541" s="1">
        <v>40313</v>
      </c>
      <c r="B541">
        <v>0</v>
      </c>
      <c r="C541" t="s">
        <v>72</v>
      </c>
      <c r="D541" t="s">
        <v>52</v>
      </c>
      <c r="E541" t="s">
        <v>18</v>
      </c>
      <c r="F541">
        <v>37</v>
      </c>
      <c r="G541" t="s">
        <v>53</v>
      </c>
      <c r="H541" t="s">
        <v>18</v>
      </c>
      <c r="I541">
        <v>36</v>
      </c>
      <c r="J541">
        <v>3</v>
      </c>
      <c r="K541">
        <v>4</v>
      </c>
      <c r="L541">
        <v>51</v>
      </c>
      <c r="M541" t="s">
        <v>20</v>
      </c>
      <c r="N541" t="s">
        <v>54</v>
      </c>
      <c r="O541">
        <v>41326</v>
      </c>
      <c r="P541">
        <v>161</v>
      </c>
      <c r="Q541" t="s">
        <v>53</v>
      </c>
      <c r="R541" t="str">
        <f t="shared" si="9"/>
        <v>Yes</v>
      </c>
    </row>
    <row r="542" spans="1:18" x14ac:dyDescent="0.35">
      <c r="A542" s="1">
        <v>40313</v>
      </c>
      <c r="B542">
        <v>1</v>
      </c>
      <c r="C542" t="s">
        <v>72</v>
      </c>
      <c r="D542" t="s">
        <v>26</v>
      </c>
      <c r="E542" t="s">
        <v>18</v>
      </c>
      <c r="F542">
        <v>36</v>
      </c>
      <c r="G542" t="s">
        <v>63</v>
      </c>
      <c r="H542" t="s">
        <v>18</v>
      </c>
      <c r="I542">
        <v>35</v>
      </c>
      <c r="J542">
        <v>2</v>
      </c>
      <c r="K542">
        <v>6</v>
      </c>
      <c r="L542">
        <v>51</v>
      </c>
      <c r="M542" t="s">
        <v>38</v>
      </c>
      <c r="N542" t="s">
        <v>64</v>
      </c>
      <c r="O542">
        <v>29111</v>
      </c>
      <c r="P542">
        <v>149</v>
      </c>
      <c r="Q542" t="s">
        <v>63</v>
      </c>
      <c r="R542" t="str">
        <f t="shared" si="9"/>
        <v>Yes</v>
      </c>
    </row>
    <row r="543" spans="1:18" x14ac:dyDescent="0.35">
      <c r="A543" s="1">
        <v>40313</v>
      </c>
      <c r="B543">
        <v>2</v>
      </c>
      <c r="C543" t="s">
        <v>72</v>
      </c>
      <c r="D543" t="s">
        <v>26</v>
      </c>
      <c r="E543" t="s">
        <v>18</v>
      </c>
      <c r="F543">
        <v>37</v>
      </c>
      <c r="G543" t="s">
        <v>63</v>
      </c>
      <c r="H543" t="s">
        <v>18</v>
      </c>
      <c r="I543">
        <v>36</v>
      </c>
      <c r="J543">
        <v>3</v>
      </c>
      <c r="K543">
        <v>4</v>
      </c>
      <c r="L543">
        <v>51</v>
      </c>
      <c r="M543" t="s">
        <v>20</v>
      </c>
      <c r="N543" t="s">
        <v>64</v>
      </c>
      <c r="O543">
        <v>35258</v>
      </c>
      <c r="P543">
        <v>153</v>
      </c>
      <c r="Q543" t="s">
        <v>63</v>
      </c>
      <c r="R543" t="str">
        <f t="shared" si="9"/>
        <v>Yes</v>
      </c>
    </row>
    <row r="544" spans="1:18" x14ac:dyDescent="0.35">
      <c r="A544" s="1">
        <v>40313</v>
      </c>
      <c r="B544">
        <v>0</v>
      </c>
      <c r="C544" t="s">
        <v>72</v>
      </c>
      <c r="D544" t="s">
        <v>19</v>
      </c>
      <c r="E544" t="s">
        <v>18</v>
      </c>
      <c r="F544">
        <v>37</v>
      </c>
      <c r="G544" t="s">
        <v>17</v>
      </c>
      <c r="H544" t="s">
        <v>18</v>
      </c>
      <c r="I544">
        <v>37</v>
      </c>
      <c r="J544">
        <v>5</v>
      </c>
      <c r="K544">
        <v>7</v>
      </c>
      <c r="L544">
        <v>51</v>
      </c>
      <c r="M544" t="s">
        <v>20</v>
      </c>
      <c r="N544" t="s">
        <v>65</v>
      </c>
      <c r="O544">
        <v>26007</v>
      </c>
      <c r="P544">
        <v>177</v>
      </c>
      <c r="Q544" t="s">
        <v>17</v>
      </c>
      <c r="R544" t="str">
        <f t="shared" si="9"/>
        <v>Yes</v>
      </c>
    </row>
    <row r="545" spans="1:18" x14ac:dyDescent="0.35">
      <c r="A545" s="1">
        <v>40313</v>
      </c>
      <c r="B545">
        <v>0</v>
      </c>
      <c r="C545" t="s">
        <v>72</v>
      </c>
      <c r="D545" t="s">
        <v>25</v>
      </c>
      <c r="E545" t="s">
        <v>18</v>
      </c>
      <c r="F545">
        <v>35</v>
      </c>
      <c r="G545" t="s">
        <v>68</v>
      </c>
      <c r="H545" t="s">
        <v>18</v>
      </c>
      <c r="I545">
        <v>36</v>
      </c>
      <c r="J545">
        <v>10</v>
      </c>
      <c r="K545">
        <v>6</v>
      </c>
      <c r="L545">
        <v>54</v>
      </c>
      <c r="M545" t="s">
        <v>38</v>
      </c>
      <c r="N545" t="s">
        <v>69</v>
      </c>
      <c r="O545">
        <v>43069</v>
      </c>
      <c r="P545">
        <v>217</v>
      </c>
      <c r="Q545" t="s">
        <v>25</v>
      </c>
      <c r="R545" t="str">
        <f t="shared" si="9"/>
        <v>No</v>
      </c>
    </row>
    <row r="546" spans="1:18" x14ac:dyDescent="0.35">
      <c r="A546" s="1">
        <v>40313</v>
      </c>
      <c r="B546">
        <v>0</v>
      </c>
      <c r="C546" t="s">
        <v>72</v>
      </c>
      <c r="D546" t="s">
        <v>22</v>
      </c>
      <c r="E546" t="s">
        <v>18</v>
      </c>
      <c r="F546">
        <v>36</v>
      </c>
      <c r="G546" t="s">
        <v>62</v>
      </c>
      <c r="H546" t="s">
        <v>18</v>
      </c>
      <c r="I546">
        <v>36</v>
      </c>
      <c r="J546">
        <v>4</v>
      </c>
      <c r="K546">
        <v>1</v>
      </c>
      <c r="L546">
        <v>54</v>
      </c>
      <c r="M546" t="s">
        <v>20</v>
      </c>
      <c r="N546" t="s">
        <v>81</v>
      </c>
      <c r="O546">
        <v>42436</v>
      </c>
      <c r="P546">
        <v>160</v>
      </c>
      <c r="Q546" t="s">
        <v>22</v>
      </c>
      <c r="R546" t="str">
        <f t="shared" si="9"/>
        <v>No</v>
      </c>
    </row>
    <row r="547" spans="1:18" x14ac:dyDescent="0.35">
      <c r="A547" s="1">
        <v>40313</v>
      </c>
      <c r="B547">
        <v>0</v>
      </c>
      <c r="C547" t="s">
        <v>72</v>
      </c>
      <c r="D547" t="s">
        <v>66</v>
      </c>
      <c r="E547" t="s">
        <v>18</v>
      </c>
      <c r="F547">
        <v>36</v>
      </c>
      <c r="G547" t="s">
        <v>70</v>
      </c>
      <c r="H547" t="s">
        <v>18</v>
      </c>
      <c r="I547">
        <v>35</v>
      </c>
      <c r="J547">
        <v>1</v>
      </c>
      <c r="K547">
        <v>2</v>
      </c>
      <c r="L547">
        <v>51</v>
      </c>
      <c r="M547" t="s">
        <v>38</v>
      </c>
      <c r="N547" t="s">
        <v>71</v>
      </c>
      <c r="O547">
        <v>40060</v>
      </c>
      <c r="P547">
        <v>155</v>
      </c>
      <c r="Q547" t="s">
        <v>70</v>
      </c>
      <c r="R547" t="str">
        <f t="shared" si="9"/>
        <v>Yes</v>
      </c>
    </row>
    <row r="548" spans="1:18" x14ac:dyDescent="0.35">
      <c r="A548" s="1">
        <v>40314</v>
      </c>
      <c r="B548">
        <v>0</v>
      </c>
      <c r="C548" t="s">
        <v>73</v>
      </c>
      <c r="D548" t="s">
        <v>41</v>
      </c>
      <c r="E548" t="s">
        <v>30</v>
      </c>
      <c r="F548">
        <v>38</v>
      </c>
      <c r="G548" t="s">
        <v>31</v>
      </c>
      <c r="H548" t="s">
        <v>30</v>
      </c>
      <c r="I548">
        <v>39</v>
      </c>
      <c r="J548">
        <v>0</v>
      </c>
      <c r="K548">
        <v>4</v>
      </c>
      <c r="L548">
        <v>51</v>
      </c>
      <c r="M548" t="s">
        <v>38</v>
      </c>
      <c r="N548" t="s">
        <v>32</v>
      </c>
      <c r="O548">
        <v>41569</v>
      </c>
      <c r="P548">
        <v>126</v>
      </c>
      <c r="Q548" t="s">
        <v>31</v>
      </c>
      <c r="R548" t="str">
        <f t="shared" si="9"/>
        <v>Yes</v>
      </c>
    </row>
    <row r="549" spans="1:18" x14ac:dyDescent="0.35">
      <c r="A549" s="1">
        <v>40314</v>
      </c>
      <c r="B549">
        <v>0</v>
      </c>
      <c r="C549" t="s">
        <v>73</v>
      </c>
      <c r="D549" t="s">
        <v>33</v>
      </c>
      <c r="E549" t="s">
        <v>30</v>
      </c>
      <c r="F549">
        <v>35</v>
      </c>
      <c r="G549" t="s">
        <v>43</v>
      </c>
      <c r="H549" t="s">
        <v>30</v>
      </c>
      <c r="I549">
        <v>38</v>
      </c>
      <c r="J549">
        <v>5</v>
      </c>
      <c r="K549">
        <v>1</v>
      </c>
      <c r="L549">
        <v>54</v>
      </c>
      <c r="M549" t="s">
        <v>38</v>
      </c>
      <c r="N549" t="s">
        <v>56</v>
      </c>
      <c r="O549">
        <v>29323</v>
      </c>
      <c r="P549">
        <v>137</v>
      </c>
      <c r="Q549" t="s">
        <v>33</v>
      </c>
      <c r="R549" t="str">
        <f t="shared" si="9"/>
        <v>No</v>
      </c>
    </row>
    <row r="550" spans="1:18" x14ac:dyDescent="0.35">
      <c r="A550" s="1">
        <v>40314</v>
      </c>
      <c r="B550">
        <v>0</v>
      </c>
      <c r="C550" t="s">
        <v>73</v>
      </c>
      <c r="D550" t="s">
        <v>58</v>
      </c>
      <c r="E550" t="s">
        <v>30</v>
      </c>
      <c r="F550">
        <v>38</v>
      </c>
      <c r="G550" t="s">
        <v>36</v>
      </c>
      <c r="H550" t="s">
        <v>30</v>
      </c>
      <c r="I550">
        <v>38</v>
      </c>
      <c r="J550">
        <v>1</v>
      </c>
      <c r="K550">
        <v>5</v>
      </c>
      <c r="L550">
        <v>51</v>
      </c>
      <c r="M550" t="s">
        <v>38</v>
      </c>
      <c r="N550" t="s">
        <v>57</v>
      </c>
      <c r="O550">
        <v>35454</v>
      </c>
      <c r="P550">
        <v>174</v>
      </c>
      <c r="Q550" t="s">
        <v>36</v>
      </c>
      <c r="R550" t="str">
        <f t="shared" si="9"/>
        <v>Yes</v>
      </c>
    </row>
    <row r="551" spans="1:18" x14ac:dyDescent="0.35">
      <c r="A551" s="1">
        <v>40314</v>
      </c>
      <c r="B551">
        <v>0</v>
      </c>
      <c r="C551" t="s">
        <v>73</v>
      </c>
      <c r="D551" t="s">
        <v>34</v>
      </c>
      <c r="E551" t="s">
        <v>30</v>
      </c>
      <c r="F551">
        <v>37</v>
      </c>
      <c r="G551" t="s">
        <v>37</v>
      </c>
      <c r="H551" t="s">
        <v>30</v>
      </c>
      <c r="I551">
        <v>38</v>
      </c>
      <c r="J551">
        <v>3</v>
      </c>
      <c r="K551">
        <v>5</v>
      </c>
      <c r="L551">
        <v>51</v>
      </c>
      <c r="M551" t="s">
        <v>38</v>
      </c>
      <c r="N551" t="s">
        <v>39</v>
      </c>
      <c r="O551">
        <v>13922</v>
      </c>
      <c r="P551">
        <v>140</v>
      </c>
      <c r="Q551" t="s">
        <v>37</v>
      </c>
      <c r="R551" t="str">
        <f t="shared" si="9"/>
        <v>Yes</v>
      </c>
    </row>
    <row r="552" spans="1:18" x14ac:dyDescent="0.35">
      <c r="A552" s="1">
        <v>40314</v>
      </c>
      <c r="B552">
        <v>0</v>
      </c>
      <c r="C552" t="s">
        <v>73</v>
      </c>
      <c r="D552" t="s">
        <v>29</v>
      </c>
      <c r="E552" t="s">
        <v>30</v>
      </c>
      <c r="F552">
        <v>37</v>
      </c>
      <c r="G552" t="s">
        <v>59</v>
      </c>
      <c r="H552" t="s">
        <v>30</v>
      </c>
      <c r="I552">
        <v>37</v>
      </c>
      <c r="J552">
        <v>6</v>
      </c>
      <c r="K552">
        <v>3</v>
      </c>
      <c r="L552">
        <v>54</v>
      </c>
      <c r="M552" t="s">
        <v>38</v>
      </c>
      <c r="N552" t="s">
        <v>84</v>
      </c>
      <c r="O552">
        <v>46628</v>
      </c>
      <c r="P552">
        <v>201</v>
      </c>
      <c r="Q552" t="s">
        <v>29</v>
      </c>
      <c r="R552" t="str">
        <f t="shared" si="9"/>
        <v>No</v>
      </c>
    </row>
    <row r="553" spans="1:18" x14ac:dyDescent="0.35">
      <c r="A553" s="1">
        <v>40314</v>
      </c>
      <c r="B553">
        <v>0</v>
      </c>
      <c r="C553" t="s">
        <v>73</v>
      </c>
      <c r="D553" t="s">
        <v>40</v>
      </c>
      <c r="E553" t="s">
        <v>30</v>
      </c>
      <c r="F553">
        <v>37</v>
      </c>
      <c r="G553" t="s">
        <v>44</v>
      </c>
      <c r="H553" t="s">
        <v>30</v>
      </c>
      <c r="I553">
        <v>37</v>
      </c>
      <c r="J553">
        <v>1</v>
      </c>
      <c r="K553">
        <v>2</v>
      </c>
      <c r="L553">
        <v>51</v>
      </c>
      <c r="M553" t="s">
        <v>38</v>
      </c>
      <c r="N553" t="s">
        <v>45</v>
      </c>
      <c r="O553">
        <v>23005</v>
      </c>
      <c r="P553">
        <v>160</v>
      </c>
      <c r="Q553" t="s">
        <v>44</v>
      </c>
      <c r="R553" t="str">
        <f t="shared" si="9"/>
        <v>Yes</v>
      </c>
    </row>
    <row r="554" spans="1:18" x14ac:dyDescent="0.35">
      <c r="A554" s="1">
        <v>40314</v>
      </c>
      <c r="B554">
        <v>0</v>
      </c>
      <c r="C554" t="s">
        <v>73</v>
      </c>
      <c r="D554" t="s">
        <v>47</v>
      </c>
      <c r="E554" t="s">
        <v>30</v>
      </c>
      <c r="F554">
        <v>38</v>
      </c>
      <c r="G554" t="s">
        <v>46</v>
      </c>
      <c r="H554" t="s">
        <v>30</v>
      </c>
      <c r="I554">
        <v>39</v>
      </c>
      <c r="J554">
        <v>2</v>
      </c>
      <c r="K554">
        <v>5</v>
      </c>
      <c r="L554">
        <v>51</v>
      </c>
      <c r="M554" t="s">
        <v>38</v>
      </c>
      <c r="N554" t="s">
        <v>78</v>
      </c>
      <c r="O554">
        <v>25518</v>
      </c>
      <c r="P554">
        <v>156</v>
      </c>
      <c r="Q554" t="s">
        <v>46</v>
      </c>
      <c r="R554" t="str">
        <f t="shared" si="9"/>
        <v>Yes</v>
      </c>
    </row>
    <row r="555" spans="1:18" x14ac:dyDescent="0.35">
      <c r="A555" s="1">
        <v>40314</v>
      </c>
      <c r="B555">
        <v>0</v>
      </c>
      <c r="C555" t="s">
        <v>73</v>
      </c>
      <c r="D555" t="s">
        <v>60</v>
      </c>
      <c r="E555" t="s">
        <v>18</v>
      </c>
      <c r="F555">
        <v>38</v>
      </c>
      <c r="G555" t="s">
        <v>50</v>
      </c>
      <c r="H555" t="s">
        <v>18</v>
      </c>
      <c r="I555">
        <v>37</v>
      </c>
      <c r="J555">
        <v>1</v>
      </c>
      <c r="K555">
        <v>13</v>
      </c>
      <c r="L555">
        <v>51</v>
      </c>
      <c r="M555" t="s">
        <v>38</v>
      </c>
      <c r="N555" t="s">
        <v>51</v>
      </c>
      <c r="O555">
        <v>31758</v>
      </c>
      <c r="P555">
        <v>182</v>
      </c>
      <c r="Q555" t="s">
        <v>50</v>
      </c>
      <c r="R555" t="str">
        <f t="shared" si="9"/>
        <v>Yes</v>
      </c>
    </row>
    <row r="556" spans="1:18" x14ac:dyDescent="0.35">
      <c r="A556" s="1">
        <v>40314</v>
      </c>
      <c r="B556">
        <v>0</v>
      </c>
      <c r="C556" t="s">
        <v>73</v>
      </c>
      <c r="D556" t="s">
        <v>23</v>
      </c>
      <c r="E556" t="s">
        <v>18</v>
      </c>
      <c r="F556">
        <v>37</v>
      </c>
      <c r="G556" t="s">
        <v>49</v>
      </c>
      <c r="H556" t="s">
        <v>18</v>
      </c>
      <c r="I556">
        <v>38</v>
      </c>
      <c r="J556">
        <v>3</v>
      </c>
      <c r="K556">
        <v>4</v>
      </c>
      <c r="L556">
        <v>51</v>
      </c>
      <c r="M556" t="s">
        <v>38</v>
      </c>
      <c r="N556" t="s">
        <v>79</v>
      </c>
      <c r="O556">
        <v>40636</v>
      </c>
      <c r="P556">
        <v>156</v>
      </c>
      <c r="Q556" t="s">
        <v>49</v>
      </c>
      <c r="R556" t="str">
        <f t="shared" si="9"/>
        <v>Yes</v>
      </c>
    </row>
    <row r="557" spans="1:18" x14ac:dyDescent="0.35">
      <c r="A557" s="1">
        <v>40314</v>
      </c>
      <c r="B557">
        <v>0</v>
      </c>
      <c r="C557" t="s">
        <v>73</v>
      </c>
      <c r="D557" t="s">
        <v>52</v>
      </c>
      <c r="E557" t="s">
        <v>18</v>
      </c>
      <c r="F557">
        <v>38</v>
      </c>
      <c r="G557" t="s">
        <v>53</v>
      </c>
      <c r="H557" t="s">
        <v>18</v>
      </c>
      <c r="I557">
        <v>37</v>
      </c>
      <c r="J557">
        <v>2</v>
      </c>
      <c r="K557">
        <v>7</v>
      </c>
      <c r="L557">
        <v>51</v>
      </c>
      <c r="M557" t="s">
        <v>38</v>
      </c>
      <c r="N557" t="s">
        <v>54</v>
      </c>
      <c r="O557">
        <v>26712</v>
      </c>
      <c r="P557">
        <v>161</v>
      </c>
      <c r="Q557" t="s">
        <v>53</v>
      </c>
      <c r="R557" t="str">
        <f t="shared" si="9"/>
        <v>Yes</v>
      </c>
    </row>
    <row r="558" spans="1:18" x14ac:dyDescent="0.35">
      <c r="A558" s="1">
        <v>40314</v>
      </c>
      <c r="B558">
        <v>0</v>
      </c>
      <c r="C558" t="s">
        <v>73</v>
      </c>
      <c r="D558" t="s">
        <v>26</v>
      </c>
      <c r="E558" t="s">
        <v>18</v>
      </c>
      <c r="F558">
        <v>38</v>
      </c>
      <c r="G558" t="s">
        <v>63</v>
      </c>
      <c r="H558" t="s">
        <v>18</v>
      </c>
      <c r="I558">
        <v>37</v>
      </c>
      <c r="J558">
        <v>1</v>
      </c>
      <c r="K558">
        <v>2</v>
      </c>
      <c r="L558">
        <v>51</v>
      </c>
      <c r="M558" t="s">
        <v>38</v>
      </c>
      <c r="N558" t="s">
        <v>64</v>
      </c>
      <c r="O558">
        <v>42874</v>
      </c>
      <c r="P558">
        <v>161</v>
      </c>
      <c r="Q558" t="s">
        <v>63</v>
      </c>
      <c r="R558" t="str">
        <f t="shared" si="9"/>
        <v>Yes</v>
      </c>
    </row>
    <row r="559" spans="1:18" x14ac:dyDescent="0.35">
      <c r="A559" s="1">
        <v>40314</v>
      </c>
      <c r="B559">
        <v>0</v>
      </c>
      <c r="C559" t="s">
        <v>73</v>
      </c>
      <c r="D559" t="s">
        <v>19</v>
      </c>
      <c r="E559" t="s">
        <v>18</v>
      </c>
      <c r="F559">
        <v>38</v>
      </c>
      <c r="G559" t="s">
        <v>17</v>
      </c>
      <c r="H559" t="s">
        <v>18</v>
      </c>
      <c r="I559">
        <v>38</v>
      </c>
      <c r="J559">
        <v>8</v>
      </c>
      <c r="K559">
        <v>10</v>
      </c>
      <c r="L559">
        <v>51</v>
      </c>
      <c r="M559" t="s">
        <v>38</v>
      </c>
      <c r="N559" t="s">
        <v>65</v>
      </c>
      <c r="O559">
        <v>17977</v>
      </c>
      <c r="P559">
        <v>192</v>
      </c>
      <c r="Q559" t="s">
        <v>17</v>
      </c>
      <c r="R559" t="str">
        <f t="shared" si="9"/>
        <v>Yes</v>
      </c>
    </row>
    <row r="560" spans="1:18" x14ac:dyDescent="0.35">
      <c r="A560" s="1">
        <v>40314</v>
      </c>
      <c r="B560">
        <v>0</v>
      </c>
      <c r="C560" t="s">
        <v>73</v>
      </c>
      <c r="D560" t="s">
        <v>25</v>
      </c>
      <c r="E560" t="s">
        <v>18</v>
      </c>
      <c r="F560">
        <v>36</v>
      </c>
      <c r="G560" t="s">
        <v>68</v>
      </c>
      <c r="H560" t="s">
        <v>18</v>
      </c>
      <c r="I560">
        <v>37</v>
      </c>
      <c r="J560">
        <v>4</v>
      </c>
      <c r="K560">
        <v>2</v>
      </c>
      <c r="L560">
        <v>54</v>
      </c>
      <c r="M560" t="s">
        <v>20</v>
      </c>
      <c r="N560" t="s">
        <v>69</v>
      </c>
      <c r="O560">
        <v>37023</v>
      </c>
      <c r="P560">
        <v>197</v>
      </c>
      <c r="Q560" t="s">
        <v>25</v>
      </c>
      <c r="R560" t="str">
        <f t="shared" si="9"/>
        <v>No</v>
      </c>
    </row>
    <row r="561" spans="1:18" x14ac:dyDescent="0.35">
      <c r="A561" s="1">
        <v>40314</v>
      </c>
      <c r="B561">
        <v>0</v>
      </c>
      <c r="C561" t="s">
        <v>73</v>
      </c>
      <c r="D561" t="s">
        <v>22</v>
      </c>
      <c r="E561" t="s">
        <v>18</v>
      </c>
      <c r="F561">
        <v>37</v>
      </c>
      <c r="G561" t="s">
        <v>62</v>
      </c>
      <c r="H561" t="s">
        <v>18</v>
      </c>
      <c r="I561">
        <v>37</v>
      </c>
      <c r="J561">
        <v>1</v>
      </c>
      <c r="K561">
        <v>0</v>
      </c>
      <c r="L561">
        <v>54</v>
      </c>
      <c r="M561" t="s">
        <v>38</v>
      </c>
      <c r="N561" t="s">
        <v>81</v>
      </c>
      <c r="O561">
        <v>42327</v>
      </c>
      <c r="P561">
        <v>138</v>
      </c>
      <c r="Q561" t="s">
        <v>22</v>
      </c>
      <c r="R561" t="str">
        <f t="shared" si="9"/>
        <v>No</v>
      </c>
    </row>
    <row r="562" spans="1:18" x14ac:dyDescent="0.35">
      <c r="A562" s="1">
        <v>40314</v>
      </c>
      <c r="B562">
        <v>0</v>
      </c>
      <c r="C562" t="s">
        <v>73</v>
      </c>
      <c r="D562" t="s">
        <v>66</v>
      </c>
      <c r="E562" t="s">
        <v>18</v>
      </c>
      <c r="F562">
        <v>37</v>
      </c>
      <c r="G562" t="s">
        <v>70</v>
      </c>
      <c r="H562" t="s">
        <v>18</v>
      </c>
      <c r="I562">
        <v>36</v>
      </c>
      <c r="J562">
        <v>3</v>
      </c>
      <c r="K562">
        <v>4</v>
      </c>
      <c r="L562">
        <v>51</v>
      </c>
      <c r="M562" t="s">
        <v>38</v>
      </c>
      <c r="N562" t="s">
        <v>71</v>
      </c>
      <c r="O562">
        <v>40582</v>
      </c>
      <c r="P562">
        <v>131</v>
      </c>
      <c r="Q562" t="s">
        <v>70</v>
      </c>
      <c r="R562" t="str">
        <f t="shared" si="9"/>
        <v>Yes</v>
      </c>
    </row>
    <row r="563" spans="1:18" x14ac:dyDescent="0.35">
      <c r="A563" s="1">
        <v>40315</v>
      </c>
      <c r="B563">
        <v>0</v>
      </c>
      <c r="C563" t="s">
        <v>74</v>
      </c>
      <c r="D563" t="s">
        <v>37</v>
      </c>
      <c r="E563" t="s">
        <v>30</v>
      </c>
      <c r="F563">
        <v>39</v>
      </c>
      <c r="G563" t="s">
        <v>43</v>
      </c>
      <c r="H563" t="s">
        <v>30</v>
      </c>
      <c r="I563">
        <v>39</v>
      </c>
      <c r="J563">
        <v>4</v>
      </c>
      <c r="K563">
        <v>3</v>
      </c>
      <c r="L563">
        <v>54</v>
      </c>
      <c r="M563" t="s">
        <v>20</v>
      </c>
      <c r="N563" t="s">
        <v>56</v>
      </c>
      <c r="O563">
        <v>9299</v>
      </c>
      <c r="P563">
        <v>163</v>
      </c>
      <c r="Q563" t="s">
        <v>37</v>
      </c>
      <c r="R563" t="str">
        <f t="shared" si="9"/>
        <v>No</v>
      </c>
    </row>
    <row r="564" spans="1:18" x14ac:dyDescent="0.35">
      <c r="A564" s="1">
        <v>40315</v>
      </c>
      <c r="B564">
        <v>0</v>
      </c>
      <c r="C564" t="s">
        <v>74</v>
      </c>
      <c r="D564" t="s">
        <v>58</v>
      </c>
      <c r="E564" t="s">
        <v>30</v>
      </c>
      <c r="F564">
        <v>39</v>
      </c>
      <c r="G564" t="s">
        <v>59</v>
      </c>
      <c r="H564" t="s">
        <v>30</v>
      </c>
      <c r="I564">
        <v>38</v>
      </c>
      <c r="J564">
        <v>9</v>
      </c>
      <c r="K564">
        <v>11</v>
      </c>
      <c r="L564">
        <v>53</v>
      </c>
      <c r="M564" t="s">
        <v>20</v>
      </c>
      <c r="N564" t="s">
        <v>84</v>
      </c>
      <c r="O564">
        <v>48271</v>
      </c>
      <c r="P564">
        <v>227</v>
      </c>
      <c r="Q564" t="s">
        <v>59</v>
      </c>
      <c r="R564" t="str">
        <f t="shared" si="9"/>
        <v>Yes</v>
      </c>
    </row>
    <row r="565" spans="1:18" x14ac:dyDescent="0.35">
      <c r="A565" s="1">
        <v>40315</v>
      </c>
      <c r="B565">
        <v>0</v>
      </c>
      <c r="C565" t="s">
        <v>74</v>
      </c>
      <c r="D565" t="s">
        <v>40</v>
      </c>
      <c r="E565" t="s">
        <v>30</v>
      </c>
      <c r="F565">
        <v>38</v>
      </c>
      <c r="G565" t="s">
        <v>41</v>
      </c>
      <c r="H565" t="s">
        <v>30</v>
      </c>
      <c r="I565">
        <v>39</v>
      </c>
      <c r="J565">
        <v>4</v>
      </c>
      <c r="K565">
        <v>8</v>
      </c>
      <c r="L565">
        <v>51</v>
      </c>
      <c r="M565" t="s">
        <v>20</v>
      </c>
      <c r="N565" t="s">
        <v>42</v>
      </c>
      <c r="O565">
        <v>10051</v>
      </c>
      <c r="P565">
        <v>142</v>
      </c>
      <c r="Q565" t="s">
        <v>41</v>
      </c>
      <c r="R565" t="str">
        <f t="shared" si="9"/>
        <v>Yes</v>
      </c>
    </row>
    <row r="566" spans="1:18" x14ac:dyDescent="0.35">
      <c r="A566" s="1">
        <v>40315</v>
      </c>
      <c r="B566">
        <v>0</v>
      </c>
      <c r="C566" t="s">
        <v>74</v>
      </c>
      <c r="D566" t="s">
        <v>33</v>
      </c>
      <c r="E566" t="s">
        <v>30</v>
      </c>
      <c r="F566">
        <v>36</v>
      </c>
      <c r="G566" t="s">
        <v>44</v>
      </c>
      <c r="H566" t="s">
        <v>30</v>
      </c>
      <c r="I566">
        <v>38</v>
      </c>
      <c r="J566">
        <v>3</v>
      </c>
      <c r="K566">
        <v>4</v>
      </c>
      <c r="L566">
        <v>64</v>
      </c>
      <c r="M566" t="s">
        <v>20</v>
      </c>
      <c r="N566" t="s">
        <v>45</v>
      </c>
      <c r="O566">
        <v>18879</v>
      </c>
      <c r="P566">
        <v>222</v>
      </c>
      <c r="Q566" t="s">
        <v>44</v>
      </c>
      <c r="R566" t="str">
        <f t="shared" si="9"/>
        <v>Yes</v>
      </c>
    </row>
    <row r="567" spans="1:18" x14ac:dyDescent="0.35">
      <c r="A567" s="1">
        <v>40315</v>
      </c>
      <c r="B567">
        <v>0</v>
      </c>
      <c r="C567" t="s">
        <v>74</v>
      </c>
      <c r="D567" t="s">
        <v>31</v>
      </c>
      <c r="E567" t="s">
        <v>30</v>
      </c>
      <c r="F567">
        <v>40</v>
      </c>
      <c r="G567" t="s">
        <v>47</v>
      </c>
      <c r="H567" t="s">
        <v>30</v>
      </c>
      <c r="I567">
        <v>39</v>
      </c>
      <c r="J567">
        <v>3</v>
      </c>
      <c r="K567">
        <v>4</v>
      </c>
      <c r="L567">
        <v>51</v>
      </c>
      <c r="M567" t="s">
        <v>20</v>
      </c>
      <c r="N567" t="s">
        <v>48</v>
      </c>
      <c r="O567">
        <v>20210</v>
      </c>
      <c r="P567">
        <v>153</v>
      </c>
      <c r="Q567" t="s">
        <v>47</v>
      </c>
      <c r="R567" t="str">
        <f t="shared" si="9"/>
        <v>Yes</v>
      </c>
    </row>
    <row r="568" spans="1:18" x14ac:dyDescent="0.35">
      <c r="A568" s="1">
        <v>40315</v>
      </c>
      <c r="B568">
        <v>0</v>
      </c>
      <c r="C568" t="s">
        <v>74</v>
      </c>
      <c r="D568" t="s">
        <v>29</v>
      </c>
      <c r="E568" t="s">
        <v>30</v>
      </c>
      <c r="F568">
        <v>38</v>
      </c>
      <c r="G568" t="s">
        <v>46</v>
      </c>
      <c r="H568" t="s">
        <v>30</v>
      </c>
      <c r="I568">
        <v>40</v>
      </c>
      <c r="J568">
        <v>8</v>
      </c>
      <c r="K568">
        <v>3</v>
      </c>
      <c r="L568">
        <v>54</v>
      </c>
      <c r="M568" t="s">
        <v>20</v>
      </c>
      <c r="N568" t="s">
        <v>78</v>
      </c>
      <c r="O568">
        <v>13892</v>
      </c>
      <c r="P568">
        <v>177</v>
      </c>
      <c r="Q568" t="s">
        <v>29</v>
      </c>
      <c r="R568" t="str">
        <f t="shared" si="9"/>
        <v>No</v>
      </c>
    </row>
    <row r="569" spans="1:18" x14ac:dyDescent="0.35">
      <c r="A569" s="1">
        <v>40315</v>
      </c>
      <c r="B569">
        <v>0</v>
      </c>
      <c r="C569" t="s">
        <v>74</v>
      </c>
      <c r="D569" t="s">
        <v>19</v>
      </c>
      <c r="E569" t="s">
        <v>18</v>
      </c>
      <c r="F569">
        <v>39</v>
      </c>
      <c r="G569" t="s">
        <v>50</v>
      </c>
      <c r="H569" t="s">
        <v>18</v>
      </c>
      <c r="I569">
        <v>38</v>
      </c>
      <c r="J569">
        <v>3</v>
      </c>
      <c r="K569">
        <v>2</v>
      </c>
      <c r="L569">
        <v>54</v>
      </c>
      <c r="M569" t="s">
        <v>20</v>
      </c>
      <c r="N569" t="s">
        <v>51</v>
      </c>
      <c r="O569">
        <v>21086</v>
      </c>
      <c r="P569">
        <v>167</v>
      </c>
      <c r="Q569" t="s">
        <v>19</v>
      </c>
      <c r="R569" t="str">
        <f t="shared" si="9"/>
        <v>No</v>
      </c>
    </row>
    <row r="570" spans="1:18" x14ac:dyDescent="0.35">
      <c r="A570" s="1">
        <v>40315</v>
      </c>
      <c r="B570">
        <v>0</v>
      </c>
      <c r="C570" t="s">
        <v>74</v>
      </c>
      <c r="D570" t="s">
        <v>63</v>
      </c>
      <c r="E570" t="s">
        <v>18</v>
      </c>
      <c r="F570">
        <v>38</v>
      </c>
      <c r="G570" t="s">
        <v>49</v>
      </c>
      <c r="H570" t="s">
        <v>18</v>
      </c>
      <c r="I570">
        <v>39</v>
      </c>
      <c r="J570">
        <v>2</v>
      </c>
      <c r="K570">
        <v>4</v>
      </c>
      <c r="L570">
        <v>64</v>
      </c>
      <c r="M570" t="s">
        <v>20</v>
      </c>
      <c r="N570" t="s">
        <v>79</v>
      </c>
      <c r="O570">
        <v>35760</v>
      </c>
      <c r="P570">
        <v>198</v>
      </c>
      <c r="Q570" t="s">
        <v>49</v>
      </c>
      <c r="R570" t="str">
        <f t="shared" si="9"/>
        <v>Yes</v>
      </c>
    </row>
    <row r="571" spans="1:18" x14ac:dyDescent="0.35">
      <c r="A571" s="1">
        <v>40315</v>
      </c>
      <c r="B571">
        <v>0</v>
      </c>
      <c r="C571" t="s">
        <v>74</v>
      </c>
      <c r="D571" t="s">
        <v>68</v>
      </c>
      <c r="E571" t="s">
        <v>18</v>
      </c>
      <c r="F571">
        <v>38</v>
      </c>
      <c r="G571" t="s">
        <v>53</v>
      </c>
      <c r="H571" t="s">
        <v>18</v>
      </c>
      <c r="I571">
        <v>38</v>
      </c>
      <c r="J571">
        <v>3</v>
      </c>
      <c r="K571">
        <v>6</v>
      </c>
      <c r="L571">
        <v>51</v>
      </c>
      <c r="M571" t="s">
        <v>20</v>
      </c>
      <c r="N571" t="s">
        <v>54</v>
      </c>
      <c r="O571">
        <v>12409</v>
      </c>
      <c r="P571">
        <v>182</v>
      </c>
      <c r="Q571" t="s">
        <v>53</v>
      </c>
      <c r="R571" t="str">
        <f t="shared" si="9"/>
        <v>Yes</v>
      </c>
    </row>
    <row r="572" spans="1:18" x14ac:dyDescent="0.35">
      <c r="A572" s="1">
        <v>40315</v>
      </c>
      <c r="B572">
        <v>0</v>
      </c>
      <c r="C572" t="s">
        <v>74</v>
      </c>
      <c r="D572" t="s">
        <v>60</v>
      </c>
      <c r="E572" t="s">
        <v>18</v>
      </c>
      <c r="F572">
        <v>39</v>
      </c>
      <c r="G572" t="s">
        <v>17</v>
      </c>
      <c r="H572" t="s">
        <v>18</v>
      </c>
      <c r="I572">
        <v>39</v>
      </c>
      <c r="J572">
        <v>5</v>
      </c>
      <c r="K572">
        <v>1</v>
      </c>
      <c r="L572">
        <v>54</v>
      </c>
      <c r="M572" t="s">
        <v>20</v>
      </c>
      <c r="N572" t="s">
        <v>65</v>
      </c>
      <c r="O572">
        <v>10870</v>
      </c>
      <c r="P572">
        <v>168</v>
      </c>
      <c r="Q572" t="s">
        <v>60</v>
      </c>
      <c r="R572" t="str">
        <f t="shared" si="9"/>
        <v>No</v>
      </c>
    </row>
    <row r="573" spans="1:18" x14ac:dyDescent="0.35">
      <c r="A573" s="1">
        <v>40315</v>
      </c>
      <c r="B573">
        <v>0</v>
      </c>
      <c r="C573" t="s">
        <v>74</v>
      </c>
      <c r="D573" t="s">
        <v>66</v>
      </c>
      <c r="E573" t="s">
        <v>18</v>
      </c>
      <c r="F573">
        <v>38</v>
      </c>
      <c r="G573" t="s">
        <v>22</v>
      </c>
      <c r="H573" t="s">
        <v>18</v>
      </c>
      <c r="I573">
        <v>38</v>
      </c>
      <c r="J573">
        <v>2</v>
      </c>
      <c r="K573">
        <v>6</v>
      </c>
      <c r="L573">
        <v>51</v>
      </c>
      <c r="M573" t="s">
        <v>20</v>
      </c>
      <c r="N573" t="s">
        <v>85</v>
      </c>
      <c r="O573">
        <v>35282</v>
      </c>
      <c r="P573">
        <v>144</v>
      </c>
      <c r="Q573" t="s">
        <v>22</v>
      </c>
      <c r="R573" t="str">
        <f t="shared" si="9"/>
        <v>Yes</v>
      </c>
    </row>
    <row r="574" spans="1:18" x14ac:dyDescent="0.35">
      <c r="A574" s="1">
        <v>40315</v>
      </c>
      <c r="B574">
        <v>0</v>
      </c>
      <c r="C574" t="s">
        <v>74</v>
      </c>
      <c r="D574" t="s">
        <v>23</v>
      </c>
      <c r="E574" t="s">
        <v>18</v>
      </c>
      <c r="F574">
        <v>38</v>
      </c>
      <c r="G574" t="s">
        <v>25</v>
      </c>
      <c r="H574" t="s">
        <v>18</v>
      </c>
      <c r="I574">
        <v>37</v>
      </c>
      <c r="J574">
        <v>2</v>
      </c>
      <c r="K574">
        <v>12</v>
      </c>
      <c r="L574">
        <v>51</v>
      </c>
      <c r="M574" t="s">
        <v>20</v>
      </c>
      <c r="N574" t="s">
        <v>80</v>
      </c>
      <c r="O574">
        <v>45371</v>
      </c>
      <c r="P574">
        <v>158</v>
      </c>
      <c r="Q574" t="s">
        <v>25</v>
      </c>
      <c r="R574" t="str">
        <f t="shared" si="9"/>
        <v>Yes</v>
      </c>
    </row>
    <row r="575" spans="1:18" x14ac:dyDescent="0.35">
      <c r="A575" s="1">
        <v>40315</v>
      </c>
      <c r="B575">
        <v>0</v>
      </c>
      <c r="C575" t="s">
        <v>74</v>
      </c>
      <c r="D575" t="s">
        <v>70</v>
      </c>
      <c r="E575" t="s">
        <v>18</v>
      </c>
      <c r="F575">
        <v>37</v>
      </c>
      <c r="G575" t="s">
        <v>62</v>
      </c>
      <c r="H575" t="s">
        <v>18</v>
      </c>
      <c r="I575">
        <v>38</v>
      </c>
      <c r="J575">
        <v>1</v>
      </c>
      <c r="K575">
        <v>3</v>
      </c>
      <c r="L575">
        <v>51</v>
      </c>
      <c r="M575" t="s">
        <v>20</v>
      </c>
      <c r="N575" t="s">
        <v>81</v>
      </c>
      <c r="O575">
        <v>20558</v>
      </c>
      <c r="P575">
        <v>177</v>
      </c>
      <c r="Q575" t="s">
        <v>62</v>
      </c>
      <c r="R575" t="str">
        <f t="shared" si="9"/>
        <v>Yes</v>
      </c>
    </row>
    <row r="576" spans="1:18" x14ac:dyDescent="0.35">
      <c r="A576" s="1">
        <v>40315</v>
      </c>
      <c r="B576">
        <v>0</v>
      </c>
      <c r="C576" t="s">
        <v>74</v>
      </c>
      <c r="D576" t="s">
        <v>26</v>
      </c>
      <c r="E576" t="s">
        <v>18</v>
      </c>
      <c r="F576">
        <v>39</v>
      </c>
      <c r="G576" t="s">
        <v>52</v>
      </c>
      <c r="H576" t="s">
        <v>18</v>
      </c>
      <c r="I576">
        <v>39</v>
      </c>
      <c r="J576">
        <v>2</v>
      </c>
      <c r="K576">
        <v>6</v>
      </c>
      <c r="L576">
        <v>51</v>
      </c>
      <c r="M576" t="s">
        <v>20</v>
      </c>
      <c r="N576" t="s">
        <v>82</v>
      </c>
      <c r="O576">
        <v>38005</v>
      </c>
      <c r="P576">
        <v>173</v>
      </c>
      <c r="Q576" t="s">
        <v>52</v>
      </c>
      <c r="R576" t="str">
        <f t="shared" si="9"/>
        <v>Yes</v>
      </c>
    </row>
    <row r="577" spans="1:18" x14ac:dyDescent="0.35">
      <c r="A577" s="1">
        <v>40316</v>
      </c>
      <c r="B577">
        <v>0</v>
      </c>
      <c r="C577" t="s">
        <v>83</v>
      </c>
      <c r="D577" t="s">
        <v>37</v>
      </c>
      <c r="E577" t="s">
        <v>30</v>
      </c>
      <c r="F577">
        <v>40</v>
      </c>
      <c r="G577" t="s">
        <v>43</v>
      </c>
      <c r="H577" t="s">
        <v>30</v>
      </c>
      <c r="I577">
        <v>40</v>
      </c>
      <c r="J577">
        <v>3</v>
      </c>
      <c r="K577">
        <v>4</v>
      </c>
      <c r="L577">
        <v>58</v>
      </c>
      <c r="M577" t="s">
        <v>20</v>
      </c>
      <c r="N577" t="s">
        <v>56</v>
      </c>
      <c r="O577">
        <v>9715</v>
      </c>
      <c r="P577">
        <v>175</v>
      </c>
      <c r="Q577" t="s">
        <v>43</v>
      </c>
      <c r="R577" t="str">
        <f t="shared" si="9"/>
        <v>Yes</v>
      </c>
    </row>
    <row r="578" spans="1:18" x14ac:dyDescent="0.35">
      <c r="A578" s="1">
        <v>40316</v>
      </c>
      <c r="B578">
        <v>0</v>
      </c>
      <c r="C578" t="s">
        <v>83</v>
      </c>
      <c r="D578" t="s">
        <v>34</v>
      </c>
      <c r="E578" t="s">
        <v>30</v>
      </c>
      <c r="F578">
        <v>38</v>
      </c>
      <c r="G578" t="s">
        <v>36</v>
      </c>
      <c r="H578" t="s">
        <v>30</v>
      </c>
      <c r="I578">
        <v>39</v>
      </c>
      <c r="J578">
        <v>6</v>
      </c>
      <c r="K578">
        <v>2</v>
      </c>
      <c r="L578">
        <v>54</v>
      </c>
      <c r="M578" t="s">
        <v>38</v>
      </c>
      <c r="N578" t="s">
        <v>57</v>
      </c>
      <c r="O578">
        <v>28155</v>
      </c>
      <c r="P578">
        <v>164</v>
      </c>
      <c r="Q578" t="s">
        <v>34</v>
      </c>
      <c r="R578" t="str">
        <f t="shared" si="9"/>
        <v>No</v>
      </c>
    </row>
    <row r="579" spans="1:18" x14ac:dyDescent="0.35">
      <c r="A579" s="1">
        <v>40316</v>
      </c>
      <c r="B579">
        <v>0</v>
      </c>
      <c r="C579" t="s">
        <v>83</v>
      </c>
      <c r="D579" t="s">
        <v>58</v>
      </c>
      <c r="E579" t="s">
        <v>30</v>
      </c>
      <c r="F579">
        <v>40</v>
      </c>
      <c r="G579" t="s">
        <v>59</v>
      </c>
      <c r="H579" t="s">
        <v>30</v>
      </c>
      <c r="I579">
        <v>39</v>
      </c>
      <c r="J579">
        <v>7</v>
      </c>
      <c r="K579">
        <v>6</v>
      </c>
      <c r="L579">
        <v>54</v>
      </c>
      <c r="M579" t="s">
        <v>20</v>
      </c>
      <c r="N579" t="s">
        <v>84</v>
      </c>
      <c r="O579">
        <v>47734</v>
      </c>
      <c r="P579">
        <v>249</v>
      </c>
      <c r="Q579" t="s">
        <v>58</v>
      </c>
      <c r="R579" t="str">
        <f t="shared" ref="R579:R642" si="10">IF(K579&gt;J579,"Yes","No")</f>
        <v>No</v>
      </c>
    </row>
    <row r="580" spans="1:18" x14ac:dyDescent="0.35">
      <c r="A580" s="1">
        <v>40316</v>
      </c>
      <c r="B580">
        <v>0</v>
      </c>
      <c r="C580" t="s">
        <v>83</v>
      </c>
      <c r="D580" t="s">
        <v>40</v>
      </c>
      <c r="E580" t="s">
        <v>30</v>
      </c>
      <c r="F580">
        <v>39</v>
      </c>
      <c r="G580" t="s">
        <v>41</v>
      </c>
      <c r="H580" t="s">
        <v>30</v>
      </c>
      <c r="I580">
        <v>40</v>
      </c>
      <c r="J580">
        <v>5</v>
      </c>
      <c r="K580">
        <v>6</v>
      </c>
      <c r="L580">
        <v>59</v>
      </c>
      <c r="M580" t="s">
        <v>20</v>
      </c>
      <c r="N580" t="s">
        <v>42</v>
      </c>
      <c r="O580">
        <v>10512</v>
      </c>
      <c r="P580">
        <v>218</v>
      </c>
      <c r="Q580" t="s">
        <v>41</v>
      </c>
      <c r="R580" t="str">
        <f t="shared" si="10"/>
        <v>Yes</v>
      </c>
    </row>
    <row r="581" spans="1:18" x14ac:dyDescent="0.35">
      <c r="A581" s="1">
        <v>40316</v>
      </c>
      <c r="B581">
        <v>0</v>
      </c>
      <c r="C581" t="s">
        <v>83</v>
      </c>
      <c r="D581" t="s">
        <v>33</v>
      </c>
      <c r="E581" t="s">
        <v>30</v>
      </c>
      <c r="F581">
        <v>37</v>
      </c>
      <c r="G581" t="s">
        <v>44</v>
      </c>
      <c r="H581" t="s">
        <v>30</v>
      </c>
      <c r="I581">
        <v>39</v>
      </c>
      <c r="J581">
        <v>2</v>
      </c>
      <c r="K581">
        <v>6</v>
      </c>
      <c r="L581">
        <v>51</v>
      </c>
      <c r="M581" t="s">
        <v>38</v>
      </c>
      <c r="N581" t="s">
        <v>45</v>
      </c>
      <c r="O581">
        <v>17093</v>
      </c>
      <c r="P581">
        <v>198</v>
      </c>
      <c r="Q581" t="s">
        <v>44</v>
      </c>
      <c r="R581" t="str">
        <f t="shared" si="10"/>
        <v>Yes</v>
      </c>
    </row>
    <row r="582" spans="1:18" x14ac:dyDescent="0.35">
      <c r="A582" s="1">
        <v>40316</v>
      </c>
      <c r="B582">
        <v>0</v>
      </c>
      <c r="C582" t="s">
        <v>83</v>
      </c>
      <c r="D582" t="s">
        <v>31</v>
      </c>
      <c r="E582" t="s">
        <v>30</v>
      </c>
      <c r="F582">
        <v>41</v>
      </c>
      <c r="G582" t="s">
        <v>47</v>
      </c>
      <c r="H582" t="s">
        <v>30</v>
      </c>
      <c r="I582">
        <v>40</v>
      </c>
      <c r="J582">
        <v>7</v>
      </c>
      <c r="K582">
        <v>8</v>
      </c>
      <c r="L582">
        <v>51</v>
      </c>
      <c r="M582" t="s">
        <v>20</v>
      </c>
      <c r="N582" t="s">
        <v>48</v>
      </c>
      <c r="O582">
        <v>22358</v>
      </c>
      <c r="P582">
        <v>193</v>
      </c>
      <c r="Q582" t="s">
        <v>47</v>
      </c>
      <c r="R582" t="str">
        <f t="shared" si="10"/>
        <v>Yes</v>
      </c>
    </row>
    <row r="583" spans="1:18" x14ac:dyDescent="0.35">
      <c r="A583" s="1">
        <v>40316</v>
      </c>
      <c r="B583">
        <v>0</v>
      </c>
      <c r="C583" t="s">
        <v>83</v>
      </c>
      <c r="D583" t="s">
        <v>29</v>
      </c>
      <c r="E583" t="s">
        <v>30</v>
      </c>
      <c r="F583">
        <v>39</v>
      </c>
      <c r="G583" t="s">
        <v>46</v>
      </c>
      <c r="H583" t="s">
        <v>30</v>
      </c>
      <c r="I583">
        <v>41</v>
      </c>
      <c r="J583">
        <v>2</v>
      </c>
      <c r="K583">
        <v>11</v>
      </c>
      <c r="L583">
        <v>51</v>
      </c>
      <c r="M583" t="s">
        <v>38</v>
      </c>
      <c r="N583" t="s">
        <v>78</v>
      </c>
      <c r="O583">
        <v>27981</v>
      </c>
      <c r="P583">
        <v>153</v>
      </c>
      <c r="Q583" t="s">
        <v>46</v>
      </c>
      <c r="R583" t="str">
        <f t="shared" si="10"/>
        <v>Yes</v>
      </c>
    </row>
    <row r="584" spans="1:18" x14ac:dyDescent="0.35">
      <c r="A584" s="1">
        <v>40316</v>
      </c>
      <c r="B584">
        <v>0</v>
      </c>
      <c r="C584" t="s">
        <v>83</v>
      </c>
      <c r="D584" t="s">
        <v>19</v>
      </c>
      <c r="E584" t="s">
        <v>18</v>
      </c>
      <c r="F584">
        <v>40</v>
      </c>
      <c r="G584" t="s">
        <v>50</v>
      </c>
      <c r="H584" t="s">
        <v>18</v>
      </c>
      <c r="I584">
        <v>39</v>
      </c>
      <c r="J584">
        <v>2</v>
      </c>
      <c r="K584">
        <v>3</v>
      </c>
      <c r="L584">
        <v>51</v>
      </c>
      <c r="M584" t="s">
        <v>20</v>
      </c>
      <c r="N584" t="s">
        <v>51</v>
      </c>
      <c r="O584">
        <v>27119</v>
      </c>
      <c r="P584">
        <v>166</v>
      </c>
      <c r="Q584" t="s">
        <v>50</v>
      </c>
      <c r="R584" t="str">
        <f t="shared" si="10"/>
        <v>Yes</v>
      </c>
    </row>
    <row r="585" spans="1:18" x14ac:dyDescent="0.35">
      <c r="A585" s="1">
        <v>40316</v>
      </c>
      <c r="B585">
        <v>0</v>
      </c>
      <c r="C585" t="s">
        <v>83</v>
      </c>
      <c r="D585" t="s">
        <v>63</v>
      </c>
      <c r="E585" t="s">
        <v>18</v>
      </c>
      <c r="F585">
        <v>39</v>
      </c>
      <c r="G585" t="s">
        <v>49</v>
      </c>
      <c r="H585" t="s">
        <v>18</v>
      </c>
      <c r="I585">
        <v>40</v>
      </c>
      <c r="J585">
        <v>2</v>
      </c>
      <c r="K585">
        <v>6</v>
      </c>
      <c r="L585">
        <v>51</v>
      </c>
      <c r="M585" t="s">
        <v>20</v>
      </c>
      <c r="N585" t="s">
        <v>79</v>
      </c>
      <c r="O585">
        <v>37029</v>
      </c>
      <c r="P585">
        <v>196</v>
      </c>
      <c r="Q585" t="s">
        <v>49</v>
      </c>
      <c r="R585" t="str">
        <f t="shared" si="10"/>
        <v>Yes</v>
      </c>
    </row>
    <row r="586" spans="1:18" x14ac:dyDescent="0.35">
      <c r="A586" s="1">
        <v>40316</v>
      </c>
      <c r="B586">
        <v>0</v>
      </c>
      <c r="C586" t="s">
        <v>83</v>
      </c>
      <c r="D586" t="s">
        <v>68</v>
      </c>
      <c r="E586" t="s">
        <v>18</v>
      </c>
      <c r="F586">
        <v>39</v>
      </c>
      <c r="G586" t="s">
        <v>53</v>
      </c>
      <c r="H586" t="s">
        <v>18</v>
      </c>
      <c r="I586">
        <v>39</v>
      </c>
      <c r="J586">
        <v>4</v>
      </c>
      <c r="K586">
        <v>5</v>
      </c>
      <c r="L586">
        <v>51</v>
      </c>
      <c r="M586" t="s">
        <v>38</v>
      </c>
      <c r="N586" t="s">
        <v>54</v>
      </c>
      <c r="O586">
        <v>17697</v>
      </c>
      <c r="P586">
        <v>194</v>
      </c>
      <c r="Q586" t="s">
        <v>53</v>
      </c>
      <c r="R586" t="str">
        <f t="shared" si="10"/>
        <v>Yes</v>
      </c>
    </row>
    <row r="587" spans="1:18" x14ac:dyDescent="0.35">
      <c r="A587" s="1">
        <v>40316</v>
      </c>
      <c r="B587">
        <v>0</v>
      </c>
      <c r="C587" t="s">
        <v>83</v>
      </c>
      <c r="D587" t="s">
        <v>60</v>
      </c>
      <c r="E587" t="s">
        <v>18</v>
      </c>
      <c r="F587">
        <v>40</v>
      </c>
      <c r="G587" t="s">
        <v>17</v>
      </c>
      <c r="H587" t="s">
        <v>18</v>
      </c>
      <c r="I587">
        <v>40</v>
      </c>
      <c r="J587">
        <v>0</v>
      </c>
      <c r="K587">
        <v>8</v>
      </c>
      <c r="L587">
        <v>51</v>
      </c>
      <c r="M587" t="s">
        <v>38</v>
      </c>
      <c r="N587" t="s">
        <v>65</v>
      </c>
      <c r="O587">
        <v>13289</v>
      </c>
      <c r="P587">
        <v>167</v>
      </c>
      <c r="Q587" t="s">
        <v>17</v>
      </c>
      <c r="R587" t="str">
        <f t="shared" si="10"/>
        <v>Yes</v>
      </c>
    </row>
    <row r="588" spans="1:18" x14ac:dyDescent="0.35">
      <c r="A588" s="1">
        <v>40316</v>
      </c>
      <c r="B588">
        <v>0</v>
      </c>
      <c r="C588" t="s">
        <v>83</v>
      </c>
      <c r="D588" t="s">
        <v>66</v>
      </c>
      <c r="E588" t="s">
        <v>18</v>
      </c>
      <c r="F588">
        <v>39</v>
      </c>
      <c r="G588" t="s">
        <v>22</v>
      </c>
      <c r="H588" t="s">
        <v>18</v>
      </c>
      <c r="I588">
        <v>39</v>
      </c>
      <c r="J588">
        <v>3</v>
      </c>
      <c r="K588">
        <v>7</v>
      </c>
      <c r="L588">
        <v>51</v>
      </c>
      <c r="M588" t="s">
        <v>20</v>
      </c>
      <c r="N588" t="s">
        <v>85</v>
      </c>
      <c r="O588">
        <v>55662</v>
      </c>
      <c r="P588">
        <v>156</v>
      </c>
      <c r="Q588" t="s">
        <v>22</v>
      </c>
      <c r="R588" t="str">
        <f t="shared" si="10"/>
        <v>Yes</v>
      </c>
    </row>
    <row r="589" spans="1:18" x14ac:dyDescent="0.35">
      <c r="A589" s="1">
        <v>40316</v>
      </c>
      <c r="B589">
        <v>0</v>
      </c>
      <c r="C589" t="s">
        <v>83</v>
      </c>
      <c r="D589" t="s">
        <v>23</v>
      </c>
      <c r="E589" t="s">
        <v>18</v>
      </c>
      <c r="F589">
        <v>39</v>
      </c>
      <c r="G589" t="s">
        <v>25</v>
      </c>
      <c r="H589" t="s">
        <v>18</v>
      </c>
      <c r="I589">
        <v>38</v>
      </c>
      <c r="J589">
        <v>2</v>
      </c>
      <c r="K589">
        <v>1</v>
      </c>
      <c r="L589">
        <v>54</v>
      </c>
      <c r="M589" t="s">
        <v>20</v>
      </c>
      <c r="N589" t="s">
        <v>80</v>
      </c>
      <c r="O589">
        <v>45007</v>
      </c>
      <c r="P589">
        <v>150</v>
      </c>
      <c r="Q589" t="s">
        <v>23</v>
      </c>
      <c r="R589" t="str">
        <f t="shared" si="10"/>
        <v>No</v>
      </c>
    </row>
    <row r="590" spans="1:18" x14ac:dyDescent="0.35">
      <c r="A590" s="1">
        <v>40316</v>
      </c>
      <c r="B590">
        <v>0</v>
      </c>
      <c r="C590" t="s">
        <v>83</v>
      </c>
      <c r="D590" t="s">
        <v>70</v>
      </c>
      <c r="E590" t="s">
        <v>18</v>
      </c>
      <c r="F590">
        <v>38</v>
      </c>
      <c r="G590" t="s">
        <v>62</v>
      </c>
      <c r="H590" t="s">
        <v>18</v>
      </c>
      <c r="I590">
        <v>39</v>
      </c>
      <c r="J590">
        <v>7</v>
      </c>
      <c r="K590">
        <v>6</v>
      </c>
      <c r="L590">
        <v>72</v>
      </c>
      <c r="M590" t="s">
        <v>20</v>
      </c>
      <c r="N590" t="s">
        <v>81</v>
      </c>
      <c r="O590">
        <v>19565</v>
      </c>
      <c r="P590">
        <v>247</v>
      </c>
      <c r="Q590" t="s">
        <v>70</v>
      </c>
      <c r="R590" t="str">
        <f t="shared" si="10"/>
        <v>No</v>
      </c>
    </row>
    <row r="591" spans="1:18" x14ac:dyDescent="0.35">
      <c r="A591" s="1">
        <v>40316</v>
      </c>
      <c r="B591">
        <v>0</v>
      </c>
      <c r="C591" t="s">
        <v>83</v>
      </c>
      <c r="D591" t="s">
        <v>26</v>
      </c>
      <c r="E591" t="s">
        <v>18</v>
      </c>
      <c r="F591">
        <v>40</v>
      </c>
      <c r="G591" t="s">
        <v>52</v>
      </c>
      <c r="H591" t="s">
        <v>18</v>
      </c>
      <c r="I591">
        <v>40</v>
      </c>
      <c r="J591">
        <v>2</v>
      </c>
      <c r="K591">
        <v>3</v>
      </c>
      <c r="L591">
        <v>51</v>
      </c>
      <c r="M591" t="s">
        <v>20</v>
      </c>
      <c r="N591" t="s">
        <v>82</v>
      </c>
      <c r="O591">
        <v>36345</v>
      </c>
      <c r="P591">
        <v>153</v>
      </c>
      <c r="Q591" t="s">
        <v>52</v>
      </c>
      <c r="R591" t="str">
        <f t="shared" si="10"/>
        <v>Yes</v>
      </c>
    </row>
    <row r="592" spans="1:18" x14ac:dyDescent="0.35">
      <c r="A592" s="1">
        <v>40317</v>
      </c>
      <c r="B592">
        <v>0</v>
      </c>
      <c r="C592" t="s">
        <v>16</v>
      </c>
      <c r="D592" t="s">
        <v>29</v>
      </c>
      <c r="E592" t="s">
        <v>30</v>
      </c>
      <c r="F592">
        <v>40</v>
      </c>
      <c r="G592" t="s">
        <v>58</v>
      </c>
      <c r="H592" t="s">
        <v>30</v>
      </c>
      <c r="I592">
        <v>41</v>
      </c>
      <c r="J592">
        <v>2</v>
      </c>
      <c r="K592">
        <v>3</v>
      </c>
      <c r="L592">
        <v>51</v>
      </c>
      <c r="M592" t="s">
        <v>20</v>
      </c>
      <c r="N592" t="s">
        <v>86</v>
      </c>
      <c r="O592">
        <v>37426</v>
      </c>
      <c r="P592">
        <v>179</v>
      </c>
      <c r="Q592" t="s">
        <v>58</v>
      </c>
      <c r="R592" t="str">
        <f t="shared" si="10"/>
        <v>Yes</v>
      </c>
    </row>
    <row r="593" spans="1:18" x14ac:dyDescent="0.35">
      <c r="A593" s="1">
        <v>40317</v>
      </c>
      <c r="B593">
        <v>0</v>
      </c>
      <c r="C593" t="s">
        <v>16</v>
      </c>
      <c r="D593" t="s">
        <v>31</v>
      </c>
      <c r="E593" t="s">
        <v>30</v>
      </c>
      <c r="F593">
        <v>42</v>
      </c>
      <c r="G593" t="s">
        <v>34</v>
      </c>
      <c r="H593" t="s">
        <v>30</v>
      </c>
      <c r="I593">
        <v>39</v>
      </c>
      <c r="J593">
        <v>3</v>
      </c>
      <c r="K593">
        <v>2</v>
      </c>
      <c r="L593">
        <v>54</v>
      </c>
      <c r="M593" t="s">
        <v>20</v>
      </c>
      <c r="N593" t="s">
        <v>35</v>
      </c>
      <c r="O593">
        <v>23271</v>
      </c>
      <c r="P593">
        <v>146</v>
      </c>
      <c r="Q593" t="s">
        <v>31</v>
      </c>
      <c r="R593" t="str">
        <f t="shared" si="10"/>
        <v>No</v>
      </c>
    </row>
    <row r="594" spans="1:18" x14ac:dyDescent="0.35">
      <c r="A594" s="1">
        <v>40317</v>
      </c>
      <c r="B594">
        <v>0</v>
      </c>
      <c r="C594" t="s">
        <v>16</v>
      </c>
      <c r="D594" t="s">
        <v>37</v>
      </c>
      <c r="E594" t="s">
        <v>30</v>
      </c>
      <c r="F594">
        <v>41</v>
      </c>
      <c r="G594" t="s">
        <v>33</v>
      </c>
      <c r="H594" t="s">
        <v>30</v>
      </c>
      <c r="I594">
        <v>38</v>
      </c>
      <c r="J594">
        <v>8</v>
      </c>
      <c r="K594">
        <v>4</v>
      </c>
      <c r="L594">
        <v>54</v>
      </c>
      <c r="M594" t="s">
        <v>20</v>
      </c>
      <c r="N594" t="s">
        <v>75</v>
      </c>
      <c r="O594">
        <v>10916</v>
      </c>
      <c r="P594">
        <v>219</v>
      </c>
      <c r="Q594" t="s">
        <v>37</v>
      </c>
      <c r="R594" t="str">
        <f t="shared" si="10"/>
        <v>No</v>
      </c>
    </row>
    <row r="595" spans="1:18" x14ac:dyDescent="0.35">
      <c r="A595" s="1">
        <v>40317</v>
      </c>
      <c r="B595">
        <v>0</v>
      </c>
      <c r="C595" t="s">
        <v>16</v>
      </c>
      <c r="D595" t="s">
        <v>44</v>
      </c>
      <c r="E595" t="s">
        <v>30</v>
      </c>
      <c r="F595">
        <v>40</v>
      </c>
      <c r="G595" t="s">
        <v>59</v>
      </c>
      <c r="H595" t="s">
        <v>30</v>
      </c>
      <c r="I595">
        <v>40</v>
      </c>
      <c r="J595">
        <v>10</v>
      </c>
      <c r="K595">
        <v>6</v>
      </c>
      <c r="L595">
        <v>54</v>
      </c>
      <c r="M595" t="s">
        <v>20</v>
      </c>
      <c r="N595" t="s">
        <v>84</v>
      </c>
      <c r="O595">
        <v>43283</v>
      </c>
      <c r="P595">
        <v>225</v>
      </c>
      <c r="Q595" t="s">
        <v>44</v>
      </c>
      <c r="R595" t="str">
        <f t="shared" si="10"/>
        <v>No</v>
      </c>
    </row>
    <row r="596" spans="1:18" x14ac:dyDescent="0.35">
      <c r="A596" s="1">
        <v>40317</v>
      </c>
      <c r="B596">
        <v>0</v>
      </c>
      <c r="C596" t="s">
        <v>16</v>
      </c>
      <c r="D596" t="s">
        <v>36</v>
      </c>
      <c r="E596" t="s">
        <v>30</v>
      </c>
      <c r="F596">
        <v>40</v>
      </c>
      <c r="G596" t="s">
        <v>41</v>
      </c>
      <c r="H596" t="s">
        <v>30</v>
      </c>
      <c r="I596">
        <v>41</v>
      </c>
      <c r="J596">
        <v>5</v>
      </c>
      <c r="K596">
        <v>1</v>
      </c>
      <c r="L596">
        <v>54</v>
      </c>
      <c r="M596" t="s">
        <v>20</v>
      </c>
      <c r="N596" t="s">
        <v>42</v>
      </c>
      <c r="O596">
        <v>19284</v>
      </c>
      <c r="P596">
        <v>146</v>
      </c>
      <c r="Q596" t="s">
        <v>36</v>
      </c>
      <c r="R596" t="str">
        <f t="shared" si="10"/>
        <v>No</v>
      </c>
    </row>
    <row r="597" spans="1:18" x14ac:dyDescent="0.35">
      <c r="A597" s="1">
        <v>40317</v>
      </c>
      <c r="B597">
        <v>0</v>
      </c>
      <c r="C597" t="s">
        <v>16</v>
      </c>
      <c r="D597" t="s">
        <v>46</v>
      </c>
      <c r="E597" t="s">
        <v>30</v>
      </c>
      <c r="F597">
        <v>42</v>
      </c>
      <c r="G597" t="s">
        <v>40</v>
      </c>
      <c r="H597" t="s">
        <v>30</v>
      </c>
      <c r="I597">
        <v>40</v>
      </c>
      <c r="J597">
        <v>3</v>
      </c>
      <c r="K597">
        <v>2</v>
      </c>
      <c r="L597">
        <v>54</v>
      </c>
      <c r="M597" t="s">
        <v>20</v>
      </c>
      <c r="N597" t="s">
        <v>77</v>
      </c>
      <c r="O597">
        <v>19208</v>
      </c>
      <c r="P597">
        <v>156</v>
      </c>
      <c r="Q597" t="s">
        <v>46</v>
      </c>
      <c r="R597" t="str">
        <f t="shared" si="10"/>
        <v>No</v>
      </c>
    </row>
    <row r="598" spans="1:18" x14ac:dyDescent="0.35">
      <c r="A598" s="1">
        <v>40317</v>
      </c>
      <c r="B598">
        <v>0</v>
      </c>
      <c r="C598" t="s">
        <v>16</v>
      </c>
      <c r="D598" t="s">
        <v>43</v>
      </c>
      <c r="E598" t="s">
        <v>30</v>
      </c>
      <c r="F598">
        <v>41</v>
      </c>
      <c r="G598" t="s">
        <v>47</v>
      </c>
      <c r="H598" t="s">
        <v>30</v>
      </c>
      <c r="I598">
        <v>41</v>
      </c>
      <c r="J598">
        <v>3</v>
      </c>
      <c r="K598">
        <v>4</v>
      </c>
      <c r="L598">
        <v>53</v>
      </c>
      <c r="M598" t="s">
        <v>20</v>
      </c>
      <c r="N598" t="s">
        <v>48</v>
      </c>
      <c r="O598">
        <v>22321</v>
      </c>
      <c r="P598">
        <v>191</v>
      </c>
      <c r="Q598" t="s">
        <v>47</v>
      </c>
      <c r="R598" t="str">
        <f t="shared" si="10"/>
        <v>Yes</v>
      </c>
    </row>
    <row r="599" spans="1:18" x14ac:dyDescent="0.35">
      <c r="A599" s="1">
        <v>40317</v>
      </c>
      <c r="B599">
        <v>0</v>
      </c>
      <c r="C599" t="s">
        <v>16</v>
      </c>
      <c r="D599" t="s">
        <v>70</v>
      </c>
      <c r="E599" t="s">
        <v>18</v>
      </c>
      <c r="F599">
        <v>39</v>
      </c>
      <c r="G599" t="s">
        <v>60</v>
      </c>
      <c r="H599" t="s">
        <v>18</v>
      </c>
      <c r="I599">
        <v>41</v>
      </c>
      <c r="J599">
        <v>1</v>
      </c>
      <c r="K599">
        <v>13</v>
      </c>
      <c r="L599">
        <v>51</v>
      </c>
      <c r="M599" t="s">
        <v>20</v>
      </c>
      <c r="N599" t="s">
        <v>61</v>
      </c>
      <c r="O599">
        <v>17073</v>
      </c>
      <c r="P599">
        <v>166</v>
      </c>
      <c r="Q599" t="s">
        <v>60</v>
      </c>
      <c r="R599" t="str">
        <f t="shared" si="10"/>
        <v>Yes</v>
      </c>
    </row>
    <row r="600" spans="1:18" x14ac:dyDescent="0.35">
      <c r="A600" s="1">
        <v>40317</v>
      </c>
      <c r="B600">
        <v>0</v>
      </c>
      <c r="C600" t="s">
        <v>16</v>
      </c>
      <c r="D600" t="s">
        <v>53</v>
      </c>
      <c r="E600" t="s">
        <v>18</v>
      </c>
      <c r="F600">
        <v>40</v>
      </c>
      <c r="G600" t="s">
        <v>50</v>
      </c>
      <c r="H600" t="s">
        <v>18</v>
      </c>
      <c r="I600">
        <v>40</v>
      </c>
      <c r="J600">
        <v>4</v>
      </c>
      <c r="K600">
        <v>5</v>
      </c>
      <c r="L600">
        <v>53</v>
      </c>
      <c r="M600" t="s">
        <v>20</v>
      </c>
      <c r="N600" t="s">
        <v>51</v>
      </c>
      <c r="O600">
        <v>25347</v>
      </c>
      <c r="P600">
        <v>174</v>
      </c>
      <c r="Q600" t="s">
        <v>50</v>
      </c>
      <c r="R600" t="str">
        <f t="shared" si="10"/>
        <v>Yes</v>
      </c>
    </row>
    <row r="601" spans="1:18" x14ac:dyDescent="0.35">
      <c r="A601" s="1">
        <v>40317</v>
      </c>
      <c r="B601">
        <v>0</v>
      </c>
      <c r="C601" t="s">
        <v>16</v>
      </c>
      <c r="D601" t="s">
        <v>63</v>
      </c>
      <c r="E601" t="s">
        <v>18</v>
      </c>
      <c r="F601">
        <v>40</v>
      </c>
      <c r="G601" t="s">
        <v>66</v>
      </c>
      <c r="H601" t="s">
        <v>18</v>
      </c>
      <c r="I601">
        <v>40</v>
      </c>
      <c r="J601">
        <v>3</v>
      </c>
      <c r="K601">
        <v>7</v>
      </c>
      <c r="L601">
        <v>51</v>
      </c>
      <c r="M601" t="s">
        <v>20</v>
      </c>
      <c r="N601" t="s">
        <v>67</v>
      </c>
      <c r="O601">
        <v>25200</v>
      </c>
      <c r="P601">
        <v>166</v>
      </c>
      <c r="Q601" t="s">
        <v>66</v>
      </c>
      <c r="R601" t="str">
        <f t="shared" si="10"/>
        <v>Yes</v>
      </c>
    </row>
    <row r="602" spans="1:18" x14ac:dyDescent="0.35">
      <c r="A602" s="1">
        <v>40317</v>
      </c>
      <c r="B602">
        <v>0</v>
      </c>
      <c r="C602" t="s">
        <v>16</v>
      </c>
      <c r="D602" t="s">
        <v>62</v>
      </c>
      <c r="E602" t="s">
        <v>18</v>
      </c>
      <c r="F602">
        <v>40</v>
      </c>
      <c r="G602" t="s">
        <v>22</v>
      </c>
      <c r="H602" t="s">
        <v>18</v>
      </c>
      <c r="I602">
        <v>40</v>
      </c>
      <c r="J602">
        <v>10</v>
      </c>
      <c r="K602">
        <v>5</v>
      </c>
      <c r="L602">
        <v>54</v>
      </c>
      <c r="M602" t="s">
        <v>20</v>
      </c>
      <c r="N602" t="s">
        <v>85</v>
      </c>
      <c r="O602">
        <v>40138</v>
      </c>
      <c r="P602">
        <v>228</v>
      </c>
      <c r="Q602" t="s">
        <v>62</v>
      </c>
      <c r="R602" t="str">
        <f t="shared" si="10"/>
        <v>No</v>
      </c>
    </row>
    <row r="603" spans="1:18" x14ac:dyDescent="0.35">
      <c r="A603" s="1">
        <v>40317</v>
      </c>
      <c r="B603">
        <v>0</v>
      </c>
      <c r="C603" t="s">
        <v>16</v>
      </c>
      <c r="D603" t="s">
        <v>49</v>
      </c>
      <c r="E603" t="s">
        <v>18</v>
      </c>
      <c r="F603">
        <v>41</v>
      </c>
      <c r="G603" t="s">
        <v>25</v>
      </c>
      <c r="H603" t="s">
        <v>18</v>
      </c>
      <c r="I603">
        <v>39</v>
      </c>
      <c r="J603">
        <v>4</v>
      </c>
      <c r="K603">
        <v>1</v>
      </c>
      <c r="L603">
        <v>54</v>
      </c>
      <c r="M603" t="s">
        <v>20</v>
      </c>
      <c r="N603" t="s">
        <v>80</v>
      </c>
      <c r="O603">
        <v>45140</v>
      </c>
      <c r="P603">
        <v>170</v>
      </c>
      <c r="Q603" t="s">
        <v>49</v>
      </c>
      <c r="R603" t="str">
        <f t="shared" si="10"/>
        <v>No</v>
      </c>
    </row>
    <row r="604" spans="1:18" x14ac:dyDescent="0.35">
      <c r="A604" s="1">
        <v>40317</v>
      </c>
      <c r="B604">
        <v>0</v>
      </c>
      <c r="C604" t="s">
        <v>16</v>
      </c>
      <c r="D604" t="s">
        <v>68</v>
      </c>
      <c r="E604" t="s">
        <v>18</v>
      </c>
      <c r="F604">
        <v>40</v>
      </c>
      <c r="G604" t="s">
        <v>23</v>
      </c>
      <c r="H604" t="s">
        <v>18</v>
      </c>
      <c r="I604">
        <v>40</v>
      </c>
      <c r="J604">
        <v>4</v>
      </c>
      <c r="K604">
        <v>6</v>
      </c>
      <c r="L604">
        <v>51</v>
      </c>
      <c r="M604" t="s">
        <v>20</v>
      </c>
      <c r="N604" t="s">
        <v>24</v>
      </c>
      <c r="O604">
        <v>9526</v>
      </c>
      <c r="P604">
        <v>178</v>
      </c>
      <c r="Q604" t="s">
        <v>23</v>
      </c>
      <c r="R604" t="str">
        <f t="shared" si="10"/>
        <v>Yes</v>
      </c>
    </row>
    <row r="605" spans="1:18" x14ac:dyDescent="0.35">
      <c r="A605" s="1">
        <v>40317</v>
      </c>
      <c r="B605">
        <v>0</v>
      </c>
      <c r="C605" t="s">
        <v>16</v>
      </c>
      <c r="D605" t="s">
        <v>17</v>
      </c>
      <c r="E605" t="s">
        <v>18</v>
      </c>
      <c r="F605">
        <v>41</v>
      </c>
      <c r="G605" t="s">
        <v>52</v>
      </c>
      <c r="H605" t="s">
        <v>18</v>
      </c>
      <c r="I605">
        <v>41</v>
      </c>
      <c r="J605">
        <v>5</v>
      </c>
      <c r="K605">
        <v>1</v>
      </c>
      <c r="L605">
        <v>54</v>
      </c>
      <c r="M605" t="s">
        <v>20</v>
      </c>
      <c r="N605" t="s">
        <v>82</v>
      </c>
      <c r="O605">
        <v>40766</v>
      </c>
      <c r="P605">
        <v>174</v>
      </c>
      <c r="Q605" t="s">
        <v>17</v>
      </c>
      <c r="R605" t="str">
        <f t="shared" si="10"/>
        <v>No</v>
      </c>
    </row>
    <row r="606" spans="1:18" x14ac:dyDescent="0.35">
      <c r="A606" s="1">
        <v>40317</v>
      </c>
      <c r="B606">
        <v>0</v>
      </c>
      <c r="C606" t="s">
        <v>16</v>
      </c>
      <c r="D606" t="s">
        <v>19</v>
      </c>
      <c r="E606" t="s">
        <v>18</v>
      </c>
      <c r="F606">
        <v>41</v>
      </c>
      <c r="G606" t="s">
        <v>26</v>
      </c>
      <c r="H606" t="s">
        <v>18</v>
      </c>
      <c r="I606">
        <v>41</v>
      </c>
      <c r="J606">
        <v>3</v>
      </c>
      <c r="K606">
        <v>5</v>
      </c>
      <c r="L606">
        <v>51</v>
      </c>
      <c r="M606" t="s">
        <v>20</v>
      </c>
      <c r="N606" t="s">
        <v>27</v>
      </c>
      <c r="O606">
        <v>19384</v>
      </c>
      <c r="P606">
        <v>160</v>
      </c>
      <c r="Q606" t="s">
        <v>26</v>
      </c>
      <c r="R606" t="str">
        <f t="shared" si="10"/>
        <v>Yes</v>
      </c>
    </row>
    <row r="607" spans="1:18" x14ac:dyDescent="0.35">
      <c r="A607" s="1">
        <v>40318</v>
      </c>
      <c r="B607">
        <v>0</v>
      </c>
      <c r="C607" t="s">
        <v>28</v>
      </c>
      <c r="D607" t="s">
        <v>29</v>
      </c>
      <c r="E607" t="s">
        <v>30</v>
      </c>
      <c r="F607">
        <v>41</v>
      </c>
      <c r="G607" t="s">
        <v>58</v>
      </c>
      <c r="H607" t="s">
        <v>30</v>
      </c>
      <c r="I607">
        <v>42</v>
      </c>
      <c r="J607">
        <v>2</v>
      </c>
      <c r="K607">
        <v>6</v>
      </c>
      <c r="L607">
        <v>51</v>
      </c>
      <c r="M607" t="s">
        <v>20</v>
      </c>
      <c r="N607" t="s">
        <v>86</v>
      </c>
      <c r="O607">
        <v>38144</v>
      </c>
      <c r="P607">
        <v>152</v>
      </c>
      <c r="Q607" t="s">
        <v>58</v>
      </c>
      <c r="R607" t="str">
        <f t="shared" si="10"/>
        <v>Yes</v>
      </c>
    </row>
    <row r="608" spans="1:18" x14ac:dyDescent="0.35">
      <c r="A608" s="1">
        <v>40318</v>
      </c>
      <c r="B608">
        <v>0</v>
      </c>
      <c r="C608" t="s">
        <v>28</v>
      </c>
      <c r="D608" t="s">
        <v>31</v>
      </c>
      <c r="E608" t="s">
        <v>30</v>
      </c>
      <c r="F608">
        <v>43</v>
      </c>
      <c r="G608" t="s">
        <v>34</v>
      </c>
      <c r="H608" t="s">
        <v>30</v>
      </c>
      <c r="I608">
        <v>40</v>
      </c>
      <c r="J608">
        <v>6</v>
      </c>
      <c r="K608">
        <v>5</v>
      </c>
      <c r="L608">
        <v>54</v>
      </c>
      <c r="M608" t="s">
        <v>20</v>
      </c>
      <c r="N608" t="s">
        <v>35</v>
      </c>
      <c r="O608">
        <v>23515</v>
      </c>
      <c r="P608">
        <v>180</v>
      </c>
      <c r="Q608" t="s">
        <v>31</v>
      </c>
      <c r="R608" t="str">
        <f t="shared" si="10"/>
        <v>No</v>
      </c>
    </row>
    <row r="609" spans="1:18" x14ac:dyDescent="0.35">
      <c r="A609" s="1">
        <v>40318</v>
      </c>
      <c r="B609">
        <v>0</v>
      </c>
      <c r="C609" t="s">
        <v>28</v>
      </c>
      <c r="D609" t="s">
        <v>37</v>
      </c>
      <c r="E609" t="s">
        <v>30</v>
      </c>
      <c r="F609">
        <v>42</v>
      </c>
      <c r="G609" t="s">
        <v>33</v>
      </c>
      <c r="H609" t="s">
        <v>30</v>
      </c>
      <c r="I609">
        <v>39</v>
      </c>
      <c r="J609">
        <v>9</v>
      </c>
      <c r="K609">
        <v>3</v>
      </c>
      <c r="L609">
        <v>54</v>
      </c>
      <c r="M609" t="s">
        <v>38</v>
      </c>
      <c r="N609" t="s">
        <v>75</v>
      </c>
      <c r="O609">
        <v>13953</v>
      </c>
      <c r="P609">
        <v>145</v>
      </c>
      <c r="Q609" t="s">
        <v>37</v>
      </c>
      <c r="R609" t="str">
        <f t="shared" si="10"/>
        <v>No</v>
      </c>
    </row>
    <row r="610" spans="1:18" x14ac:dyDescent="0.35">
      <c r="A610" s="1">
        <v>40318</v>
      </c>
      <c r="B610">
        <v>0</v>
      </c>
      <c r="C610" t="s">
        <v>28</v>
      </c>
      <c r="D610" t="s">
        <v>44</v>
      </c>
      <c r="E610" t="s">
        <v>30</v>
      </c>
      <c r="F610">
        <v>41</v>
      </c>
      <c r="G610" t="s">
        <v>59</v>
      </c>
      <c r="H610" t="s">
        <v>30</v>
      </c>
      <c r="I610">
        <v>41</v>
      </c>
      <c r="J610">
        <v>8</v>
      </c>
      <c r="K610">
        <v>6</v>
      </c>
      <c r="L610">
        <v>54</v>
      </c>
      <c r="M610" t="s">
        <v>20</v>
      </c>
      <c r="N610" t="s">
        <v>84</v>
      </c>
      <c r="O610">
        <v>45483</v>
      </c>
      <c r="P610">
        <v>187</v>
      </c>
      <c r="Q610" t="s">
        <v>44</v>
      </c>
      <c r="R610" t="str">
        <f t="shared" si="10"/>
        <v>No</v>
      </c>
    </row>
    <row r="611" spans="1:18" x14ac:dyDescent="0.35">
      <c r="A611" s="1">
        <v>40318</v>
      </c>
      <c r="B611">
        <v>0</v>
      </c>
      <c r="C611" t="s">
        <v>28</v>
      </c>
      <c r="D611" t="s">
        <v>36</v>
      </c>
      <c r="E611" t="s">
        <v>30</v>
      </c>
      <c r="F611">
        <v>41</v>
      </c>
      <c r="G611" t="s">
        <v>41</v>
      </c>
      <c r="H611" t="s">
        <v>30</v>
      </c>
      <c r="I611">
        <v>42</v>
      </c>
      <c r="J611">
        <v>5</v>
      </c>
      <c r="K611">
        <v>2</v>
      </c>
      <c r="L611">
        <v>54</v>
      </c>
      <c r="M611" t="s">
        <v>38</v>
      </c>
      <c r="N611" t="s">
        <v>42</v>
      </c>
      <c r="O611">
        <v>24146</v>
      </c>
      <c r="P611">
        <v>170</v>
      </c>
      <c r="Q611" t="s">
        <v>36</v>
      </c>
      <c r="R611" t="str">
        <f t="shared" si="10"/>
        <v>No</v>
      </c>
    </row>
    <row r="612" spans="1:18" x14ac:dyDescent="0.35">
      <c r="A612" s="1">
        <v>40318</v>
      </c>
      <c r="B612">
        <v>0</v>
      </c>
      <c r="C612" t="s">
        <v>28</v>
      </c>
      <c r="D612" t="s">
        <v>46</v>
      </c>
      <c r="E612" t="s">
        <v>30</v>
      </c>
      <c r="F612">
        <v>43</v>
      </c>
      <c r="G612" t="s">
        <v>40</v>
      </c>
      <c r="H612" t="s">
        <v>30</v>
      </c>
      <c r="I612">
        <v>41</v>
      </c>
      <c r="J612">
        <v>3</v>
      </c>
      <c r="K612">
        <v>4</v>
      </c>
      <c r="L612">
        <v>52</v>
      </c>
      <c r="M612" t="s">
        <v>38</v>
      </c>
      <c r="N612" t="s">
        <v>77</v>
      </c>
      <c r="O612">
        <v>20452</v>
      </c>
      <c r="P612">
        <v>155</v>
      </c>
      <c r="Q612" t="s">
        <v>40</v>
      </c>
      <c r="R612" t="str">
        <f t="shared" si="10"/>
        <v>Yes</v>
      </c>
    </row>
    <row r="613" spans="1:18" x14ac:dyDescent="0.35">
      <c r="A613" s="1">
        <v>40318</v>
      </c>
      <c r="B613">
        <v>0</v>
      </c>
      <c r="C613" t="s">
        <v>28</v>
      </c>
      <c r="D613" t="s">
        <v>43</v>
      </c>
      <c r="E613" t="s">
        <v>30</v>
      </c>
      <c r="F613">
        <v>42</v>
      </c>
      <c r="G613" t="s">
        <v>47</v>
      </c>
      <c r="H613" t="s">
        <v>30</v>
      </c>
      <c r="I613">
        <v>42</v>
      </c>
      <c r="J613">
        <v>7</v>
      </c>
      <c r="K613">
        <v>13</v>
      </c>
      <c r="L613">
        <v>51</v>
      </c>
      <c r="M613" t="s">
        <v>20</v>
      </c>
      <c r="N613" t="s">
        <v>48</v>
      </c>
      <c r="O613">
        <v>17304</v>
      </c>
      <c r="P613">
        <v>214</v>
      </c>
      <c r="Q613" t="s">
        <v>47</v>
      </c>
      <c r="R613" t="str">
        <f t="shared" si="10"/>
        <v>Yes</v>
      </c>
    </row>
    <row r="614" spans="1:18" x14ac:dyDescent="0.35">
      <c r="A614" s="1">
        <v>40318</v>
      </c>
      <c r="B614">
        <v>0</v>
      </c>
      <c r="C614" t="s">
        <v>28</v>
      </c>
      <c r="D614" t="s">
        <v>70</v>
      </c>
      <c r="E614" t="s">
        <v>18</v>
      </c>
      <c r="F614">
        <v>40</v>
      </c>
      <c r="G614" t="s">
        <v>60</v>
      </c>
      <c r="H614" t="s">
        <v>18</v>
      </c>
      <c r="I614">
        <v>42</v>
      </c>
      <c r="J614">
        <v>7</v>
      </c>
      <c r="K614">
        <v>8</v>
      </c>
      <c r="L614">
        <v>51</v>
      </c>
      <c r="M614" t="s">
        <v>20</v>
      </c>
      <c r="N614" t="s">
        <v>61</v>
      </c>
      <c r="O614">
        <v>18607</v>
      </c>
      <c r="P614">
        <v>194</v>
      </c>
      <c r="Q614" t="s">
        <v>60</v>
      </c>
      <c r="R614" t="str">
        <f t="shared" si="10"/>
        <v>Yes</v>
      </c>
    </row>
    <row r="615" spans="1:18" x14ac:dyDescent="0.35">
      <c r="A615" s="1">
        <v>40318</v>
      </c>
      <c r="B615">
        <v>0</v>
      </c>
      <c r="C615" t="s">
        <v>28</v>
      </c>
      <c r="D615" t="s">
        <v>53</v>
      </c>
      <c r="E615" t="s">
        <v>18</v>
      </c>
      <c r="F615">
        <v>41</v>
      </c>
      <c r="G615" t="s">
        <v>50</v>
      </c>
      <c r="H615" t="s">
        <v>18</v>
      </c>
      <c r="I615">
        <v>41</v>
      </c>
      <c r="J615">
        <v>9</v>
      </c>
      <c r="K615">
        <v>10</v>
      </c>
      <c r="L615">
        <v>52</v>
      </c>
      <c r="M615" t="s">
        <v>38</v>
      </c>
      <c r="N615" t="s">
        <v>51</v>
      </c>
      <c r="O615">
        <v>21621</v>
      </c>
      <c r="P615">
        <v>179</v>
      </c>
      <c r="Q615" t="s">
        <v>50</v>
      </c>
      <c r="R615" t="str">
        <f t="shared" si="10"/>
        <v>Yes</v>
      </c>
    </row>
    <row r="616" spans="1:18" x14ac:dyDescent="0.35">
      <c r="A616" s="1">
        <v>40318</v>
      </c>
      <c r="B616">
        <v>0</v>
      </c>
      <c r="C616" t="s">
        <v>28</v>
      </c>
      <c r="D616" t="s">
        <v>63</v>
      </c>
      <c r="E616" t="s">
        <v>18</v>
      </c>
      <c r="F616">
        <v>41</v>
      </c>
      <c r="G616" t="s">
        <v>66</v>
      </c>
      <c r="H616" t="s">
        <v>18</v>
      </c>
      <c r="I616">
        <v>41</v>
      </c>
      <c r="J616">
        <v>4</v>
      </c>
      <c r="K616">
        <v>0</v>
      </c>
      <c r="L616">
        <v>54</v>
      </c>
      <c r="M616" t="s">
        <v>20</v>
      </c>
      <c r="N616" t="s">
        <v>67</v>
      </c>
      <c r="O616">
        <v>25932</v>
      </c>
      <c r="P616">
        <v>162</v>
      </c>
      <c r="Q616" t="s">
        <v>63</v>
      </c>
      <c r="R616" t="str">
        <f t="shared" si="10"/>
        <v>No</v>
      </c>
    </row>
    <row r="617" spans="1:18" x14ac:dyDescent="0.35">
      <c r="A617" s="1">
        <v>40318</v>
      </c>
      <c r="B617">
        <v>0</v>
      </c>
      <c r="C617" t="s">
        <v>28</v>
      </c>
      <c r="D617" t="s">
        <v>62</v>
      </c>
      <c r="E617" t="s">
        <v>18</v>
      </c>
      <c r="F617">
        <v>41</v>
      </c>
      <c r="G617" t="s">
        <v>22</v>
      </c>
      <c r="H617" t="s">
        <v>18</v>
      </c>
      <c r="I617">
        <v>41</v>
      </c>
      <c r="J617">
        <v>1</v>
      </c>
      <c r="K617">
        <v>4</v>
      </c>
      <c r="L617">
        <v>51</v>
      </c>
      <c r="M617" t="s">
        <v>20</v>
      </c>
      <c r="N617" t="s">
        <v>85</v>
      </c>
      <c r="O617">
        <v>38856</v>
      </c>
      <c r="P617">
        <v>159</v>
      </c>
      <c r="Q617" t="s">
        <v>22</v>
      </c>
      <c r="R617" t="str">
        <f t="shared" si="10"/>
        <v>Yes</v>
      </c>
    </row>
    <row r="618" spans="1:18" x14ac:dyDescent="0.35">
      <c r="A618" s="1">
        <v>40318</v>
      </c>
      <c r="B618">
        <v>0</v>
      </c>
      <c r="C618" t="s">
        <v>28</v>
      </c>
      <c r="D618" t="s">
        <v>49</v>
      </c>
      <c r="E618" t="s">
        <v>18</v>
      </c>
      <c r="F618">
        <v>42</v>
      </c>
      <c r="G618" t="s">
        <v>25</v>
      </c>
      <c r="H618" t="s">
        <v>18</v>
      </c>
      <c r="I618">
        <v>40</v>
      </c>
      <c r="J618">
        <v>4</v>
      </c>
      <c r="K618">
        <v>5</v>
      </c>
      <c r="L618">
        <v>51</v>
      </c>
      <c r="M618" t="s">
        <v>38</v>
      </c>
      <c r="N618" t="s">
        <v>80</v>
      </c>
      <c r="O618">
        <v>45325</v>
      </c>
      <c r="P618">
        <v>158</v>
      </c>
      <c r="Q618" t="s">
        <v>25</v>
      </c>
      <c r="R618" t="str">
        <f t="shared" si="10"/>
        <v>Yes</v>
      </c>
    </row>
    <row r="619" spans="1:18" x14ac:dyDescent="0.35">
      <c r="A619" s="1">
        <v>40318</v>
      </c>
      <c r="B619">
        <v>0</v>
      </c>
      <c r="C619" t="s">
        <v>28</v>
      </c>
      <c r="D619" t="s">
        <v>68</v>
      </c>
      <c r="E619" t="s">
        <v>18</v>
      </c>
      <c r="F619">
        <v>41</v>
      </c>
      <c r="G619" t="s">
        <v>23</v>
      </c>
      <c r="H619" t="s">
        <v>18</v>
      </c>
      <c r="I619">
        <v>41</v>
      </c>
      <c r="J619">
        <v>4</v>
      </c>
      <c r="K619">
        <v>3</v>
      </c>
      <c r="L619">
        <v>54</v>
      </c>
      <c r="M619" t="s">
        <v>20</v>
      </c>
      <c r="N619" t="s">
        <v>24</v>
      </c>
      <c r="O619">
        <v>13975</v>
      </c>
      <c r="P619">
        <v>182</v>
      </c>
      <c r="Q619" t="s">
        <v>68</v>
      </c>
      <c r="R619" t="str">
        <f t="shared" si="10"/>
        <v>No</v>
      </c>
    </row>
    <row r="620" spans="1:18" x14ac:dyDescent="0.35">
      <c r="A620" s="1">
        <v>40318</v>
      </c>
      <c r="B620">
        <v>0</v>
      </c>
      <c r="C620" t="s">
        <v>28</v>
      </c>
      <c r="D620" t="s">
        <v>17</v>
      </c>
      <c r="E620" t="s">
        <v>18</v>
      </c>
      <c r="F620">
        <v>42</v>
      </c>
      <c r="G620" t="s">
        <v>52</v>
      </c>
      <c r="H620" t="s">
        <v>18</v>
      </c>
      <c r="I620">
        <v>42</v>
      </c>
      <c r="J620">
        <v>2</v>
      </c>
      <c r="K620">
        <v>4</v>
      </c>
      <c r="L620">
        <v>51</v>
      </c>
      <c r="M620" t="s">
        <v>38</v>
      </c>
      <c r="N620" t="s">
        <v>82</v>
      </c>
      <c r="O620">
        <v>37861</v>
      </c>
      <c r="P620">
        <v>146</v>
      </c>
      <c r="Q620" t="s">
        <v>52</v>
      </c>
      <c r="R620" t="str">
        <f t="shared" si="10"/>
        <v>Yes</v>
      </c>
    </row>
    <row r="621" spans="1:18" x14ac:dyDescent="0.35">
      <c r="A621" s="1">
        <v>40318</v>
      </c>
      <c r="B621">
        <v>0</v>
      </c>
      <c r="C621" t="s">
        <v>28</v>
      </c>
      <c r="D621" t="s">
        <v>19</v>
      </c>
      <c r="E621" t="s">
        <v>18</v>
      </c>
      <c r="F621">
        <v>42</v>
      </c>
      <c r="G621" t="s">
        <v>26</v>
      </c>
      <c r="H621" t="s">
        <v>18</v>
      </c>
      <c r="I621">
        <v>42</v>
      </c>
      <c r="J621">
        <v>10</v>
      </c>
      <c r="K621">
        <v>7</v>
      </c>
      <c r="L621">
        <v>54</v>
      </c>
      <c r="M621" t="s">
        <v>20</v>
      </c>
      <c r="N621" t="s">
        <v>27</v>
      </c>
      <c r="O621">
        <v>23612</v>
      </c>
      <c r="P621">
        <v>211</v>
      </c>
      <c r="Q621" t="s">
        <v>19</v>
      </c>
      <c r="R621" t="str">
        <f t="shared" si="10"/>
        <v>No</v>
      </c>
    </row>
    <row r="622" spans="1:18" x14ac:dyDescent="0.35">
      <c r="A622" s="1">
        <v>40319</v>
      </c>
      <c r="B622">
        <v>0</v>
      </c>
      <c r="C622" t="s">
        <v>55</v>
      </c>
      <c r="D622" t="s">
        <v>17</v>
      </c>
      <c r="E622" t="s">
        <v>18</v>
      </c>
      <c r="F622">
        <v>43</v>
      </c>
      <c r="G622" t="s">
        <v>34</v>
      </c>
      <c r="H622" t="s">
        <v>30</v>
      </c>
      <c r="I622">
        <v>41</v>
      </c>
      <c r="J622">
        <v>0</v>
      </c>
      <c r="K622">
        <v>8</v>
      </c>
      <c r="L622">
        <v>51</v>
      </c>
      <c r="M622" t="s">
        <v>20</v>
      </c>
      <c r="N622" t="s">
        <v>35</v>
      </c>
      <c r="O622">
        <v>20652</v>
      </c>
      <c r="P622">
        <v>128</v>
      </c>
      <c r="Q622" t="s">
        <v>34</v>
      </c>
      <c r="R622" t="str">
        <f t="shared" si="10"/>
        <v>Yes</v>
      </c>
    </row>
    <row r="623" spans="1:18" x14ac:dyDescent="0.35">
      <c r="A623" s="1">
        <v>40319</v>
      </c>
      <c r="B623">
        <v>0</v>
      </c>
      <c r="C623" t="s">
        <v>55</v>
      </c>
      <c r="D623" t="s">
        <v>53</v>
      </c>
      <c r="E623" t="s">
        <v>18</v>
      </c>
      <c r="F623">
        <v>42</v>
      </c>
      <c r="G623" t="s">
        <v>33</v>
      </c>
      <c r="H623" t="s">
        <v>30</v>
      </c>
      <c r="I623">
        <v>40</v>
      </c>
      <c r="J623">
        <v>7</v>
      </c>
      <c r="K623">
        <v>4</v>
      </c>
      <c r="L623">
        <v>54</v>
      </c>
      <c r="M623" t="s">
        <v>20</v>
      </c>
      <c r="N623" t="s">
        <v>75</v>
      </c>
      <c r="O623">
        <v>23028</v>
      </c>
      <c r="P623">
        <v>172</v>
      </c>
      <c r="Q623" t="s">
        <v>53</v>
      </c>
      <c r="R623" t="str">
        <f t="shared" si="10"/>
        <v>No</v>
      </c>
    </row>
    <row r="624" spans="1:18" x14ac:dyDescent="0.35">
      <c r="A624" s="1">
        <v>40319</v>
      </c>
      <c r="B624">
        <v>0</v>
      </c>
      <c r="C624" t="s">
        <v>55</v>
      </c>
      <c r="D624" t="s">
        <v>63</v>
      </c>
      <c r="E624" t="s">
        <v>18</v>
      </c>
      <c r="F624">
        <v>42</v>
      </c>
      <c r="G624" t="s">
        <v>37</v>
      </c>
      <c r="H624" t="s">
        <v>30</v>
      </c>
      <c r="I624">
        <v>43</v>
      </c>
      <c r="J624">
        <v>2</v>
      </c>
      <c r="K624">
        <v>9</v>
      </c>
      <c r="L624">
        <v>51</v>
      </c>
      <c r="M624" t="s">
        <v>20</v>
      </c>
      <c r="N624" t="s">
        <v>39</v>
      </c>
      <c r="O624">
        <v>24807</v>
      </c>
      <c r="P624">
        <v>153</v>
      </c>
      <c r="Q624" t="s">
        <v>37</v>
      </c>
      <c r="R624" t="str">
        <f t="shared" si="10"/>
        <v>Yes</v>
      </c>
    </row>
    <row r="625" spans="1:18" x14ac:dyDescent="0.35">
      <c r="A625" s="1">
        <v>40319</v>
      </c>
      <c r="B625">
        <v>0</v>
      </c>
      <c r="C625" t="s">
        <v>55</v>
      </c>
      <c r="D625" t="s">
        <v>68</v>
      </c>
      <c r="E625" t="s">
        <v>18</v>
      </c>
      <c r="F625">
        <v>42</v>
      </c>
      <c r="G625" t="s">
        <v>29</v>
      </c>
      <c r="H625" t="s">
        <v>30</v>
      </c>
      <c r="I625">
        <v>42</v>
      </c>
      <c r="J625">
        <v>3</v>
      </c>
      <c r="K625">
        <v>15</v>
      </c>
      <c r="L625">
        <v>51</v>
      </c>
      <c r="M625" t="s">
        <v>20</v>
      </c>
      <c r="N625" t="s">
        <v>76</v>
      </c>
      <c r="O625">
        <v>38737</v>
      </c>
      <c r="P625">
        <v>171</v>
      </c>
      <c r="Q625" t="s">
        <v>29</v>
      </c>
      <c r="R625" t="str">
        <f t="shared" si="10"/>
        <v>Yes</v>
      </c>
    </row>
    <row r="626" spans="1:18" x14ac:dyDescent="0.35">
      <c r="A626" s="1">
        <v>40319</v>
      </c>
      <c r="B626">
        <v>0</v>
      </c>
      <c r="C626" t="s">
        <v>55</v>
      </c>
      <c r="D626" t="s">
        <v>70</v>
      </c>
      <c r="E626" t="s">
        <v>18</v>
      </c>
      <c r="F626">
        <v>41</v>
      </c>
      <c r="G626" t="s">
        <v>41</v>
      </c>
      <c r="H626" t="s">
        <v>30</v>
      </c>
      <c r="I626">
        <v>43</v>
      </c>
      <c r="J626">
        <v>1</v>
      </c>
      <c r="K626">
        <v>6</v>
      </c>
      <c r="L626">
        <v>51</v>
      </c>
      <c r="M626" t="s">
        <v>20</v>
      </c>
      <c r="N626" t="s">
        <v>42</v>
      </c>
      <c r="O626">
        <v>33369</v>
      </c>
      <c r="P626">
        <v>151</v>
      </c>
      <c r="Q626" t="s">
        <v>41</v>
      </c>
      <c r="R626" t="str">
        <f t="shared" si="10"/>
        <v>Yes</v>
      </c>
    </row>
    <row r="627" spans="1:18" x14ac:dyDescent="0.35">
      <c r="A627" s="1">
        <v>40319</v>
      </c>
      <c r="B627">
        <v>0</v>
      </c>
      <c r="C627" t="s">
        <v>55</v>
      </c>
      <c r="D627" t="s">
        <v>62</v>
      </c>
      <c r="E627" t="s">
        <v>18</v>
      </c>
      <c r="F627">
        <v>42</v>
      </c>
      <c r="G627" t="s">
        <v>40</v>
      </c>
      <c r="H627" t="s">
        <v>30</v>
      </c>
      <c r="I627">
        <v>42</v>
      </c>
      <c r="J627">
        <v>8</v>
      </c>
      <c r="K627">
        <v>15</v>
      </c>
      <c r="L627">
        <v>51</v>
      </c>
      <c r="M627" t="s">
        <v>20</v>
      </c>
      <c r="N627" t="s">
        <v>77</v>
      </c>
      <c r="O627">
        <v>24139</v>
      </c>
      <c r="P627">
        <v>193</v>
      </c>
      <c r="Q627" t="s">
        <v>40</v>
      </c>
      <c r="R627" t="str">
        <f t="shared" si="10"/>
        <v>Yes</v>
      </c>
    </row>
    <row r="628" spans="1:18" x14ac:dyDescent="0.35">
      <c r="A628" s="1">
        <v>40319</v>
      </c>
      <c r="B628">
        <v>0</v>
      </c>
      <c r="C628" t="s">
        <v>55</v>
      </c>
      <c r="D628" t="s">
        <v>49</v>
      </c>
      <c r="E628" t="s">
        <v>18</v>
      </c>
      <c r="F628">
        <v>43</v>
      </c>
      <c r="G628" t="s">
        <v>47</v>
      </c>
      <c r="H628" t="s">
        <v>30</v>
      </c>
      <c r="I628">
        <v>43</v>
      </c>
      <c r="J628">
        <v>1</v>
      </c>
      <c r="K628">
        <v>2</v>
      </c>
      <c r="L628">
        <v>51</v>
      </c>
      <c r="M628" t="s">
        <v>20</v>
      </c>
      <c r="N628" t="s">
        <v>48</v>
      </c>
      <c r="O628">
        <v>38943</v>
      </c>
      <c r="P628">
        <v>162</v>
      </c>
      <c r="Q628" t="s">
        <v>47</v>
      </c>
      <c r="R628" t="str">
        <f t="shared" si="10"/>
        <v>Yes</v>
      </c>
    </row>
    <row r="629" spans="1:18" x14ac:dyDescent="0.35">
      <c r="A629" s="1">
        <v>40319</v>
      </c>
      <c r="B629">
        <v>0</v>
      </c>
      <c r="C629" t="s">
        <v>55</v>
      </c>
      <c r="D629" t="s">
        <v>46</v>
      </c>
      <c r="E629" t="s">
        <v>30</v>
      </c>
      <c r="F629">
        <v>44</v>
      </c>
      <c r="G629" t="s">
        <v>60</v>
      </c>
      <c r="H629" t="s">
        <v>18</v>
      </c>
      <c r="I629">
        <v>43</v>
      </c>
      <c r="J629">
        <v>6</v>
      </c>
      <c r="K629">
        <v>8</v>
      </c>
      <c r="L629">
        <v>51</v>
      </c>
      <c r="M629" t="s">
        <v>20</v>
      </c>
      <c r="N629" t="s">
        <v>61</v>
      </c>
      <c r="O629">
        <v>19531</v>
      </c>
      <c r="P629">
        <v>170</v>
      </c>
      <c r="Q629" t="s">
        <v>60</v>
      </c>
      <c r="R629" t="str">
        <f t="shared" si="10"/>
        <v>Yes</v>
      </c>
    </row>
    <row r="630" spans="1:18" x14ac:dyDescent="0.35">
      <c r="A630" s="1">
        <v>40319</v>
      </c>
      <c r="B630">
        <v>0</v>
      </c>
      <c r="C630" t="s">
        <v>55</v>
      </c>
      <c r="D630" t="s">
        <v>44</v>
      </c>
      <c r="E630" t="s">
        <v>30</v>
      </c>
      <c r="F630">
        <v>42</v>
      </c>
      <c r="G630" t="s">
        <v>66</v>
      </c>
      <c r="H630" t="s">
        <v>18</v>
      </c>
      <c r="I630">
        <v>42</v>
      </c>
      <c r="J630">
        <v>1</v>
      </c>
      <c r="K630">
        <v>2</v>
      </c>
      <c r="L630">
        <v>51</v>
      </c>
      <c r="M630" t="s">
        <v>20</v>
      </c>
      <c r="N630" t="s">
        <v>67</v>
      </c>
      <c r="O630">
        <v>27601</v>
      </c>
      <c r="P630">
        <v>161</v>
      </c>
      <c r="Q630" t="s">
        <v>66</v>
      </c>
      <c r="R630" t="str">
        <f t="shared" si="10"/>
        <v>Yes</v>
      </c>
    </row>
    <row r="631" spans="1:18" x14ac:dyDescent="0.35">
      <c r="A631" s="1">
        <v>40319</v>
      </c>
      <c r="B631">
        <v>0</v>
      </c>
      <c r="C631" t="s">
        <v>55</v>
      </c>
      <c r="D631" t="s">
        <v>36</v>
      </c>
      <c r="E631" t="s">
        <v>30</v>
      </c>
      <c r="F631">
        <v>42</v>
      </c>
      <c r="G631" t="s">
        <v>22</v>
      </c>
      <c r="H631" t="s">
        <v>18</v>
      </c>
      <c r="I631">
        <v>42</v>
      </c>
      <c r="J631">
        <v>1</v>
      </c>
      <c r="K631">
        <v>4</v>
      </c>
      <c r="L631">
        <v>51</v>
      </c>
      <c r="M631" t="s">
        <v>20</v>
      </c>
      <c r="N631" t="s">
        <v>85</v>
      </c>
      <c r="O631">
        <v>44282</v>
      </c>
      <c r="P631">
        <v>155</v>
      </c>
      <c r="Q631" t="s">
        <v>22</v>
      </c>
      <c r="R631" t="str">
        <f t="shared" si="10"/>
        <v>Yes</v>
      </c>
    </row>
    <row r="632" spans="1:18" x14ac:dyDescent="0.35">
      <c r="A632" s="1">
        <v>40319</v>
      </c>
      <c r="B632">
        <v>0</v>
      </c>
      <c r="C632" t="s">
        <v>55</v>
      </c>
      <c r="D632" t="s">
        <v>59</v>
      </c>
      <c r="E632" t="s">
        <v>30</v>
      </c>
      <c r="F632">
        <v>42</v>
      </c>
      <c r="G632" t="s">
        <v>19</v>
      </c>
      <c r="H632" t="s">
        <v>18</v>
      </c>
      <c r="I632">
        <v>43</v>
      </c>
      <c r="J632">
        <v>2</v>
      </c>
      <c r="K632">
        <v>1</v>
      </c>
      <c r="L632">
        <v>54</v>
      </c>
      <c r="M632" t="s">
        <v>20</v>
      </c>
      <c r="N632" t="s">
        <v>21</v>
      </c>
      <c r="O632">
        <v>41382</v>
      </c>
      <c r="P632">
        <v>199</v>
      </c>
      <c r="Q632" t="s">
        <v>59</v>
      </c>
      <c r="R632" t="str">
        <f t="shared" si="10"/>
        <v>No</v>
      </c>
    </row>
    <row r="633" spans="1:18" x14ac:dyDescent="0.35">
      <c r="A633" s="1">
        <v>40319</v>
      </c>
      <c r="B633">
        <v>0</v>
      </c>
      <c r="C633" t="s">
        <v>55</v>
      </c>
      <c r="D633" t="s">
        <v>58</v>
      </c>
      <c r="E633" t="s">
        <v>30</v>
      </c>
      <c r="F633">
        <v>43</v>
      </c>
      <c r="G633" t="s">
        <v>25</v>
      </c>
      <c r="H633" t="s">
        <v>18</v>
      </c>
      <c r="I633">
        <v>41</v>
      </c>
      <c r="J633">
        <v>1</v>
      </c>
      <c r="K633">
        <v>5</v>
      </c>
      <c r="L633">
        <v>51</v>
      </c>
      <c r="M633" t="s">
        <v>20</v>
      </c>
      <c r="N633" t="s">
        <v>80</v>
      </c>
      <c r="O633">
        <v>45341</v>
      </c>
      <c r="P633">
        <v>173</v>
      </c>
      <c r="Q633" t="s">
        <v>25</v>
      </c>
      <c r="R633" t="str">
        <f t="shared" si="10"/>
        <v>Yes</v>
      </c>
    </row>
    <row r="634" spans="1:18" x14ac:dyDescent="0.35">
      <c r="A634" s="1">
        <v>40319</v>
      </c>
      <c r="B634">
        <v>0</v>
      </c>
      <c r="C634" t="s">
        <v>55</v>
      </c>
      <c r="D634" t="s">
        <v>50</v>
      </c>
      <c r="E634" t="s">
        <v>18</v>
      </c>
      <c r="F634">
        <v>42</v>
      </c>
      <c r="G634" t="s">
        <v>23</v>
      </c>
      <c r="H634" t="s">
        <v>18</v>
      </c>
      <c r="I634">
        <v>42</v>
      </c>
      <c r="J634">
        <v>7</v>
      </c>
      <c r="K634">
        <v>0</v>
      </c>
      <c r="L634">
        <v>54</v>
      </c>
      <c r="M634" t="s">
        <v>20</v>
      </c>
      <c r="N634" t="s">
        <v>24</v>
      </c>
      <c r="O634">
        <v>22470</v>
      </c>
      <c r="P634">
        <v>156</v>
      </c>
      <c r="Q634" t="s">
        <v>50</v>
      </c>
      <c r="R634" t="str">
        <f t="shared" si="10"/>
        <v>No</v>
      </c>
    </row>
    <row r="635" spans="1:18" x14ac:dyDescent="0.35">
      <c r="A635" s="1">
        <v>40319</v>
      </c>
      <c r="B635">
        <v>0</v>
      </c>
      <c r="C635" t="s">
        <v>55</v>
      </c>
      <c r="D635" t="s">
        <v>31</v>
      </c>
      <c r="E635" t="s">
        <v>30</v>
      </c>
      <c r="F635">
        <v>44</v>
      </c>
      <c r="G635" t="s">
        <v>52</v>
      </c>
      <c r="H635" t="s">
        <v>18</v>
      </c>
      <c r="I635">
        <v>43</v>
      </c>
      <c r="J635">
        <v>5</v>
      </c>
      <c r="K635">
        <v>9</v>
      </c>
      <c r="L635">
        <v>51</v>
      </c>
      <c r="M635" t="s">
        <v>20</v>
      </c>
      <c r="N635" t="s">
        <v>82</v>
      </c>
      <c r="O635">
        <v>44111</v>
      </c>
      <c r="P635">
        <v>164</v>
      </c>
      <c r="Q635" t="s">
        <v>52</v>
      </c>
      <c r="R635" t="str">
        <f t="shared" si="10"/>
        <v>Yes</v>
      </c>
    </row>
    <row r="636" spans="1:18" x14ac:dyDescent="0.35">
      <c r="A636" s="1">
        <v>40319</v>
      </c>
      <c r="B636">
        <v>0</v>
      </c>
      <c r="C636" t="s">
        <v>55</v>
      </c>
      <c r="D636" t="s">
        <v>43</v>
      </c>
      <c r="E636" t="s">
        <v>30</v>
      </c>
      <c r="F636">
        <v>43</v>
      </c>
      <c r="G636" t="s">
        <v>26</v>
      </c>
      <c r="H636" t="s">
        <v>18</v>
      </c>
      <c r="I636">
        <v>43</v>
      </c>
      <c r="J636">
        <v>5</v>
      </c>
      <c r="K636">
        <v>3</v>
      </c>
      <c r="L636">
        <v>54</v>
      </c>
      <c r="M636" t="s">
        <v>20</v>
      </c>
      <c r="N636" t="s">
        <v>27</v>
      </c>
      <c r="O636">
        <v>27378</v>
      </c>
      <c r="P636">
        <v>203</v>
      </c>
      <c r="Q636" t="s">
        <v>43</v>
      </c>
      <c r="R636" t="str">
        <f t="shared" si="10"/>
        <v>No</v>
      </c>
    </row>
    <row r="637" spans="1:18" x14ac:dyDescent="0.35">
      <c r="A637" s="1">
        <v>40320</v>
      </c>
      <c r="B637">
        <v>0</v>
      </c>
      <c r="C637" t="s">
        <v>72</v>
      </c>
      <c r="D637" t="s">
        <v>17</v>
      </c>
      <c r="E637" t="s">
        <v>18</v>
      </c>
      <c r="F637">
        <v>44</v>
      </c>
      <c r="G637" t="s">
        <v>34</v>
      </c>
      <c r="H637" t="s">
        <v>30</v>
      </c>
      <c r="I637">
        <v>42</v>
      </c>
      <c r="J637">
        <v>1</v>
      </c>
      <c r="K637">
        <v>4</v>
      </c>
      <c r="L637">
        <v>51</v>
      </c>
      <c r="M637" t="s">
        <v>38</v>
      </c>
      <c r="N637" t="s">
        <v>35</v>
      </c>
      <c r="O637">
        <v>28462</v>
      </c>
      <c r="P637">
        <v>166</v>
      </c>
      <c r="Q637" t="s">
        <v>34</v>
      </c>
      <c r="R637" t="str">
        <f t="shared" si="10"/>
        <v>Yes</v>
      </c>
    </row>
    <row r="638" spans="1:18" x14ac:dyDescent="0.35">
      <c r="A638" s="1">
        <v>40320</v>
      </c>
      <c r="B638">
        <v>0</v>
      </c>
      <c r="C638" t="s">
        <v>72</v>
      </c>
      <c r="D638" t="s">
        <v>53</v>
      </c>
      <c r="E638" t="s">
        <v>18</v>
      </c>
      <c r="F638">
        <v>43</v>
      </c>
      <c r="G638" t="s">
        <v>33</v>
      </c>
      <c r="H638" t="s">
        <v>30</v>
      </c>
      <c r="I638">
        <v>41</v>
      </c>
      <c r="J638">
        <v>6</v>
      </c>
      <c r="K638">
        <v>4</v>
      </c>
      <c r="L638">
        <v>54</v>
      </c>
      <c r="M638" t="s">
        <v>20</v>
      </c>
      <c r="N638" t="s">
        <v>75</v>
      </c>
      <c r="O638">
        <v>25531</v>
      </c>
      <c r="P638">
        <v>192</v>
      </c>
      <c r="Q638" t="s">
        <v>53</v>
      </c>
      <c r="R638" t="str">
        <f t="shared" si="10"/>
        <v>No</v>
      </c>
    </row>
    <row r="639" spans="1:18" x14ac:dyDescent="0.35">
      <c r="A639" s="1">
        <v>40320</v>
      </c>
      <c r="B639">
        <v>0</v>
      </c>
      <c r="C639" t="s">
        <v>72</v>
      </c>
      <c r="D639" t="s">
        <v>63</v>
      </c>
      <c r="E639" t="s">
        <v>18</v>
      </c>
      <c r="F639">
        <v>43</v>
      </c>
      <c r="G639" t="s">
        <v>37</v>
      </c>
      <c r="H639" t="s">
        <v>30</v>
      </c>
      <c r="I639">
        <v>44</v>
      </c>
      <c r="J639">
        <v>3</v>
      </c>
      <c r="K639">
        <v>0</v>
      </c>
      <c r="L639">
        <v>54</v>
      </c>
      <c r="M639" t="s">
        <v>38</v>
      </c>
      <c r="N639" t="s">
        <v>39</v>
      </c>
      <c r="O639">
        <v>20907</v>
      </c>
      <c r="P639">
        <v>173</v>
      </c>
      <c r="Q639" t="s">
        <v>63</v>
      </c>
      <c r="R639" t="str">
        <f t="shared" si="10"/>
        <v>No</v>
      </c>
    </row>
    <row r="640" spans="1:18" x14ac:dyDescent="0.35">
      <c r="A640" s="1">
        <v>40320</v>
      </c>
      <c r="B640">
        <v>0</v>
      </c>
      <c r="C640" t="s">
        <v>72</v>
      </c>
      <c r="D640" t="s">
        <v>68</v>
      </c>
      <c r="E640" t="s">
        <v>18</v>
      </c>
      <c r="F640">
        <v>43</v>
      </c>
      <c r="G640" t="s">
        <v>29</v>
      </c>
      <c r="H640" t="s">
        <v>30</v>
      </c>
      <c r="I640">
        <v>43</v>
      </c>
      <c r="J640">
        <v>7</v>
      </c>
      <c r="K640">
        <v>8</v>
      </c>
      <c r="L640">
        <v>71</v>
      </c>
      <c r="M640" t="s">
        <v>38</v>
      </c>
      <c r="N640" t="s">
        <v>76</v>
      </c>
      <c r="O640">
        <v>39152</v>
      </c>
      <c r="P640">
        <v>285</v>
      </c>
      <c r="Q640" t="s">
        <v>29</v>
      </c>
      <c r="R640" t="str">
        <f t="shared" si="10"/>
        <v>Yes</v>
      </c>
    </row>
    <row r="641" spans="1:18" x14ac:dyDescent="0.35">
      <c r="A641" s="1">
        <v>40320</v>
      </c>
      <c r="B641">
        <v>0</v>
      </c>
      <c r="C641" t="s">
        <v>72</v>
      </c>
      <c r="D641" t="s">
        <v>70</v>
      </c>
      <c r="E641" t="s">
        <v>18</v>
      </c>
      <c r="F641">
        <v>42</v>
      </c>
      <c r="G641" t="s">
        <v>41</v>
      </c>
      <c r="H641" t="s">
        <v>30</v>
      </c>
      <c r="I641">
        <v>44</v>
      </c>
      <c r="J641">
        <v>0</v>
      </c>
      <c r="K641">
        <v>1</v>
      </c>
      <c r="L641">
        <v>51</v>
      </c>
      <c r="M641" t="s">
        <v>38</v>
      </c>
      <c r="N641" t="s">
        <v>42</v>
      </c>
      <c r="O641">
        <v>35067</v>
      </c>
      <c r="P641">
        <v>140</v>
      </c>
      <c r="Q641" t="s">
        <v>41</v>
      </c>
      <c r="R641" t="str">
        <f t="shared" si="10"/>
        <v>Yes</v>
      </c>
    </row>
    <row r="642" spans="1:18" x14ac:dyDescent="0.35">
      <c r="A642" s="1">
        <v>40320</v>
      </c>
      <c r="B642">
        <v>0</v>
      </c>
      <c r="C642" t="s">
        <v>72</v>
      </c>
      <c r="D642" t="s">
        <v>62</v>
      </c>
      <c r="E642" t="s">
        <v>18</v>
      </c>
      <c r="F642">
        <v>43</v>
      </c>
      <c r="G642" t="s">
        <v>40</v>
      </c>
      <c r="H642" t="s">
        <v>30</v>
      </c>
      <c r="I642">
        <v>43</v>
      </c>
      <c r="J642">
        <v>2</v>
      </c>
      <c r="K642">
        <v>1</v>
      </c>
      <c r="L642">
        <v>54</v>
      </c>
      <c r="M642" t="s">
        <v>20</v>
      </c>
      <c r="N642" t="s">
        <v>77</v>
      </c>
      <c r="O642">
        <v>28670</v>
      </c>
      <c r="P642">
        <v>149</v>
      </c>
      <c r="Q642" t="s">
        <v>62</v>
      </c>
      <c r="R642" t="str">
        <f t="shared" si="10"/>
        <v>No</v>
      </c>
    </row>
    <row r="643" spans="1:18" x14ac:dyDescent="0.35">
      <c r="A643" s="1">
        <v>40320</v>
      </c>
      <c r="B643">
        <v>0</v>
      </c>
      <c r="C643" t="s">
        <v>72</v>
      </c>
      <c r="D643" t="s">
        <v>49</v>
      </c>
      <c r="E643" t="s">
        <v>18</v>
      </c>
      <c r="F643">
        <v>44</v>
      </c>
      <c r="G643" t="s">
        <v>47</v>
      </c>
      <c r="H643" t="s">
        <v>30</v>
      </c>
      <c r="I643">
        <v>44</v>
      </c>
      <c r="J643">
        <v>5</v>
      </c>
      <c r="K643">
        <v>4</v>
      </c>
      <c r="L643">
        <v>60</v>
      </c>
      <c r="M643" t="s">
        <v>20</v>
      </c>
      <c r="N643" t="s">
        <v>48</v>
      </c>
      <c r="O643">
        <v>46180</v>
      </c>
      <c r="P643">
        <v>188</v>
      </c>
      <c r="Q643" t="s">
        <v>49</v>
      </c>
      <c r="R643" t="str">
        <f t="shared" ref="R643:R706" si="11">IF(K643&gt;J643,"Yes","No")</f>
        <v>No</v>
      </c>
    </row>
    <row r="644" spans="1:18" x14ac:dyDescent="0.35">
      <c r="A644" s="1">
        <v>40320</v>
      </c>
      <c r="B644">
        <v>0</v>
      </c>
      <c r="C644" t="s">
        <v>72</v>
      </c>
      <c r="D644" t="s">
        <v>46</v>
      </c>
      <c r="E644" t="s">
        <v>30</v>
      </c>
      <c r="F644">
        <v>45</v>
      </c>
      <c r="G644" t="s">
        <v>60</v>
      </c>
      <c r="H644" t="s">
        <v>18</v>
      </c>
      <c r="I644">
        <v>44</v>
      </c>
      <c r="J644">
        <v>5</v>
      </c>
      <c r="K644">
        <v>8</v>
      </c>
      <c r="L644">
        <v>51</v>
      </c>
      <c r="M644" t="s">
        <v>20</v>
      </c>
      <c r="N644" t="s">
        <v>61</v>
      </c>
      <c r="O644">
        <v>32746</v>
      </c>
      <c r="P644">
        <v>154</v>
      </c>
      <c r="Q644" t="s">
        <v>60</v>
      </c>
      <c r="R644" t="str">
        <f t="shared" si="11"/>
        <v>Yes</v>
      </c>
    </row>
    <row r="645" spans="1:18" x14ac:dyDescent="0.35">
      <c r="A645" s="1">
        <v>40320</v>
      </c>
      <c r="B645">
        <v>0</v>
      </c>
      <c r="C645" t="s">
        <v>72</v>
      </c>
      <c r="D645" t="s">
        <v>44</v>
      </c>
      <c r="E645" t="s">
        <v>30</v>
      </c>
      <c r="F645">
        <v>43</v>
      </c>
      <c r="G645" t="s">
        <v>66</v>
      </c>
      <c r="H645" t="s">
        <v>18</v>
      </c>
      <c r="I645">
        <v>43</v>
      </c>
      <c r="J645">
        <v>4</v>
      </c>
      <c r="K645">
        <v>2</v>
      </c>
      <c r="L645">
        <v>54</v>
      </c>
      <c r="M645" t="s">
        <v>20</v>
      </c>
      <c r="N645" t="s">
        <v>67</v>
      </c>
      <c r="O645">
        <v>33778</v>
      </c>
      <c r="P645">
        <v>168</v>
      </c>
      <c r="Q645" t="s">
        <v>44</v>
      </c>
      <c r="R645" t="str">
        <f t="shared" si="11"/>
        <v>No</v>
      </c>
    </row>
    <row r="646" spans="1:18" x14ac:dyDescent="0.35">
      <c r="A646" s="1">
        <v>40320</v>
      </c>
      <c r="B646">
        <v>0</v>
      </c>
      <c r="C646" t="s">
        <v>72</v>
      </c>
      <c r="D646" t="s">
        <v>36</v>
      </c>
      <c r="E646" t="s">
        <v>30</v>
      </c>
      <c r="F646">
        <v>43</v>
      </c>
      <c r="G646" t="s">
        <v>22</v>
      </c>
      <c r="H646" t="s">
        <v>18</v>
      </c>
      <c r="I646">
        <v>43</v>
      </c>
      <c r="J646">
        <v>4</v>
      </c>
      <c r="K646">
        <v>6</v>
      </c>
      <c r="L646">
        <v>51</v>
      </c>
      <c r="M646" t="s">
        <v>38</v>
      </c>
      <c r="N646" t="s">
        <v>85</v>
      </c>
      <c r="O646">
        <v>45117</v>
      </c>
      <c r="P646">
        <v>179</v>
      </c>
      <c r="Q646" t="s">
        <v>22</v>
      </c>
      <c r="R646" t="str">
        <f t="shared" si="11"/>
        <v>Yes</v>
      </c>
    </row>
    <row r="647" spans="1:18" x14ac:dyDescent="0.35">
      <c r="A647" s="1">
        <v>40320</v>
      </c>
      <c r="B647">
        <v>0</v>
      </c>
      <c r="C647" t="s">
        <v>72</v>
      </c>
      <c r="D647" t="s">
        <v>59</v>
      </c>
      <c r="E647" t="s">
        <v>30</v>
      </c>
      <c r="F647">
        <v>43</v>
      </c>
      <c r="G647" t="s">
        <v>19</v>
      </c>
      <c r="H647" t="s">
        <v>18</v>
      </c>
      <c r="I647">
        <v>44</v>
      </c>
      <c r="J647">
        <v>3</v>
      </c>
      <c r="K647">
        <v>5</v>
      </c>
      <c r="L647">
        <v>51</v>
      </c>
      <c r="M647" t="s">
        <v>20</v>
      </c>
      <c r="N647" t="s">
        <v>21</v>
      </c>
      <c r="O647">
        <v>41343</v>
      </c>
      <c r="P647">
        <v>213</v>
      </c>
      <c r="Q647" t="s">
        <v>19</v>
      </c>
      <c r="R647" t="str">
        <f t="shared" si="11"/>
        <v>Yes</v>
      </c>
    </row>
    <row r="648" spans="1:18" x14ac:dyDescent="0.35">
      <c r="A648" s="1">
        <v>40320</v>
      </c>
      <c r="B648">
        <v>0</v>
      </c>
      <c r="C648" t="s">
        <v>72</v>
      </c>
      <c r="D648" t="s">
        <v>58</v>
      </c>
      <c r="E648" t="s">
        <v>30</v>
      </c>
      <c r="F648">
        <v>44</v>
      </c>
      <c r="G648" t="s">
        <v>25</v>
      </c>
      <c r="H648" t="s">
        <v>18</v>
      </c>
      <c r="I648">
        <v>42</v>
      </c>
      <c r="J648">
        <v>5</v>
      </c>
      <c r="K648">
        <v>0</v>
      </c>
      <c r="L648">
        <v>54</v>
      </c>
      <c r="M648" t="s">
        <v>20</v>
      </c>
      <c r="N648" t="s">
        <v>80</v>
      </c>
      <c r="O648">
        <v>45310</v>
      </c>
      <c r="P648">
        <v>176</v>
      </c>
      <c r="Q648" t="s">
        <v>58</v>
      </c>
      <c r="R648" t="str">
        <f t="shared" si="11"/>
        <v>No</v>
      </c>
    </row>
    <row r="649" spans="1:18" x14ac:dyDescent="0.35">
      <c r="A649" s="1">
        <v>40320</v>
      </c>
      <c r="B649">
        <v>0</v>
      </c>
      <c r="C649" t="s">
        <v>72</v>
      </c>
      <c r="D649" t="s">
        <v>50</v>
      </c>
      <c r="E649" t="s">
        <v>18</v>
      </c>
      <c r="F649">
        <v>43</v>
      </c>
      <c r="G649" t="s">
        <v>23</v>
      </c>
      <c r="H649" t="s">
        <v>18</v>
      </c>
      <c r="I649">
        <v>43</v>
      </c>
      <c r="J649">
        <v>4</v>
      </c>
      <c r="K649">
        <v>2</v>
      </c>
      <c r="L649">
        <v>54</v>
      </c>
      <c r="M649" t="s">
        <v>20</v>
      </c>
      <c r="N649" t="s">
        <v>24</v>
      </c>
      <c r="O649">
        <v>26519</v>
      </c>
      <c r="P649">
        <v>211</v>
      </c>
      <c r="Q649" t="s">
        <v>50</v>
      </c>
      <c r="R649" t="str">
        <f t="shared" si="11"/>
        <v>No</v>
      </c>
    </row>
    <row r="650" spans="1:18" x14ac:dyDescent="0.35">
      <c r="A650" s="1">
        <v>40320</v>
      </c>
      <c r="B650">
        <v>0</v>
      </c>
      <c r="C650" t="s">
        <v>72</v>
      </c>
      <c r="D650" t="s">
        <v>31</v>
      </c>
      <c r="E650" t="s">
        <v>30</v>
      </c>
      <c r="F650">
        <v>45</v>
      </c>
      <c r="G650" t="s">
        <v>52</v>
      </c>
      <c r="H650" t="s">
        <v>18</v>
      </c>
      <c r="I650">
        <v>44</v>
      </c>
      <c r="J650">
        <v>10</v>
      </c>
      <c r="K650">
        <v>7</v>
      </c>
      <c r="L650">
        <v>54</v>
      </c>
      <c r="M650" t="s">
        <v>38</v>
      </c>
      <c r="N650" t="s">
        <v>82</v>
      </c>
      <c r="O650">
        <v>44091</v>
      </c>
      <c r="P650">
        <v>183</v>
      </c>
      <c r="Q650" t="s">
        <v>31</v>
      </c>
      <c r="R650" t="str">
        <f t="shared" si="11"/>
        <v>No</v>
      </c>
    </row>
    <row r="651" spans="1:18" x14ac:dyDescent="0.35">
      <c r="A651" s="1">
        <v>40320</v>
      </c>
      <c r="B651">
        <v>0</v>
      </c>
      <c r="C651" t="s">
        <v>72</v>
      </c>
      <c r="D651" t="s">
        <v>43</v>
      </c>
      <c r="E651" t="s">
        <v>30</v>
      </c>
      <c r="F651">
        <v>44</v>
      </c>
      <c r="G651" t="s">
        <v>26</v>
      </c>
      <c r="H651" t="s">
        <v>18</v>
      </c>
      <c r="I651">
        <v>44</v>
      </c>
      <c r="J651">
        <v>6</v>
      </c>
      <c r="K651">
        <v>7</v>
      </c>
      <c r="L651">
        <v>51</v>
      </c>
      <c r="M651" t="s">
        <v>38</v>
      </c>
      <c r="N651" t="s">
        <v>27</v>
      </c>
      <c r="O651">
        <v>30290</v>
      </c>
      <c r="P651">
        <v>178</v>
      </c>
      <c r="Q651" t="s">
        <v>26</v>
      </c>
      <c r="R651" t="str">
        <f t="shared" si="11"/>
        <v>Yes</v>
      </c>
    </row>
    <row r="652" spans="1:18" x14ac:dyDescent="0.35">
      <c r="A652" s="1">
        <v>40321</v>
      </c>
      <c r="B652">
        <v>0</v>
      </c>
      <c r="C652" t="s">
        <v>73</v>
      </c>
      <c r="D652" t="s">
        <v>17</v>
      </c>
      <c r="E652" t="s">
        <v>18</v>
      </c>
      <c r="F652">
        <v>45</v>
      </c>
      <c r="G652" t="s">
        <v>34</v>
      </c>
      <c r="H652" t="s">
        <v>30</v>
      </c>
      <c r="I652">
        <v>43</v>
      </c>
      <c r="J652">
        <v>13</v>
      </c>
      <c r="K652">
        <v>0</v>
      </c>
      <c r="L652">
        <v>54</v>
      </c>
      <c r="M652" t="s">
        <v>38</v>
      </c>
      <c r="N652" t="s">
        <v>35</v>
      </c>
      <c r="O652">
        <v>28298</v>
      </c>
      <c r="P652">
        <v>194</v>
      </c>
      <c r="Q652" t="s">
        <v>17</v>
      </c>
      <c r="R652" t="str">
        <f t="shared" si="11"/>
        <v>No</v>
      </c>
    </row>
    <row r="653" spans="1:18" x14ac:dyDescent="0.35">
      <c r="A653" s="1">
        <v>40321</v>
      </c>
      <c r="B653">
        <v>0</v>
      </c>
      <c r="C653" t="s">
        <v>73</v>
      </c>
      <c r="D653" t="s">
        <v>53</v>
      </c>
      <c r="E653" t="s">
        <v>18</v>
      </c>
      <c r="F653">
        <v>44</v>
      </c>
      <c r="G653" t="s">
        <v>33</v>
      </c>
      <c r="H653" t="s">
        <v>30</v>
      </c>
      <c r="I653">
        <v>42</v>
      </c>
      <c r="J653">
        <v>3</v>
      </c>
      <c r="K653">
        <v>4</v>
      </c>
      <c r="L653">
        <v>51</v>
      </c>
      <c r="M653" t="s">
        <v>38</v>
      </c>
      <c r="N653" t="s">
        <v>75</v>
      </c>
      <c r="O653">
        <v>21044</v>
      </c>
      <c r="P653">
        <v>198</v>
      </c>
      <c r="Q653" t="s">
        <v>33</v>
      </c>
      <c r="R653" t="str">
        <f t="shared" si="11"/>
        <v>Yes</v>
      </c>
    </row>
    <row r="654" spans="1:18" x14ac:dyDescent="0.35">
      <c r="A654" s="1">
        <v>40321</v>
      </c>
      <c r="B654">
        <v>0</v>
      </c>
      <c r="C654" t="s">
        <v>73</v>
      </c>
      <c r="D654" t="s">
        <v>63</v>
      </c>
      <c r="E654" t="s">
        <v>18</v>
      </c>
      <c r="F654">
        <v>44</v>
      </c>
      <c r="G654" t="s">
        <v>37</v>
      </c>
      <c r="H654" t="s">
        <v>30</v>
      </c>
      <c r="I654">
        <v>45</v>
      </c>
      <c r="J654">
        <v>11</v>
      </c>
      <c r="K654">
        <v>7</v>
      </c>
      <c r="L654">
        <v>54</v>
      </c>
      <c r="M654" t="s">
        <v>38</v>
      </c>
      <c r="N654" t="s">
        <v>39</v>
      </c>
      <c r="O654">
        <v>21876</v>
      </c>
      <c r="P654">
        <v>192</v>
      </c>
      <c r="Q654" t="s">
        <v>63</v>
      </c>
      <c r="R654" t="str">
        <f t="shared" si="11"/>
        <v>No</v>
      </c>
    </row>
    <row r="655" spans="1:18" x14ac:dyDescent="0.35">
      <c r="A655" s="1">
        <v>40321</v>
      </c>
      <c r="B655">
        <v>0</v>
      </c>
      <c r="C655" t="s">
        <v>73</v>
      </c>
      <c r="D655" t="s">
        <v>68</v>
      </c>
      <c r="E655" t="s">
        <v>18</v>
      </c>
      <c r="F655">
        <v>44</v>
      </c>
      <c r="G655" t="s">
        <v>29</v>
      </c>
      <c r="H655" t="s">
        <v>30</v>
      </c>
      <c r="I655">
        <v>44</v>
      </c>
      <c r="J655">
        <v>4</v>
      </c>
      <c r="K655">
        <v>3</v>
      </c>
      <c r="L655">
        <v>54</v>
      </c>
      <c r="M655" t="s">
        <v>38</v>
      </c>
      <c r="N655" t="s">
        <v>76</v>
      </c>
      <c r="O655">
        <v>38952</v>
      </c>
      <c r="P655">
        <v>168</v>
      </c>
      <c r="Q655" t="s">
        <v>68</v>
      </c>
      <c r="R655" t="str">
        <f t="shared" si="11"/>
        <v>No</v>
      </c>
    </row>
    <row r="656" spans="1:18" x14ac:dyDescent="0.35">
      <c r="A656" s="1">
        <v>40321</v>
      </c>
      <c r="B656">
        <v>0</v>
      </c>
      <c r="C656" t="s">
        <v>73</v>
      </c>
      <c r="D656" t="s">
        <v>70</v>
      </c>
      <c r="E656" t="s">
        <v>18</v>
      </c>
      <c r="F656">
        <v>43</v>
      </c>
      <c r="G656" t="s">
        <v>41</v>
      </c>
      <c r="H656" t="s">
        <v>30</v>
      </c>
      <c r="I656">
        <v>45</v>
      </c>
      <c r="J656">
        <v>0</v>
      </c>
      <c r="K656">
        <v>3</v>
      </c>
      <c r="L656">
        <v>51</v>
      </c>
      <c r="M656" t="s">
        <v>38</v>
      </c>
      <c r="N656" t="s">
        <v>42</v>
      </c>
      <c r="O656">
        <v>35067</v>
      </c>
      <c r="P656">
        <v>162</v>
      </c>
      <c r="Q656" t="s">
        <v>41</v>
      </c>
      <c r="R656" t="str">
        <f t="shared" si="11"/>
        <v>Yes</v>
      </c>
    </row>
    <row r="657" spans="1:18" x14ac:dyDescent="0.35">
      <c r="A657" s="1">
        <v>40321</v>
      </c>
      <c r="B657">
        <v>0</v>
      </c>
      <c r="C657" t="s">
        <v>73</v>
      </c>
      <c r="D657" t="s">
        <v>62</v>
      </c>
      <c r="E657" t="s">
        <v>18</v>
      </c>
      <c r="F657">
        <v>44</v>
      </c>
      <c r="G657" t="s">
        <v>40</v>
      </c>
      <c r="H657" t="s">
        <v>30</v>
      </c>
      <c r="I657">
        <v>44</v>
      </c>
      <c r="J657">
        <v>8</v>
      </c>
      <c r="K657">
        <v>1</v>
      </c>
      <c r="L657">
        <v>54</v>
      </c>
      <c r="M657" t="s">
        <v>38</v>
      </c>
      <c r="N657" t="s">
        <v>77</v>
      </c>
      <c r="O657">
        <v>33315</v>
      </c>
      <c r="P657">
        <v>169</v>
      </c>
      <c r="Q657" t="s">
        <v>62</v>
      </c>
      <c r="R657" t="str">
        <f t="shared" si="11"/>
        <v>No</v>
      </c>
    </row>
    <row r="658" spans="1:18" x14ac:dyDescent="0.35">
      <c r="A658" s="1">
        <v>40321</v>
      </c>
      <c r="B658">
        <v>0</v>
      </c>
      <c r="C658" t="s">
        <v>73</v>
      </c>
      <c r="D658" t="s">
        <v>49</v>
      </c>
      <c r="E658" t="s">
        <v>18</v>
      </c>
      <c r="F658">
        <v>45</v>
      </c>
      <c r="G658" t="s">
        <v>47</v>
      </c>
      <c r="H658" t="s">
        <v>30</v>
      </c>
      <c r="I658">
        <v>45</v>
      </c>
      <c r="J658">
        <v>5</v>
      </c>
      <c r="K658">
        <v>4</v>
      </c>
      <c r="L658">
        <v>54</v>
      </c>
      <c r="M658" t="s">
        <v>38</v>
      </c>
      <c r="N658" t="s">
        <v>48</v>
      </c>
      <c r="O658">
        <v>37777</v>
      </c>
      <c r="P658">
        <v>183</v>
      </c>
      <c r="Q658" t="s">
        <v>49</v>
      </c>
      <c r="R658" t="str">
        <f t="shared" si="11"/>
        <v>No</v>
      </c>
    </row>
    <row r="659" spans="1:18" x14ac:dyDescent="0.35">
      <c r="A659" s="1">
        <v>40321</v>
      </c>
      <c r="B659">
        <v>0</v>
      </c>
      <c r="C659" t="s">
        <v>73</v>
      </c>
      <c r="D659" t="s">
        <v>46</v>
      </c>
      <c r="E659" t="s">
        <v>30</v>
      </c>
      <c r="F659">
        <v>46</v>
      </c>
      <c r="G659" t="s">
        <v>60</v>
      </c>
      <c r="H659" t="s">
        <v>18</v>
      </c>
      <c r="I659">
        <v>45</v>
      </c>
      <c r="J659">
        <v>12</v>
      </c>
      <c r="K659">
        <v>4</v>
      </c>
      <c r="L659">
        <v>54</v>
      </c>
      <c r="M659" t="s">
        <v>38</v>
      </c>
      <c r="N659" t="s">
        <v>61</v>
      </c>
      <c r="O659">
        <v>23148</v>
      </c>
      <c r="P659">
        <v>182</v>
      </c>
      <c r="Q659" t="s">
        <v>46</v>
      </c>
      <c r="R659" t="str">
        <f t="shared" si="11"/>
        <v>No</v>
      </c>
    </row>
    <row r="660" spans="1:18" x14ac:dyDescent="0.35">
      <c r="A660" s="1">
        <v>40321</v>
      </c>
      <c r="B660">
        <v>0</v>
      </c>
      <c r="C660" t="s">
        <v>73</v>
      </c>
      <c r="D660" t="s">
        <v>44</v>
      </c>
      <c r="E660" t="s">
        <v>30</v>
      </c>
      <c r="F660">
        <v>44</v>
      </c>
      <c r="G660" t="s">
        <v>66</v>
      </c>
      <c r="H660" t="s">
        <v>18</v>
      </c>
      <c r="I660">
        <v>44</v>
      </c>
      <c r="J660">
        <v>10</v>
      </c>
      <c r="K660">
        <v>6</v>
      </c>
      <c r="L660">
        <v>54</v>
      </c>
      <c r="M660" t="s">
        <v>38</v>
      </c>
      <c r="N660" t="s">
        <v>67</v>
      </c>
      <c r="O660">
        <v>28801</v>
      </c>
      <c r="P660">
        <v>209</v>
      </c>
      <c r="Q660" t="s">
        <v>44</v>
      </c>
      <c r="R660" t="str">
        <f t="shared" si="11"/>
        <v>No</v>
      </c>
    </row>
    <row r="661" spans="1:18" x14ac:dyDescent="0.35">
      <c r="A661" s="1">
        <v>40321</v>
      </c>
      <c r="B661">
        <v>0</v>
      </c>
      <c r="C661" t="s">
        <v>73</v>
      </c>
      <c r="D661" t="s">
        <v>36</v>
      </c>
      <c r="E661" t="s">
        <v>30</v>
      </c>
      <c r="F661">
        <v>44</v>
      </c>
      <c r="G661" t="s">
        <v>22</v>
      </c>
      <c r="H661" t="s">
        <v>18</v>
      </c>
      <c r="I661">
        <v>44</v>
      </c>
      <c r="J661">
        <v>6</v>
      </c>
      <c r="K661">
        <v>2</v>
      </c>
      <c r="L661">
        <v>54</v>
      </c>
      <c r="M661" t="s">
        <v>38</v>
      </c>
      <c r="N661" t="s">
        <v>85</v>
      </c>
      <c r="O661">
        <v>46053</v>
      </c>
      <c r="P661">
        <v>163</v>
      </c>
      <c r="Q661" t="s">
        <v>36</v>
      </c>
      <c r="R661" t="str">
        <f t="shared" si="11"/>
        <v>No</v>
      </c>
    </row>
    <row r="662" spans="1:18" x14ac:dyDescent="0.35">
      <c r="A662" s="1">
        <v>40321</v>
      </c>
      <c r="B662">
        <v>0</v>
      </c>
      <c r="C662" t="s">
        <v>73</v>
      </c>
      <c r="D662" t="s">
        <v>59</v>
      </c>
      <c r="E662" t="s">
        <v>30</v>
      </c>
      <c r="F662">
        <v>44</v>
      </c>
      <c r="G662" t="s">
        <v>19</v>
      </c>
      <c r="H662" t="s">
        <v>18</v>
      </c>
      <c r="I662">
        <v>45</v>
      </c>
      <c r="J662">
        <v>4</v>
      </c>
      <c r="K662">
        <v>6</v>
      </c>
      <c r="L662">
        <v>51</v>
      </c>
      <c r="M662" t="s">
        <v>20</v>
      </c>
      <c r="N662" t="s">
        <v>21</v>
      </c>
      <c r="O662">
        <v>41422</v>
      </c>
      <c r="P662">
        <v>192</v>
      </c>
      <c r="Q662" t="s">
        <v>19</v>
      </c>
      <c r="R662" t="str">
        <f t="shared" si="11"/>
        <v>Yes</v>
      </c>
    </row>
    <row r="663" spans="1:18" x14ac:dyDescent="0.35">
      <c r="A663" s="1">
        <v>40321</v>
      </c>
      <c r="B663">
        <v>0</v>
      </c>
      <c r="C663" t="s">
        <v>73</v>
      </c>
      <c r="D663" t="s">
        <v>58</v>
      </c>
      <c r="E663" t="s">
        <v>30</v>
      </c>
      <c r="F663">
        <v>45</v>
      </c>
      <c r="G663" t="s">
        <v>25</v>
      </c>
      <c r="H663" t="s">
        <v>18</v>
      </c>
      <c r="I663">
        <v>43</v>
      </c>
      <c r="J663">
        <v>8</v>
      </c>
      <c r="K663">
        <v>3</v>
      </c>
      <c r="L663">
        <v>54</v>
      </c>
      <c r="M663" t="s">
        <v>38</v>
      </c>
      <c r="N663" t="s">
        <v>80</v>
      </c>
      <c r="O663">
        <v>45068</v>
      </c>
      <c r="P663">
        <v>158</v>
      </c>
      <c r="Q663" t="s">
        <v>58</v>
      </c>
      <c r="R663" t="str">
        <f t="shared" si="11"/>
        <v>No</v>
      </c>
    </row>
    <row r="664" spans="1:18" x14ac:dyDescent="0.35">
      <c r="A664" s="1">
        <v>40321</v>
      </c>
      <c r="B664">
        <v>0</v>
      </c>
      <c r="C664" t="s">
        <v>73</v>
      </c>
      <c r="D664" t="s">
        <v>50</v>
      </c>
      <c r="E664" t="s">
        <v>18</v>
      </c>
      <c r="F664">
        <v>44</v>
      </c>
      <c r="G664" t="s">
        <v>23</v>
      </c>
      <c r="H664" t="s">
        <v>18</v>
      </c>
      <c r="I664">
        <v>44</v>
      </c>
      <c r="J664">
        <v>2</v>
      </c>
      <c r="K664">
        <v>3</v>
      </c>
      <c r="L664">
        <v>59</v>
      </c>
      <c r="M664" t="s">
        <v>38</v>
      </c>
      <c r="N664" t="s">
        <v>24</v>
      </c>
      <c r="O664">
        <v>23045</v>
      </c>
      <c r="P664">
        <v>188</v>
      </c>
      <c r="Q664" t="s">
        <v>23</v>
      </c>
      <c r="R664" t="str">
        <f t="shared" si="11"/>
        <v>Yes</v>
      </c>
    </row>
    <row r="665" spans="1:18" x14ac:dyDescent="0.35">
      <c r="A665" s="1">
        <v>40321</v>
      </c>
      <c r="B665">
        <v>0</v>
      </c>
      <c r="C665" t="s">
        <v>73</v>
      </c>
      <c r="D665" t="s">
        <v>31</v>
      </c>
      <c r="E665" t="s">
        <v>30</v>
      </c>
      <c r="F665">
        <v>46</v>
      </c>
      <c r="G665" t="s">
        <v>52</v>
      </c>
      <c r="H665" t="s">
        <v>18</v>
      </c>
      <c r="I665">
        <v>45</v>
      </c>
      <c r="J665">
        <v>5</v>
      </c>
      <c r="K665">
        <v>6</v>
      </c>
      <c r="L665">
        <v>58</v>
      </c>
      <c r="M665" t="s">
        <v>38</v>
      </c>
      <c r="N665" t="s">
        <v>82</v>
      </c>
      <c r="O665">
        <v>42417</v>
      </c>
      <c r="P665">
        <v>205</v>
      </c>
      <c r="Q665" t="s">
        <v>52</v>
      </c>
      <c r="R665" t="str">
        <f t="shared" si="11"/>
        <v>Yes</v>
      </c>
    </row>
    <row r="666" spans="1:18" x14ac:dyDescent="0.35">
      <c r="A666" s="1">
        <v>40321</v>
      </c>
      <c r="B666">
        <v>0</v>
      </c>
      <c r="C666" t="s">
        <v>73</v>
      </c>
      <c r="D666" t="s">
        <v>43</v>
      </c>
      <c r="E666" t="s">
        <v>30</v>
      </c>
      <c r="F666">
        <v>45</v>
      </c>
      <c r="G666" t="s">
        <v>26</v>
      </c>
      <c r="H666" t="s">
        <v>18</v>
      </c>
      <c r="I666">
        <v>45</v>
      </c>
      <c r="J666">
        <v>3</v>
      </c>
      <c r="K666">
        <v>4</v>
      </c>
      <c r="L666">
        <v>58</v>
      </c>
      <c r="M666" t="s">
        <v>38</v>
      </c>
      <c r="N666" t="s">
        <v>27</v>
      </c>
      <c r="O666">
        <v>27535</v>
      </c>
      <c r="P666">
        <v>197</v>
      </c>
      <c r="Q666" t="s">
        <v>26</v>
      </c>
      <c r="R666" t="str">
        <f t="shared" si="11"/>
        <v>Yes</v>
      </c>
    </row>
    <row r="667" spans="1:18" x14ac:dyDescent="0.35">
      <c r="A667" s="1">
        <v>40322</v>
      </c>
      <c r="B667">
        <v>0</v>
      </c>
      <c r="C667" t="s">
        <v>74</v>
      </c>
      <c r="D667" t="s">
        <v>46</v>
      </c>
      <c r="E667" t="s">
        <v>30</v>
      </c>
      <c r="F667">
        <v>47</v>
      </c>
      <c r="G667" t="s">
        <v>31</v>
      </c>
      <c r="H667" t="s">
        <v>30</v>
      </c>
      <c r="I667">
        <v>47</v>
      </c>
      <c r="J667">
        <v>6</v>
      </c>
      <c r="K667">
        <v>0</v>
      </c>
      <c r="L667">
        <v>54</v>
      </c>
      <c r="M667" t="s">
        <v>20</v>
      </c>
      <c r="N667" t="s">
        <v>32</v>
      </c>
      <c r="O667">
        <v>35826</v>
      </c>
      <c r="P667">
        <v>173</v>
      </c>
      <c r="Q667" t="s">
        <v>46</v>
      </c>
      <c r="R667" t="str">
        <f t="shared" si="11"/>
        <v>No</v>
      </c>
    </row>
    <row r="668" spans="1:18" x14ac:dyDescent="0.35">
      <c r="A668" s="1">
        <v>40322</v>
      </c>
      <c r="B668">
        <v>0</v>
      </c>
      <c r="C668" t="s">
        <v>74</v>
      </c>
      <c r="D668" t="s">
        <v>34</v>
      </c>
      <c r="E668" t="s">
        <v>30</v>
      </c>
      <c r="F668">
        <v>44</v>
      </c>
      <c r="G668" t="s">
        <v>33</v>
      </c>
      <c r="H668" t="s">
        <v>30</v>
      </c>
      <c r="I668">
        <v>43</v>
      </c>
      <c r="J668">
        <v>7</v>
      </c>
      <c r="K668">
        <v>2</v>
      </c>
      <c r="L668">
        <v>54</v>
      </c>
      <c r="M668" t="s">
        <v>20</v>
      </c>
      <c r="N668" t="s">
        <v>75</v>
      </c>
      <c r="O668">
        <v>10166</v>
      </c>
      <c r="P668">
        <v>180</v>
      </c>
      <c r="Q668" t="s">
        <v>34</v>
      </c>
      <c r="R668" t="str">
        <f t="shared" si="11"/>
        <v>No</v>
      </c>
    </row>
    <row r="669" spans="1:18" x14ac:dyDescent="0.35">
      <c r="A669" s="1">
        <v>40322</v>
      </c>
      <c r="B669">
        <v>0</v>
      </c>
      <c r="C669" t="s">
        <v>74</v>
      </c>
      <c r="D669" t="s">
        <v>58</v>
      </c>
      <c r="E669" t="s">
        <v>30</v>
      </c>
      <c r="F669">
        <v>46</v>
      </c>
      <c r="G669" t="s">
        <v>44</v>
      </c>
      <c r="H669" t="s">
        <v>30</v>
      </c>
      <c r="I669">
        <v>45</v>
      </c>
      <c r="J669">
        <v>6</v>
      </c>
      <c r="K669">
        <v>1</v>
      </c>
      <c r="L669">
        <v>54</v>
      </c>
      <c r="M669" t="s">
        <v>20</v>
      </c>
      <c r="N669" t="s">
        <v>45</v>
      </c>
      <c r="O669">
        <v>21430</v>
      </c>
      <c r="P669">
        <v>188</v>
      </c>
      <c r="Q669" t="s">
        <v>58</v>
      </c>
      <c r="R669" t="str">
        <f t="shared" si="11"/>
        <v>No</v>
      </c>
    </row>
    <row r="670" spans="1:18" x14ac:dyDescent="0.35">
      <c r="A670" s="1">
        <v>40322</v>
      </c>
      <c r="B670">
        <v>0</v>
      </c>
      <c r="C670" t="s">
        <v>74</v>
      </c>
      <c r="D670" t="s">
        <v>23</v>
      </c>
      <c r="E670" t="s">
        <v>18</v>
      </c>
      <c r="F670">
        <v>45</v>
      </c>
      <c r="G670" t="s">
        <v>53</v>
      </c>
      <c r="H670" t="s">
        <v>18</v>
      </c>
      <c r="I670">
        <v>45</v>
      </c>
      <c r="J670">
        <v>5</v>
      </c>
      <c r="K670">
        <v>7</v>
      </c>
      <c r="L670">
        <v>51</v>
      </c>
      <c r="M670" t="s">
        <v>20</v>
      </c>
      <c r="N670" t="s">
        <v>54</v>
      </c>
      <c r="O670">
        <v>13385</v>
      </c>
      <c r="P670">
        <v>184</v>
      </c>
      <c r="Q670" t="s">
        <v>53</v>
      </c>
      <c r="R670" t="str">
        <f t="shared" si="11"/>
        <v>Yes</v>
      </c>
    </row>
    <row r="671" spans="1:18" x14ac:dyDescent="0.35">
      <c r="A671" s="1">
        <v>40323</v>
      </c>
      <c r="B671">
        <v>0</v>
      </c>
      <c r="C671" t="s">
        <v>83</v>
      </c>
      <c r="D671" t="s">
        <v>46</v>
      </c>
      <c r="E671" t="s">
        <v>30</v>
      </c>
      <c r="F671">
        <v>48</v>
      </c>
      <c r="G671" t="s">
        <v>31</v>
      </c>
      <c r="H671" t="s">
        <v>30</v>
      </c>
      <c r="I671">
        <v>48</v>
      </c>
      <c r="J671">
        <v>3</v>
      </c>
      <c r="K671">
        <v>8</v>
      </c>
      <c r="L671">
        <v>51</v>
      </c>
      <c r="M671" t="s">
        <v>20</v>
      </c>
      <c r="N671" t="s">
        <v>32</v>
      </c>
      <c r="O671">
        <v>43174</v>
      </c>
      <c r="P671">
        <v>151</v>
      </c>
      <c r="Q671" t="s">
        <v>31</v>
      </c>
      <c r="R671" t="str">
        <f t="shared" si="11"/>
        <v>Yes</v>
      </c>
    </row>
    <row r="672" spans="1:18" x14ac:dyDescent="0.35">
      <c r="A672" s="1">
        <v>40323</v>
      </c>
      <c r="B672">
        <v>0</v>
      </c>
      <c r="C672" t="s">
        <v>83</v>
      </c>
      <c r="D672" t="s">
        <v>41</v>
      </c>
      <c r="E672" t="s">
        <v>30</v>
      </c>
      <c r="F672">
        <v>46</v>
      </c>
      <c r="G672" t="s">
        <v>43</v>
      </c>
      <c r="H672" t="s">
        <v>30</v>
      </c>
      <c r="I672">
        <v>46</v>
      </c>
      <c r="J672">
        <v>1</v>
      </c>
      <c r="K672">
        <v>5</v>
      </c>
      <c r="L672">
        <v>51</v>
      </c>
      <c r="M672" t="s">
        <v>20</v>
      </c>
      <c r="N672" t="s">
        <v>56</v>
      </c>
      <c r="O672">
        <v>14686</v>
      </c>
      <c r="P672">
        <v>161</v>
      </c>
      <c r="Q672" t="s">
        <v>43</v>
      </c>
      <c r="R672" t="str">
        <f t="shared" si="11"/>
        <v>Yes</v>
      </c>
    </row>
    <row r="673" spans="1:18" x14ac:dyDescent="0.35">
      <c r="A673" s="1">
        <v>40323</v>
      </c>
      <c r="B673">
        <v>0</v>
      </c>
      <c r="C673" t="s">
        <v>83</v>
      </c>
      <c r="D673" t="s">
        <v>34</v>
      </c>
      <c r="E673" t="s">
        <v>30</v>
      </c>
      <c r="F673">
        <v>45</v>
      </c>
      <c r="G673" t="s">
        <v>33</v>
      </c>
      <c r="H673" t="s">
        <v>30</v>
      </c>
      <c r="I673">
        <v>44</v>
      </c>
      <c r="J673">
        <v>3</v>
      </c>
      <c r="K673">
        <v>7</v>
      </c>
      <c r="L673">
        <v>51</v>
      </c>
      <c r="M673" t="s">
        <v>20</v>
      </c>
      <c r="N673" t="s">
        <v>75</v>
      </c>
      <c r="O673">
        <v>14441</v>
      </c>
      <c r="P673">
        <v>136</v>
      </c>
      <c r="Q673" t="s">
        <v>33</v>
      </c>
      <c r="R673" t="str">
        <f t="shared" si="11"/>
        <v>Yes</v>
      </c>
    </row>
    <row r="674" spans="1:18" x14ac:dyDescent="0.35">
      <c r="A674" s="1">
        <v>40323</v>
      </c>
      <c r="B674">
        <v>0</v>
      </c>
      <c r="C674" t="s">
        <v>83</v>
      </c>
      <c r="D674" t="s">
        <v>47</v>
      </c>
      <c r="E674" t="s">
        <v>30</v>
      </c>
      <c r="F674">
        <v>46</v>
      </c>
      <c r="G674" t="s">
        <v>37</v>
      </c>
      <c r="H674" t="s">
        <v>30</v>
      </c>
      <c r="I674">
        <v>46</v>
      </c>
      <c r="J674">
        <v>8</v>
      </c>
      <c r="K674">
        <v>7</v>
      </c>
      <c r="L674">
        <v>54</v>
      </c>
      <c r="M674" t="s">
        <v>20</v>
      </c>
      <c r="N674" t="s">
        <v>39</v>
      </c>
      <c r="O674">
        <v>12796</v>
      </c>
      <c r="P674">
        <v>191</v>
      </c>
      <c r="Q674" t="s">
        <v>47</v>
      </c>
      <c r="R674" t="str">
        <f t="shared" si="11"/>
        <v>No</v>
      </c>
    </row>
    <row r="675" spans="1:18" x14ac:dyDescent="0.35">
      <c r="A675" s="1">
        <v>40323</v>
      </c>
      <c r="B675">
        <v>0</v>
      </c>
      <c r="C675" t="s">
        <v>83</v>
      </c>
      <c r="D675" t="s">
        <v>59</v>
      </c>
      <c r="E675" t="s">
        <v>30</v>
      </c>
      <c r="F675">
        <v>45</v>
      </c>
      <c r="G675" t="s">
        <v>29</v>
      </c>
      <c r="H675" t="s">
        <v>30</v>
      </c>
      <c r="I675">
        <v>45</v>
      </c>
      <c r="J675">
        <v>1</v>
      </c>
      <c r="K675">
        <v>0</v>
      </c>
      <c r="L675">
        <v>54</v>
      </c>
      <c r="M675" t="s">
        <v>20</v>
      </c>
      <c r="N675" t="s">
        <v>76</v>
      </c>
      <c r="O675">
        <v>38962</v>
      </c>
      <c r="P675">
        <v>159</v>
      </c>
      <c r="Q675" t="s">
        <v>59</v>
      </c>
      <c r="R675" t="str">
        <f t="shared" si="11"/>
        <v>No</v>
      </c>
    </row>
    <row r="676" spans="1:18" x14ac:dyDescent="0.35">
      <c r="A676" s="1">
        <v>40323</v>
      </c>
      <c r="B676">
        <v>0</v>
      </c>
      <c r="C676" t="s">
        <v>83</v>
      </c>
      <c r="D676" t="s">
        <v>36</v>
      </c>
      <c r="E676" t="s">
        <v>30</v>
      </c>
      <c r="F676">
        <v>45</v>
      </c>
      <c r="G676" t="s">
        <v>40</v>
      </c>
      <c r="H676" t="s">
        <v>30</v>
      </c>
      <c r="I676">
        <v>45</v>
      </c>
      <c r="J676">
        <v>3</v>
      </c>
      <c r="K676">
        <v>5</v>
      </c>
      <c r="L676">
        <v>51</v>
      </c>
      <c r="M676" t="s">
        <v>20</v>
      </c>
      <c r="N676" t="s">
        <v>77</v>
      </c>
      <c r="O676">
        <v>20920</v>
      </c>
      <c r="P676">
        <v>137</v>
      </c>
      <c r="Q676" t="s">
        <v>40</v>
      </c>
      <c r="R676" t="str">
        <f t="shared" si="11"/>
        <v>Yes</v>
      </c>
    </row>
    <row r="677" spans="1:18" x14ac:dyDescent="0.35">
      <c r="A677" s="1">
        <v>40323</v>
      </c>
      <c r="B677">
        <v>0</v>
      </c>
      <c r="C677" t="s">
        <v>83</v>
      </c>
      <c r="D677" t="s">
        <v>58</v>
      </c>
      <c r="E677" t="s">
        <v>30</v>
      </c>
      <c r="F677">
        <v>47</v>
      </c>
      <c r="G677" t="s">
        <v>44</v>
      </c>
      <c r="H677" t="s">
        <v>30</v>
      </c>
      <c r="I677">
        <v>46</v>
      </c>
      <c r="J677">
        <v>2</v>
      </c>
      <c r="K677">
        <v>0</v>
      </c>
      <c r="L677">
        <v>54</v>
      </c>
      <c r="M677" t="s">
        <v>20</v>
      </c>
      <c r="N677" t="s">
        <v>45</v>
      </c>
      <c r="O677">
        <v>24310</v>
      </c>
      <c r="P677">
        <v>173</v>
      </c>
      <c r="Q677" t="s">
        <v>58</v>
      </c>
      <c r="R677" t="str">
        <f t="shared" si="11"/>
        <v>No</v>
      </c>
    </row>
    <row r="678" spans="1:18" x14ac:dyDescent="0.35">
      <c r="A678" s="1">
        <v>40323</v>
      </c>
      <c r="B678">
        <v>0</v>
      </c>
      <c r="C678" t="s">
        <v>83</v>
      </c>
      <c r="D678" t="s">
        <v>22</v>
      </c>
      <c r="E678" t="s">
        <v>18</v>
      </c>
      <c r="F678">
        <v>45</v>
      </c>
      <c r="G678" t="s">
        <v>49</v>
      </c>
      <c r="H678" t="s">
        <v>18</v>
      </c>
      <c r="I678">
        <v>46</v>
      </c>
      <c r="J678">
        <v>0</v>
      </c>
      <c r="K678">
        <v>3</v>
      </c>
      <c r="L678">
        <v>51</v>
      </c>
      <c r="M678" t="s">
        <v>20</v>
      </c>
      <c r="N678" t="s">
        <v>79</v>
      </c>
      <c r="O678">
        <v>34749</v>
      </c>
      <c r="P678">
        <v>139</v>
      </c>
      <c r="Q678" t="s">
        <v>49</v>
      </c>
      <c r="R678" t="str">
        <f t="shared" si="11"/>
        <v>Yes</v>
      </c>
    </row>
    <row r="679" spans="1:18" x14ac:dyDescent="0.35">
      <c r="A679" s="1">
        <v>40323</v>
      </c>
      <c r="B679">
        <v>0</v>
      </c>
      <c r="C679" t="s">
        <v>83</v>
      </c>
      <c r="D679" t="s">
        <v>23</v>
      </c>
      <c r="E679" t="s">
        <v>18</v>
      </c>
      <c r="F679">
        <v>46</v>
      </c>
      <c r="G679" t="s">
        <v>53</v>
      </c>
      <c r="H679" t="s">
        <v>18</v>
      </c>
      <c r="I679">
        <v>46</v>
      </c>
      <c r="J679">
        <v>2</v>
      </c>
      <c r="K679">
        <v>1</v>
      </c>
      <c r="L679">
        <v>54</v>
      </c>
      <c r="M679" t="s">
        <v>20</v>
      </c>
      <c r="N679" t="s">
        <v>54</v>
      </c>
      <c r="O679">
        <v>14471</v>
      </c>
      <c r="P679">
        <v>144</v>
      </c>
      <c r="Q679" t="s">
        <v>23</v>
      </c>
      <c r="R679" t="str">
        <f t="shared" si="11"/>
        <v>No</v>
      </c>
    </row>
    <row r="680" spans="1:18" x14ac:dyDescent="0.35">
      <c r="A680" s="1">
        <v>40323</v>
      </c>
      <c r="B680">
        <v>0</v>
      </c>
      <c r="C680" t="s">
        <v>83</v>
      </c>
      <c r="D680" t="s">
        <v>60</v>
      </c>
      <c r="E680" t="s">
        <v>18</v>
      </c>
      <c r="F680">
        <v>46</v>
      </c>
      <c r="G680" t="s">
        <v>63</v>
      </c>
      <c r="H680" t="s">
        <v>18</v>
      </c>
      <c r="I680">
        <v>45</v>
      </c>
      <c r="J680">
        <v>2</v>
      </c>
      <c r="K680">
        <v>3</v>
      </c>
      <c r="L680">
        <v>51</v>
      </c>
      <c r="M680" t="s">
        <v>20</v>
      </c>
      <c r="N680" t="s">
        <v>64</v>
      </c>
      <c r="O680">
        <v>28370</v>
      </c>
      <c r="P680">
        <v>158</v>
      </c>
      <c r="Q680" t="s">
        <v>63</v>
      </c>
      <c r="R680" t="str">
        <f t="shared" si="11"/>
        <v>Yes</v>
      </c>
    </row>
    <row r="681" spans="1:18" x14ac:dyDescent="0.35">
      <c r="A681" s="1">
        <v>40323</v>
      </c>
      <c r="B681">
        <v>0</v>
      </c>
      <c r="C681" t="s">
        <v>83</v>
      </c>
      <c r="D681" t="s">
        <v>50</v>
      </c>
      <c r="E681" t="s">
        <v>18</v>
      </c>
      <c r="F681">
        <v>45</v>
      </c>
      <c r="G681" t="s">
        <v>17</v>
      </c>
      <c r="H681" t="s">
        <v>18</v>
      </c>
      <c r="I681">
        <v>46</v>
      </c>
      <c r="J681">
        <v>4</v>
      </c>
      <c r="K681">
        <v>6</v>
      </c>
      <c r="L681">
        <v>51</v>
      </c>
      <c r="M681" t="s">
        <v>20</v>
      </c>
      <c r="N681" t="s">
        <v>65</v>
      </c>
      <c r="O681">
        <v>11434</v>
      </c>
      <c r="P681">
        <v>175</v>
      </c>
      <c r="Q681" t="s">
        <v>17</v>
      </c>
      <c r="R681" t="str">
        <f t="shared" si="11"/>
        <v>Yes</v>
      </c>
    </row>
    <row r="682" spans="1:18" x14ac:dyDescent="0.35">
      <c r="A682" s="1">
        <v>40323</v>
      </c>
      <c r="B682">
        <v>0</v>
      </c>
      <c r="C682" t="s">
        <v>83</v>
      </c>
      <c r="D682" t="s">
        <v>66</v>
      </c>
      <c r="E682" t="s">
        <v>18</v>
      </c>
      <c r="F682">
        <v>45</v>
      </c>
      <c r="G682" t="s">
        <v>68</v>
      </c>
      <c r="H682" t="s">
        <v>18</v>
      </c>
      <c r="I682">
        <v>45</v>
      </c>
      <c r="J682">
        <v>1</v>
      </c>
      <c r="K682">
        <v>6</v>
      </c>
      <c r="L682">
        <v>51</v>
      </c>
      <c r="M682" t="s">
        <v>20</v>
      </c>
      <c r="N682" t="s">
        <v>69</v>
      </c>
      <c r="O682">
        <v>27363</v>
      </c>
      <c r="P682">
        <v>175</v>
      </c>
      <c r="Q682" t="s">
        <v>68</v>
      </c>
      <c r="R682" t="str">
        <f t="shared" si="11"/>
        <v>Yes</v>
      </c>
    </row>
    <row r="683" spans="1:18" x14ac:dyDescent="0.35">
      <c r="A683" s="1">
        <v>40323</v>
      </c>
      <c r="B683">
        <v>0</v>
      </c>
      <c r="C683" t="s">
        <v>83</v>
      </c>
      <c r="D683" t="s">
        <v>25</v>
      </c>
      <c r="E683" t="s">
        <v>18</v>
      </c>
      <c r="F683">
        <v>44</v>
      </c>
      <c r="G683" t="s">
        <v>19</v>
      </c>
      <c r="H683" t="s">
        <v>18</v>
      </c>
      <c r="I683">
        <v>46</v>
      </c>
      <c r="J683">
        <v>0</v>
      </c>
      <c r="K683">
        <v>8</v>
      </c>
      <c r="L683">
        <v>51</v>
      </c>
      <c r="M683" t="s">
        <v>20</v>
      </c>
      <c r="N683" t="s">
        <v>21</v>
      </c>
      <c r="O683">
        <v>33026</v>
      </c>
      <c r="P683">
        <v>173</v>
      </c>
      <c r="Q683" t="s">
        <v>19</v>
      </c>
      <c r="R683" t="str">
        <f t="shared" si="11"/>
        <v>Yes</v>
      </c>
    </row>
    <row r="684" spans="1:18" x14ac:dyDescent="0.35">
      <c r="A684" s="1">
        <v>40323</v>
      </c>
      <c r="B684">
        <v>0</v>
      </c>
      <c r="C684" t="s">
        <v>83</v>
      </c>
      <c r="D684" t="s">
        <v>52</v>
      </c>
      <c r="E684" t="s">
        <v>18</v>
      </c>
      <c r="F684">
        <v>46</v>
      </c>
      <c r="G684" t="s">
        <v>62</v>
      </c>
      <c r="H684" t="s">
        <v>18</v>
      </c>
      <c r="I684">
        <v>45</v>
      </c>
      <c r="J684">
        <v>0</v>
      </c>
      <c r="K684">
        <v>1</v>
      </c>
      <c r="L684">
        <v>51</v>
      </c>
      <c r="M684" t="s">
        <v>20</v>
      </c>
      <c r="N684" t="s">
        <v>81</v>
      </c>
      <c r="O684">
        <v>18236</v>
      </c>
      <c r="P684">
        <v>150</v>
      </c>
      <c r="Q684" t="s">
        <v>62</v>
      </c>
      <c r="R684" t="str">
        <f t="shared" si="11"/>
        <v>Yes</v>
      </c>
    </row>
    <row r="685" spans="1:18" x14ac:dyDescent="0.35">
      <c r="A685" s="1">
        <v>40323</v>
      </c>
      <c r="B685">
        <v>0</v>
      </c>
      <c r="C685" t="s">
        <v>83</v>
      </c>
      <c r="D685" t="s">
        <v>26</v>
      </c>
      <c r="E685" t="s">
        <v>18</v>
      </c>
      <c r="F685">
        <v>46</v>
      </c>
      <c r="G685" t="s">
        <v>70</v>
      </c>
      <c r="H685" t="s">
        <v>18</v>
      </c>
      <c r="I685">
        <v>44</v>
      </c>
      <c r="J685">
        <v>2</v>
      </c>
      <c r="K685">
        <v>4</v>
      </c>
      <c r="L685">
        <v>51</v>
      </c>
      <c r="M685" t="s">
        <v>20</v>
      </c>
      <c r="N685" t="s">
        <v>71</v>
      </c>
      <c r="O685">
        <v>27981</v>
      </c>
      <c r="P685">
        <v>148</v>
      </c>
      <c r="Q685" t="s">
        <v>70</v>
      </c>
      <c r="R685" t="str">
        <f t="shared" si="11"/>
        <v>Yes</v>
      </c>
    </row>
    <row r="686" spans="1:18" x14ac:dyDescent="0.35">
      <c r="A686" s="1">
        <v>40324</v>
      </c>
      <c r="B686">
        <v>0</v>
      </c>
      <c r="C686" t="s">
        <v>16</v>
      </c>
      <c r="D686" t="s">
        <v>46</v>
      </c>
      <c r="E686" t="s">
        <v>30</v>
      </c>
      <c r="F686">
        <v>49</v>
      </c>
      <c r="G686" t="s">
        <v>31</v>
      </c>
      <c r="H686" t="s">
        <v>30</v>
      </c>
      <c r="I686">
        <v>49</v>
      </c>
      <c r="J686">
        <v>5</v>
      </c>
      <c r="K686">
        <v>6</v>
      </c>
      <c r="L686">
        <v>53</v>
      </c>
      <c r="M686" t="s">
        <v>38</v>
      </c>
      <c r="N686" t="s">
        <v>32</v>
      </c>
      <c r="O686">
        <v>34504</v>
      </c>
      <c r="P686">
        <v>182</v>
      </c>
      <c r="Q686" t="s">
        <v>31</v>
      </c>
      <c r="R686" t="str">
        <f t="shared" si="11"/>
        <v>Yes</v>
      </c>
    </row>
    <row r="687" spans="1:18" x14ac:dyDescent="0.35">
      <c r="A687" s="1">
        <v>40324</v>
      </c>
      <c r="B687">
        <v>0</v>
      </c>
      <c r="C687" t="s">
        <v>16</v>
      </c>
      <c r="D687" t="s">
        <v>41</v>
      </c>
      <c r="E687" t="s">
        <v>30</v>
      </c>
      <c r="F687">
        <v>47</v>
      </c>
      <c r="G687" t="s">
        <v>43</v>
      </c>
      <c r="H687" t="s">
        <v>30</v>
      </c>
      <c r="I687">
        <v>47</v>
      </c>
      <c r="J687">
        <v>6</v>
      </c>
      <c r="K687">
        <v>1</v>
      </c>
      <c r="L687">
        <v>54</v>
      </c>
      <c r="M687" t="s">
        <v>20</v>
      </c>
      <c r="N687" t="s">
        <v>56</v>
      </c>
      <c r="O687">
        <v>19153</v>
      </c>
      <c r="P687">
        <v>171</v>
      </c>
      <c r="Q687" t="s">
        <v>41</v>
      </c>
      <c r="R687" t="str">
        <f t="shared" si="11"/>
        <v>No</v>
      </c>
    </row>
    <row r="688" spans="1:18" x14ac:dyDescent="0.35">
      <c r="A688" s="1">
        <v>40324</v>
      </c>
      <c r="B688">
        <v>0</v>
      </c>
      <c r="C688" t="s">
        <v>16</v>
      </c>
      <c r="D688" t="s">
        <v>34</v>
      </c>
      <c r="E688" t="s">
        <v>30</v>
      </c>
      <c r="F688">
        <v>46</v>
      </c>
      <c r="G688" t="s">
        <v>33</v>
      </c>
      <c r="H688" t="s">
        <v>30</v>
      </c>
      <c r="I688">
        <v>45</v>
      </c>
      <c r="J688">
        <v>5</v>
      </c>
      <c r="K688">
        <v>4</v>
      </c>
      <c r="L688">
        <v>54</v>
      </c>
      <c r="M688" t="s">
        <v>38</v>
      </c>
      <c r="N688" t="s">
        <v>75</v>
      </c>
      <c r="O688">
        <v>18109</v>
      </c>
      <c r="P688">
        <v>164</v>
      </c>
      <c r="Q688" t="s">
        <v>34</v>
      </c>
      <c r="R688" t="str">
        <f t="shared" si="11"/>
        <v>No</v>
      </c>
    </row>
    <row r="689" spans="1:18" x14ac:dyDescent="0.35">
      <c r="A689" s="1">
        <v>40324</v>
      </c>
      <c r="B689">
        <v>0</v>
      </c>
      <c r="C689" t="s">
        <v>16</v>
      </c>
      <c r="D689" t="s">
        <v>47</v>
      </c>
      <c r="E689" t="s">
        <v>30</v>
      </c>
      <c r="F689">
        <v>47</v>
      </c>
      <c r="G689" t="s">
        <v>37</v>
      </c>
      <c r="H689" t="s">
        <v>30</v>
      </c>
      <c r="I689">
        <v>47</v>
      </c>
      <c r="J689">
        <v>2</v>
      </c>
      <c r="K689">
        <v>5</v>
      </c>
      <c r="L689">
        <v>51</v>
      </c>
      <c r="M689" t="s">
        <v>38</v>
      </c>
      <c r="N689" t="s">
        <v>39</v>
      </c>
      <c r="O689">
        <v>14722</v>
      </c>
      <c r="P689">
        <v>144</v>
      </c>
      <c r="Q689" t="s">
        <v>37</v>
      </c>
      <c r="R689" t="str">
        <f t="shared" si="11"/>
        <v>Yes</v>
      </c>
    </row>
    <row r="690" spans="1:18" x14ac:dyDescent="0.35">
      <c r="A690" s="1">
        <v>40324</v>
      </c>
      <c r="B690">
        <v>0</v>
      </c>
      <c r="C690" t="s">
        <v>16</v>
      </c>
      <c r="D690" t="s">
        <v>59</v>
      </c>
      <c r="E690" t="s">
        <v>30</v>
      </c>
      <c r="F690">
        <v>46</v>
      </c>
      <c r="G690" t="s">
        <v>29</v>
      </c>
      <c r="H690" t="s">
        <v>30</v>
      </c>
      <c r="I690">
        <v>46</v>
      </c>
      <c r="J690">
        <v>3</v>
      </c>
      <c r="K690">
        <v>2</v>
      </c>
      <c r="L690">
        <v>54</v>
      </c>
      <c r="M690" t="s">
        <v>20</v>
      </c>
      <c r="N690" t="s">
        <v>76</v>
      </c>
      <c r="O690">
        <v>39353</v>
      </c>
      <c r="P690">
        <v>161</v>
      </c>
      <c r="Q690" t="s">
        <v>59</v>
      </c>
      <c r="R690" t="str">
        <f t="shared" si="11"/>
        <v>No</v>
      </c>
    </row>
    <row r="691" spans="1:18" x14ac:dyDescent="0.35">
      <c r="A691" s="1">
        <v>40324</v>
      </c>
      <c r="B691">
        <v>0</v>
      </c>
      <c r="C691" t="s">
        <v>16</v>
      </c>
      <c r="D691" t="s">
        <v>36</v>
      </c>
      <c r="E691" t="s">
        <v>30</v>
      </c>
      <c r="F691">
        <v>46</v>
      </c>
      <c r="G691" t="s">
        <v>40</v>
      </c>
      <c r="H691" t="s">
        <v>30</v>
      </c>
      <c r="I691">
        <v>46</v>
      </c>
      <c r="J691">
        <v>4</v>
      </c>
      <c r="K691">
        <v>5</v>
      </c>
      <c r="L691">
        <v>51</v>
      </c>
      <c r="M691" t="s">
        <v>38</v>
      </c>
      <c r="N691" t="s">
        <v>77</v>
      </c>
      <c r="O691">
        <v>22422</v>
      </c>
      <c r="P691">
        <v>165</v>
      </c>
      <c r="Q691" t="s">
        <v>40</v>
      </c>
      <c r="R691" t="str">
        <f t="shared" si="11"/>
        <v>Yes</v>
      </c>
    </row>
    <row r="692" spans="1:18" x14ac:dyDescent="0.35">
      <c r="A692" s="1">
        <v>40324</v>
      </c>
      <c r="B692">
        <v>0</v>
      </c>
      <c r="C692" t="s">
        <v>16</v>
      </c>
      <c r="D692" t="s">
        <v>58</v>
      </c>
      <c r="E692" t="s">
        <v>30</v>
      </c>
      <c r="F692">
        <v>48</v>
      </c>
      <c r="G692" t="s">
        <v>44</v>
      </c>
      <c r="H692" t="s">
        <v>30</v>
      </c>
      <c r="I692">
        <v>47</v>
      </c>
      <c r="J692">
        <v>11</v>
      </c>
      <c r="K692">
        <v>3</v>
      </c>
      <c r="L692">
        <v>54</v>
      </c>
      <c r="M692" t="s">
        <v>20</v>
      </c>
      <c r="N692" t="s">
        <v>45</v>
      </c>
      <c r="O692">
        <v>22147</v>
      </c>
      <c r="P692">
        <v>203</v>
      </c>
      <c r="Q692" t="s">
        <v>58</v>
      </c>
      <c r="R692" t="str">
        <f t="shared" si="11"/>
        <v>No</v>
      </c>
    </row>
    <row r="693" spans="1:18" x14ac:dyDescent="0.35">
      <c r="A693" s="1">
        <v>40324</v>
      </c>
      <c r="B693">
        <v>0</v>
      </c>
      <c r="C693" t="s">
        <v>16</v>
      </c>
      <c r="D693" t="s">
        <v>22</v>
      </c>
      <c r="E693" t="s">
        <v>18</v>
      </c>
      <c r="F693">
        <v>46</v>
      </c>
      <c r="G693" t="s">
        <v>49</v>
      </c>
      <c r="H693" t="s">
        <v>18</v>
      </c>
      <c r="I693">
        <v>47</v>
      </c>
      <c r="J693">
        <v>8</v>
      </c>
      <c r="K693">
        <v>5</v>
      </c>
      <c r="L693">
        <v>54</v>
      </c>
      <c r="M693" t="s">
        <v>20</v>
      </c>
      <c r="N693" t="s">
        <v>79</v>
      </c>
      <c r="O693">
        <v>35828</v>
      </c>
      <c r="P693">
        <v>204</v>
      </c>
      <c r="Q693" t="s">
        <v>22</v>
      </c>
      <c r="R693" t="str">
        <f t="shared" si="11"/>
        <v>No</v>
      </c>
    </row>
    <row r="694" spans="1:18" x14ac:dyDescent="0.35">
      <c r="A694" s="1">
        <v>40324</v>
      </c>
      <c r="B694">
        <v>0</v>
      </c>
      <c r="C694" t="s">
        <v>16</v>
      </c>
      <c r="D694" t="s">
        <v>23</v>
      </c>
      <c r="E694" t="s">
        <v>18</v>
      </c>
      <c r="F694">
        <v>47</v>
      </c>
      <c r="G694" t="s">
        <v>53</v>
      </c>
      <c r="H694" t="s">
        <v>18</v>
      </c>
      <c r="I694">
        <v>47</v>
      </c>
      <c r="J694">
        <v>0</v>
      </c>
      <c r="K694">
        <v>4</v>
      </c>
      <c r="L694">
        <v>51</v>
      </c>
      <c r="M694" t="s">
        <v>20</v>
      </c>
      <c r="N694" t="s">
        <v>54</v>
      </c>
      <c r="O694">
        <v>18137</v>
      </c>
      <c r="P694">
        <v>174</v>
      </c>
      <c r="Q694" t="s">
        <v>53</v>
      </c>
      <c r="R694" t="str">
        <f t="shared" si="11"/>
        <v>Yes</v>
      </c>
    </row>
    <row r="695" spans="1:18" x14ac:dyDescent="0.35">
      <c r="A695" s="1">
        <v>40324</v>
      </c>
      <c r="B695">
        <v>0</v>
      </c>
      <c r="C695" t="s">
        <v>16</v>
      </c>
      <c r="D695" t="s">
        <v>60</v>
      </c>
      <c r="E695" t="s">
        <v>18</v>
      </c>
      <c r="F695">
        <v>47</v>
      </c>
      <c r="G695" t="s">
        <v>63</v>
      </c>
      <c r="H695" t="s">
        <v>18</v>
      </c>
      <c r="I695">
        <v>46</v>
      </c>
      <c r="J695">
        <v>3</v>
      </c>
      <c r="K695">
        <v>7</v>
      </c>
      <c r="L695">
        <v>51</v>
      </c>
      <c r="M695" t="s">
        <v>20</v>
      </c>
      <c r="N695" t="s">
        <v>64</v>
      </c>
      <c r="O695">
        <v>26320</v>
      </c>
      <c r="P695">
        <v>150</v>
      </c>
      <c r="Q695" t="s">
        <v>63</v>
      </c>
      <c r="R695" t="str">
        <f t="shared" si="11"/>
        <v>Yes</v>
      </c>
    </row>
    <row r="696" spans="1:18" x14ac:dyDescent="0.35">
      <c r="A696" s="1">
        <v>40324</v>
      </c>
      <c r="B696">
        <v>0</v>
      </c>
      <c r="C696" t="s">
        <v>16</v>
      </c>
      <c r="D696" t="s">
        <v>50</v>
      </c>
      <c r="E696" t="s">
        <v>18</v>
      </c>
      <c r="F696">
        <v>46</v>
      </c>
      <c r="G696" t="s">
        <v>17</v>
      </c>
      <c r="H696" t="s">
        <v>18</v>
      </c>
      <c r="I696">
        <v>47</v>
      </c>
      <c r="J696">
        <v>7</v>
      </c>
      <c r="K696">
        <v>3</v>
      </c>
      <c r="L696">
        <v>54</v>
      </c>
      <c r="M696" t="s">
        <v>20</v>
      </c>
      <c r="N696" t="s">
        <v>65</v>
      </c>
      <c r="O696">
        <v>15238</v>
      </c>
      <c r="P696">
        <v>175</v>
      </c>
      <c r="Q696" t="s">
        <v>50</v>
      </c>
      <c r="R696" t="str">
        <f t="shared" si="11"/>
        <v>No</v>
      </c>
    </row>
    <row r="697" spans="1:18" x14ac:dyDescent="0.35">
      <c r="A697" s="1">
        <v>40324</v>
      </c>
      <c r="B697">
        <v>0</v>
      </c>
      <c r="C697" t="s">
        <v>16</v>
      </c>
      <c r="D697" t="s">
        <v>66</v>
      </c>
      <c r="E697" t="s">
        <v>18</v>
      </c>
      <c r="F697">
        <v>46</v>
      </c>
      <c r="G697" t="s">
        <v>68</v>
      </c>
      <c r="H697" t="s">
        <v>18</v>
      </c>
      <c r="I697">
        <v>46</v>
      </c>
      <c r="J697">
        <v>5</v>
      </c>
      <c r="K697">
        <v>0</v>
      </c>
      <c r="L697">
        <v>54</v>
      </c>
      <c r="M697" t="s">
        <v>20</v>
      </c>
      <c r="N697" t="s">
        <v>69</v>
      </c>
      <c r="O697">
        <v>30151</v>
      </c>
      <c r="P697">
        <v>165</v>
      </c>
      <c r="Q697" t="s">
        <v>66</v>
      </c>
      <c r="R697" t="str">
        <f t="shared" si="11"/>
        <v>No</v>
      </c>
    </row>
    <row r="698" spans="1:18" x14ac:dyDescent="0.35">
      <c r="A698" s="1">
        <v>40324</v>
      </c>
      <c r="B698">
        <v>0</v>
      </c>
      <c r="C698" t="s">
        <v>16</v>
      </c>
      <c r="D698" t="s">
        <v>25</v>
      </c>
      <c r="E698" t="s">
        <v>18</v>
      </c>
      <c r="F698">
        <v>45</v>
      </c>
      <c r="G698" t="s">
        <v>19</v>
      </c>
      <c r="H698" t="s">
        <v>18</v>
      </c>
      <c r="I698">
        <v>47</v>
      </c>
      <c r="J698">
        <v>0</v>
      </c>
      <c r="K698">
        <v>5</v>
      </c>
      <c r="L698">
        <v>51</v>
      </c>
      <c r="M698" t="s">
        <v>20</v>
      </c>
      <c r="N698" t="s">
        <v>21</v>
      </c>
      <c r="O698">
        <v>33223</v>
      </c>
      <c r="P698">
        <v>175</v>
      </c>
      <c r="Q698" t="s">
        <v>19</v>
      </c>
      <c r="R698" t="str">
        <f t="shared" si="11"/>
        <v>Yes</v>
      </c>
    </row>
    <row r="699" spans="1:18" x14ac:dyDescent="0.35">
      <c r="A699" s="1">
        <v>40324</v>
      </c>
      <c r="B699">
        <v>0</v>
      </c>
      <c r="C699" t="s">
        <v>16</v>
      </c>
      <c r="D699" t="s">
        <v>52</v>
      </c>
      <c r="E699" t="s">
        <v>18</v>
      </c>
      <c r="F699">
        <v>47</v>
      </c>
      <c r="G699" t="s">
        <v>62</v>
      </c>
      <c r="H699" t="s">
        <v>18</v>
      </c>
      <c r="I699">
        <v>46</v>
      </c>
      <c r="J699">
        <v>1</v>
      </c>
      <c r="K699">
        <v>2</v>
      </c>
      <c r="L699">
        <v>77</v>
      </c>
      <c r="M699" t="s">
        <v>20</v>
      </c>
      <c r="N699" t="s">
        <v>81</v>
      </c>
      <c r="O699">
        <v>19752</v>
      </c>
      <c r="P699">
        <v>253</v>
      </c>
      <c r="Q699" t="s">
        <v>62</v>
      </c>
      <c r="R699" t="str">
        <f t="shared" si="11"/>
        <v>Yes</v>
      </c>
    </row>
    <row r="700" spans="1:18" x14ac:dyDescent="0.35">
      <c r="A700" s="1">
        <v>40324</v>
      </c>
      <c r="B700">
        <v>0</v>
      </c>
      <c r="C700" t="s">
        <v>16</v>
      </c>
      <c r="D700" t="s">
        <v>26</v>
      </c>
      <c r="E700" t="s">
        <v>18</v>
      </c>
      <c r="F700">
        <v>47</v>
      </c>
      <c r="G700" t="s">
        <v>70</v>
      </c>
      <c r="H700" t="s">
        <v>18</v>
      </c>
      <c r="I700">
        <v>45</v>
      </c>
      <c r="J700">
        <v>7</v>
      </c>
      <c r="K700">
        <v>3</v>
      </c>
      <c r="L700">
        <v>54</v>
      </c>
      <c r="M700" t="s">
        <v>20</v>
      </c>
      <c r="N700" t="s">
        <v>71</v>
      </c>
      <c r="O700">
        <v>30230</v>
      </c>
      <c r="P700">
        <v>168</v>
      </c>
      <c r="Q700" t="s">
        <v>26</v>
      </c>
      <c r="R700" t="str">
        <f t="shared" si="11"/>
        <v>No</v>
      </c>
    </row>
    <row r="701" spans="1:18" x14ac:dyDescent="0.35">
      <c r="A701" s="1">
        <v>40325</v>
      </c>
      <c r="B701">
        <v>0</v>
      </c>
      <c r="C701" t="s">
        <v>28</v>
      </c>
      <c r="D701" t="s">
        <v>41</v>
      </c>
      <c r="E701" t="s">
        <v>30</v>
      </c>
      <c r="F701">
        <v>48</v>
      </c>
      <c r="G701" t="s">
        <v>43</v>
      </c>
      <c r="H701" t="s">
        <v>30</v>
      </c>
      <c r="I701">
        <v>48</v>
      </c>
      <c r="J701">
        <v>7</v>
      </c>
      <c r="K701">
        <v>5</v>
      </c>
      <c r="L701">
        <v>54</v>
      </c>
      <c r="M701" t="s">
        <v>20</v>
      </c>
      <c r="N701" t="s">
        <v>56</v>
      </c>
      <c r="O701">
        <v>26279</v>
      </c>
      <c r="P701">
        <v>180</v>
      </c>
      <c r="Q701" t="s">
        <v>41</v>
      </c>
      <c r="R701" t="str">
        <f t="shared" si="11"/>
        <v>No</v>
      </c>
    </row>
    <row r="702" spans="1:18" x14ac:dyDescent="0.35">
      <c r="A702" s="1">
        <v>40325</v>
      </c>
      <c r="B702">
        <v>0</v>
      </c>
      <c r="C702" t="s">
        <v>28</v>
      </c>
      <c r="D702" t="s">
        <v>37</v>
      </c>
      <c r="E702" t="s">
        <v>30</v>
      </c>
      <c r="F702">
        <v>48</v>
      </c>
      <c r="G702" t="s">
        <v>58</v>
      </c>
      <c r="H702" t="s">
        <v>30</v>
      </c>
      <c r="I702">
        <v>49</v>
      </c>
      <c r="J702">
        <v>4</v>
      </c>
      <c r="K702">
        <v>3</v>
      </c>
      <c r="L702">
        <v>54</v>
      </c>
      <c r="M702" t="s">
        <v>20</v>
      </c>
      <c r="N702" t="s">
        <v>86</v>
      </c>
      <c r="O702">
        <v>37940</v>
      </c>
      <c r="P702">
        <v>183</v>
      </c>
      <c r="Q702" t="s">
        <v>37</v>
      </c>
      <c r="R702" t="str">
        <f t="shared" si="11"/>
        <v>No</v>
      </c>
    </row>
    <row r="703" spans="1:18" x14ac:dyDescent="0.35">
      <c r="A703" s="1">
        <v>40325</v>
      </c>
      <c r="B703">
        <v>0</v>
      </c>
      <c r="C703" t="s">
        <v>28</v>
      </c>
      <c r="D703" t="s">
        <v>59</v>
      </c>
      <c r="E703" t="s">
        <v>30</v>
      </c>
      <c r="F703">
        <v>47</v>
      </c>
      <c r="G703" t="s">
        <v>29</v>
      </c>
      <c r="H703" t="s">
        <v>30</v>
      </c>
      <c r="I703">
        <v>47</v>
      </c>
      <c r="J703">
        <v>2</v>
      </c>
      <c r="K703">
        <v>8</v>
      </c>
      <c r="L703">
        <v>51</v>
      </c>
      <c r="M703" t="s">
        <v>20</v>
      </c>
      <c r="N703" t="s">
        <v>76</v>
      </c>
      <c r="O703">
        <v>39087</v>
      </c>
      <c r="P703">
        <v>180</v>
      </c>
      <c r="Q703" t="s">
        <v>29</v>
      </c>
      <c r="R703" t="str">
        <f t="shared" si="11"/>
        <v>Yes</v>
      </c>
    </row>
    <row r="704" spans="1:18" x14ac:dyDescent="0.35">
      <c r="A704" s="1">
        <v>40325</v>
      </c>
      <c r="B704">
        <v>0</v>
      </c>
      <c r="C704" t="s">
        <v>28</v>
      </c>
      <c r="D704" t="s">
        <v>34</v>
      </c>
      <c r="E704" t="s">
        <v>30</v>
      </c>
      <c r="F704">
        <v>47</v>
      </c>
      <c r="G704" t="s">
        <v>44</v>
      </c>
      <c r="H704" t="s">
        <v>30</v>
      </c>
      <c r="I704">
        <v>48</v>
      </c>
      <c r="J704">
        <v>1</v>
      </c>
      <c r="K704">
        <v>5</v>
      </c>
      <c r="L704">
        <v>51</v>
      </c>
      <c r="M704" t="s">
        <v>20</v>
      </c>
      <c r="N704" t="s">
        <v>45</v>
      </c>
      <c r="O704">
        <v>13299</v>
      </c>
      <c r="P704">
        <v>149</v>
      </c>
      <c r="Q704" t="s">
        <v>44</v>
      </c>
      <c r="R704" t="str">
        <f t="shared" si="11"/>
        <v>Yes</v>
      </c>
    </row>
    <row r="705" spans="1:18" x14ac:dyDescent="0.35">
      <c r="A705" s="1">
        <v>40325</v>
      </c>
      <c r="B705">
        <v>0</v>
      </c>
      <c r="C705" t="s">
        <v>28</v>
      </c>
      <c r="D705" t="s">
        <v>22</v>
      </c>
      <c r="E705" t="s">
        <v>18</v>
      </c>
      <c r="F705">
        <v>47</v>
      </c>
      <c r="G705" t="s">
        <v>49</v>
      </c>
      <c r="H705" t="s">
        <v>18</v>
      </c>
      <c r="I705">
        <v>48</v>
      </c>
      <c r="J705">
        <v>0</v>
      </c>
      <c r="K705">
        <v>1</v>
      </c>
      <c r="L705">
        <v>51</v>
      </c>
      <c r="M705" t="s">
        <v>38</v>
      </c>
      <c r="N705" t="s">
        <v>79</v>
      </c>
      <c r="O705">
        <v>33868</v>
      </c>
      <c r="P705">
        <v>149</v>
      </c>
      <c r="Q705" t="s">
        <v>49</v>
      </c>
      <c r="R705" t="str">
        <f t="shared" si="11"/>
        <v>Yes</v>
      </c>
    </row>
    <row r="706" spans="1:18" x14ac:dyDescent="0.35">
      <c r="A706" s="1">
        <v>40325</v>
      </c>
      <c r="B706">
        <v>0</v>
      </c>
      <c r="C706" t="s">
        <v>28</v>
      </c>
      <c r="D706" t="s">
        <v>23</v>
      </c>
      <c r="E706" t="s">
        <v>18</v>
      </c>
      <c r="F706">
        <v>48</v>
      </c>
      <c r="G706" t="s">
        <v>53</v>
      </c>
      <c r="H706" t="s">
        <v>18</v>
      </c>
      <c r="I706">
        <v>48</v>
      </c>
      <c r="J706">
        <v>2</v>
      </c>
      <c r="K706">
        <v>8</v>
      </c>
      <c r="L706">
        <v>51</v>
      </c>
      <c r="M706" t="s">
        <v>20</v>
      </c>
      <c r="N706" t="s">
        <v>54</v>
      </c>
      <c r="O706">
        <v>16834</v>
      </c>
      <c r="P706">
        <v>167</v>
      </c>
      <c r="Q706" t="s">
        <v>53</v>
      </c>
      <c r="R706" t="str">
        <f t="shared" si="11"/>
        <v>Yes</v>
      </c>
    </row>
    <row r="707" spans="1:18" x14ac:dyDescent="0.35">
      <c r="A707" s="1">
        <v>40325</v>
      </c>
      <c r="B707">
        <v>0</v>
      </c>
      <c r="C707" t="s">
        <v>28</v>
      </c>
      <c r="D707" t="s">
        <v>60</v>
      </c>
      <c r="E707" t="s">
        <v>18</v>
      </c>
      <c r="F707">
        <v>48</v>
      </c>
      <c r="G707" t="s">
        <v>63</v>
      </c>
      <c r="H707" t="s">
        <v>18</v>
      </c>
      <c r="I707">
        <v>47</v>
      </c>
      <c r="J707">
        <v>2</v>
      </c>
      <c r="K707">
        <v>8</v>
      </c>
      <c r="L707">
        <v>51</v>
      </c>
      <c r="M707" t="s">
        <v>38</v>
      </c>
      <c r="N707" t="s">
        <v>64</v>
      </c>
      <c r="O707">
        <v>28353</v>
      </c>
      <c r="P707">
        <v>175</v>
      </c>
      <c r="Q707" t="s">
        <v>63</v>
      </c>
      <c r="R707" t="str">
        <f t="shared" ref="R707:R770" si="12">IF(K707&gt;J707,"Yes","No")</f>
        <v>Yes</v>
      </c>
    </row>
    <row r="708" spans="1:18" x14ac:dyDescent="0.35">
      <c r="A708" s="1">
        <v>40325</v>
      </c>
      <c r="B708">
        <v>0</v>
      </c>
      <c r="C708" t="s">
        <v>28</v>
      </c>
      <c r="D708" t="s">
        <v>50</v>
      </c>
      <c r="E708" t="s">
        <v>18</v>
      </c>
      <c r="F708">
        <v>47</v>
      </c>
      <c r="G708" t="s">
        <v>17</v>
      </c>
      <c r="H708" t="s">
        <v>18</v>
      </c>
      <c r="I708">
        <v>48</v>
      </c>
      <c r="J708">
        <v>8</v>
      </c>
      <c r="K708">
        <v>3</v>
      </c>
      <c r="L708">
        <v>54</v>
      </c>
      <c r="M708" t="s">
        <v>20</v>
      </c>
      <c r="N708" t="s">
        <v>65</v>
      </c>
      <c r="O708">
        <v>11381</v>
      </c>
      <c r="P708">
        <v>211</v>
      </c>
      <c r="Q708" t="s">
        <v>50</v>
      </c>
      <c r="R708" t="str">
        <f t="shared" si="12"/>
        <v>No</v>
      </c>
    </row>
    <row r="709" spans="1:18" x14ac:dyDescent="0.35">
      <c r="A709" s="1">
        <v>40325</v>
      </c>
      <c r="B709">
        <v>0</v>
      </c>
      <c r="C709" t="s">
        <v>28</v>
      </c>
      <c r="D709" t="s">
        <v>66</v>
      </c>
      <c r="E709" t="s">
        <v>18</v>
      </c>
      <c r="F709">
        <v>47</v>
      </c>
      <c r="G709" t="s">
        <v>68</v>
      </c>
      <c r="H709" t="s">
        <v>18</v>
      </c>
      <c r="I709">
        <v>47</v>
      </c>
      <c r="J709">
        <v>3</v>
      </c>
      <c r="K709">
        <v>4</v>
      </c>
      <c r="L709">
        <v>59</v>
      </c>
      <c r="M709" t="s">
        <v>38</v>
      </c>
      <c r="N709" t="s">
        <v>69</v>
      </c>
      <c r="O709">
        <v>34355</v>
      </c>
      <c r="P709">
        <v>215</v>
      </c>
      <c r="Q709" t="s">
        <v>68</v>
      </c>
      <c r="R709" t="str">
        <f t="shared" si="12"/>
        <v>Yes</v>
      </c>
    </row>
    <row r="710" spans="1:18" x14ac:dyDescent="0.35">
      <c r="A710" s="1">
        <v>40325</v>
      </c>
      <c r="B710">
        <v>0</v>
      </c>
      <c r="C710" t="s">
        <v>28</v>
      </c>
      <c r="D710" t="s">
        <v>25</v>
      </c>
      <c r="E710" t="s">
        <v>18</v>
      </c>
      <c r="F710">
        <v>46</v>
      </c>
      <c r="G710" t="s">
        <v>19</v>
      </c>
      <c r="H710" t="s">
        <v>18</v>
      </c>
      <c r="I710">
        <v>48</v>
      </c>
      <c r="J710">
        <v>0</v>
      </c>
      <c r="K710">
        <v>3</v>
      </c>
      <c r="L710">
        <v>51</v>
      </c>
      <c r="M710" t="s">
        <v>20</v>
      </c>
      <c r="N710" t="s">
        <v>21</v>
      </c>
      <c r="O710">
        <v>35903</v>
      </c>
      <c r="P710">
        <v>168</v>
      </c>
      <c r="Q710" t="s">
        <v>19</v>
      </c>
      <c r="R710" t="str">
        <f t="shared" si="12"/>
        <v>Yes</v>
      </c>
    </row>
    <row r="711" spans="1:18" x14ac:dyDescent="0.35">
      <c r="A711" s="1">
        <v>40325</v>
      </c>
      <c r="B711">
        <v>0</v>
      </c>
      <c r="C711" t="s">
        <v>28</v>
      </c>
      <c r="D711" t="s">
        <v>52</v>
      </c>
      <c r="E711" t="s">
        <v>18</v>
      </c>
      <c r="F711">
        <v>48</v>
      </c>
      <c r="G711" t="s">
        <v>62</v>
      </c>
      <c r="H711" t="s">
        <v>18</v>
      </c>
      <c r="I711">
        <v>47</v>
      </c>
      <c r="J711">
        <v>8</v>
      </c>
      <c r="K711">
        <v>3</v>
      </c>
      <c r="L711">
        <v>54</v>
      </c>
      <c r="M711" t="s">
        <v>38</v>
      </c>
      <c r="N711" t="s">
        <v>81</v>
      </c>
      <c r="O711">
        <v>20583</v>
      </c>
      <c r="P711">
        <v>200</v>
      </c>
      <c r="Q711" t="s">
        <v>52</v>
      </c>
      <c r="R711" t="str">
        <f t="shared" si="12"/>
        <v>No</v>
      </c>
    </row>
    <row r="712" spans="1:18" x14ac:dyDescent="0.35">
      <c r="A712" s="1">
        <v>40325</v>
      </c>
      <c r="B712">
        <v>0</v>
      </c>
      <c r="C712" t="s">
        <v>28</v>
      </c>
      <c r="D712" t="s">
        <v>26</v>
      </c>
      <c r="E712" t="s">
        <v>18</v>
      </c>
      <c r="F712">
        <v>48</v>
      </c>
      <c r="G712" t="s">
        <v>70</v>
      </c>
      <c r="H712" t="s">
        <v>18</v>
      </c>
      <c r="I712">
        <v>46</v>
      </c>
      <c r="J712">
        <v>4</v>
      </c>
      <c r="K712">
        <v>5</v>
      </c>
      <c r="L712">
        <v>51</v>
      </c>
      <c r="M712" t="s">
        <v>38</v>
      </c>
      <c r="N712" t="s">
        <v>71</v>
      </c>
      <c r="O712">
        <v>28251</v>
      </c>
      <c r="P712">
        <v>164</v>
      </c>
      <c r="Q712" t="s">
        <v>70</v>
      </c>
      <c r="R712" t="str">
        <f t="shared" si="12"/>
        <v>Yes</v>
      </c>
    </row>
    <row r="713" spans="1:18" x14ac:dyDescent="0.35">
      <c r="A713" s="1">
        <v>40326</v>
      </c>
      <c r="B713">
        <v>0</v>
      </c>
      <c r="C713" t="s">
        <v>55</v>
      </c>
      <c r="D713" t="s">
        <v>40</v>
      </c>
      <c r="E713" t="s">
        <v>30</v>
      </c>
      <c r="F713">
        <v>47</v>
      </c>
      <c r="G713" t="s">
        <v>31</v>
      </c>
      <c r="H713" t="s">
        <v>30</v>
      </c>
      <c r="I713">
        <v>50</v>
      </c>
      <c r="J713">
        <v>8</v>
      </c>
      <c r="K713">
        <v>3</v>
      </c>
      <c r="L713">
        <v>54</v>
      </c>
      <c r="M713" t="s">
        <v>20</v>
      </c>
      <c r="N713" t="s">
        <v>32</v>
      </c>
      <c r="O713">
        <v>41770</v>
      </c>
      <c r="P713">
        <v>153</v>
      </c>
      <c r="Q713" t="s">
        <v>40</v>
      </c>
      <c r="R713" t="str">
        <f t="shared" si="12"/>
        <v>No</v>
      </c>
    </row>
    <row r="714" spans="1:18" x14ac:dyDescent="0.35">
      <c r="A714" s="1">
        <v>40326</v>
      </c>
      <c r="B714">
        <v>0</v>
      </c>
      <c r="C714" t="s">
        <v>55</v>
      </c>
      <c r="D714" t="s">
        <v>37</v>
      </c>
      <c r="E714" t="s">
        <v>30</v>
      </c>
      <c r="F714">
        <v>49</v>
      </c>
      <c r="G714" t="s">
        <v>58</v>
      </c>
      <c r="H714" t="s">
        <v>30</v>
      </c>
      <c r="I714">
        <v>50</v>
      </c>
      <c r="J714">
        <v>12</v>
      </c>
      <c r="K714">
        <v>5</v>
      </c>
      <c r="L714">
        <v>54</v>
      </c>
      <c r="M714" t="s">
        <v>20</v>
      </c>
      <c r="N714" t="s">
        <v>86</v>
      </c>
      <c r="O714">
        <v>37945</v>
      </c>
      <c r="P714">
        <v>185</v>
      </c>
      <c r="Q714" t="s">
        <v>37</v>
      </c>
      <c r="R714" t="str">
        <f t="shared" si="12"/>
        <v>No</v>
      </c>
    </row>
    <row r="715" spans="1:18" x14ac:dyDescent="0.35">
      <c r="A715" s="1">
        <v>40326</v>
      </c>
      <c r="B715">
        <v>0</v>
      </c>
      <c r="C715" t="s">
        <v>55</v>
      </c>
      <c r="D715" t="s">
        <v>41</v>
      </c>
      <c r="E715" t="s">
        <v>30</v>
      </c>
      <c r="F715">
        <v>49</v>
      </c>
      <c r="G715" t="s">
        <v>36</v>
      </c>
      <c r="H715" t="s">
        <v>30</v>
      </c>
      <c r="I715">
        <v>47</v>
      </c>
      <c r="J715">
        <v>5</v>
      </c>
      <c r="K715">
        <v>4</v>
      </c>
      <c r="L715">
        <v>54</v>
      </c>
      <c r="M715" t="s">
        <v>20</v>
      </c>
      <c r="N715" t="s">
        <v>57</v>
      </c>
      <c r="O715">
        <v>40210</v>
      </c>
      <c r="P715">
        <v>163</v>
      </c>
      <c r="Q715" t="s">
        <v>41</v>
      </c>
      <c r="R715" t="str">
        <f t="shared" si="12"/>
        <v>No</v>
      </c>
    </row>
    <row r="716" spans="1:18" x14ac:dyDescent="0.35">
      <c r="A716" s="1">
        <v>40326</v>
      </c>
      <c r="B716">
        <v>0</v>
      </c>
      <c r="C716" t="s">
        <v>55</v>
      </c>
      <c r="D716" t="s">
        <v>47</v>
      </c>
      <c r="E716" t="s">
        <v>30</v>
      </c>
      <c r="F716">
        <v>48</v>
      </c>
      <c r="G716" t="s">
        <v>29</v>
      </c>
      <c r="H716" t="s">
        <v>30</v>
      </c>
      <c r="I716">
        <v>48</v>
      </c>
      <c r="J716">
        <v>1</v>
      </c>
      <c r="K716">
        <v>2</v>
      </c>
      <c r="L716">
        <v>51</v>
      </c>
      <c r="M716" t="s">
        <v>20</v>
      </c>
      <c r="N716" t="s">
        <v>76</v>
      </c>
      <c r="O716">
        <v>39581</v>
      </c>
      <c r="P716">
        <v>162</v>
      </c>
      <c r="Q716" t="s">
        <v>29</v>
      </c>
      <c r="R716" t="str">
        <f t="shared" si="12"/>
        <v>Yes</v>
      </c>
    </row>
    <row r="717" spans="1:18" x14ac:dyDescent="0.35">
      <c r="A717" s="1">
        <v>40326</v>
      </c>
      <c r="B717">
        <v>0</v>
      </c>
      <c r="C717" t="s">
        <v>55</v>
      </c>
      <c r="D717" t="s">
        <v>33</v>
      </c>
      <c r="E717" t="s">
        <v>30</v>
      </c>
      <c r="F717">
        <v>46</v>
      </c>
      <c r="G717" t="s">
        <v>59</v>
      </c>
      <c r="H717" t="s">
        <v>30</v>
      </c>
      <c r="I717">
        <v>48</v>
      </c>
      <c r="J717">
        <v>2</v>
      </c>
      <c r="K717">
        <v>8</v>
      </c>
      <c r="L717">
        <v>51</v>
      </c>
      <c r="M717" t="s">
        <v>20</v>
      </c>
      <c r="N717" t="s">
        <v>84</v>
      </c>
      <c r="O717">
        <v>44634</v>
      </c>
      <c r="P717">
        <v>186</v>
      </c>
      <c r="Q717" t="s">
        <v>59</v>
      </c>
      <c r="R717" t="str">
        <f t="shared" si="12"/>
        <v>Yes</v>
      </c>
    </row>
    <row r="718" spans="1:18" x14ac:dyDescent="0.35">
      <c r="A718" s="1">
        <v>40326</v>
      </c>
      <c r="B718">
        <v>0</v>
      </c>
      <c r="C718" t="s">
        <v>55</v>
      </c>
      <c r="D718" t="s">
        <v>34</v>
      </c>
      <c r="E718" t="s">
        <v>30</v>
      </c>
      <c r="F718">
        <v>48</v>
      </c>
      <c r="G718" t="s">
        <v>44</v>
      </c>
      <c r="H718" t="s">
        <v>30</v>
      </c>
      <c r="I718">
        <v>49</v>
      </c>
      <c r="J718">
        <v>4</v>
      </c>
      <c r="K718">
        <v>2</v>
      </c>
      <c r="L718">
        <v>54</v>
      </c>
      <c r="M718" t="s">
        <v>20</v>
      </c>
      <c r="N718" t="s">
        <v>45</v>
      </c>
      <c r="O718">
        <v>20650</v>
      </c>
      <c r="P718">
        <v>155</v>
      </c>
      <c r="Q718" t="s">
        <v>34</v>
      </c>
      <c r="R718" t="str">
        <f t="shared" si="12"/>
        <v>No</v>
      </c>
    </row>
    <row r="719" spans="1:18" x14ac:dyDescent="0.35">
      <c r="A719" s="1">
        <v>40326</v>
      </c>
      <c r="B719">
        <v>0</v>
      </c>
      <c r="C719" t="s">
        <v>55</v>
      </c>
      <c r="D719" t="s">
        <v>43</v>
      </c>
      <c r="E719" t="s">
        <v>30</v>
      </c>
      <c r="F719">
        <v>49</v>
      </c>
      <c r="G719" t="s">
        <v>46</v>
      </c>
      <c r="H719" t="s">
        <v>30</v>
      </c>
      <c r="I719">
        <v>50</v>
      </c>
      <c r="J719">
        <v>0</v>
      </c>
      <c r="K719">
        <v>5</v>
      </c>
      <c r="L719">
        <v>51</v>
      </c>
      <c r="M719" t="s">
        <v>20</v>
      </c>
      <c r="N719" t="s">
        <v>78</v>
      </c>
      <c r="O719">
        <v>16360</v>
      </c>
      <c r="P719">
        <v>155</v>
      </c>
      <c r="Q719" t="s">
        <v>46</v>
      </c>
      <c r="R719" t="str">
        <f t="shared" si="12"/>
        <v>Yes</v>
      </c>
    </row>
    <row r="720" spans="1:18" x14ac:dyDescent="0.35">
      <c r="A720" s="1">
        <v>40326</v>
      </c>
      <c r="B720">
        <v>0</v>
      </c>
      <c r="C720" t="s">
        <v>55</v>
      </c>
      <c r="D720" t="s">
        <v>23</v>
      </c>
      <c r="E720" t="s">
        <v>18</v>
      </c>
      <c r="F720">
        <v>49</v>
      </c>
      <c r="G720" t="s">
        <v>50</v>
      </c>
      <c r="H720" t="s">
        <v>18</v>
      </c>
      <c r="I720">
        <v>48</v>
      </c>
      <c r="J720">
        <v>3</v>
      </c>
      <c r="K720">
        <v>7</v>
      </c>
      <c r="L720">
        <v>51</v>
      </c>
      <c r="M720" t="s">
        <v>20</v>
      </c>
      <c r="N720" t="s">
        <v>51</v>
      </c>
      <c r="O720">
        <v>23442</v>
      </c>
      <c r="P720">
        <v>146</v>
      </c>
      <c r="Q720" t="s">
        <v>50</v>
      </c>
      <c r="R720" t="str">
        <f t="shared" si="12"/>
        <v>Yes</v>
      </c>
    </row>
    <row r="721" spans="1:18" x14ac:dyDescent="0.35">
      <c r="A721" s="1">
        <v>40326</v>
      </c>
      <c r="B721">
        <v>0</v>
      </c>
      <c r="C721" t="s">
        <v>55</v>
      </c>
      <c r="D721" t="s">
        <v>52</v>
      </c>
      <c r="E721" t="s">
        <v>18</v>
      </c>
      <c r="F721">
        <v>49</v>
      </c>
      <c r="G721" t="s">
        <v>49</v>
      </c>
      <c r="H721" t="s">
        <v>18</v>
      </c>
      <c r="I721">
        <v>49</v>
      </c>
      <c r="J721">
        <v>7</v>
      </c>
      <c r="K721">
        <v>1</v>
      </c>
      <c r="L721">
        <v>54</v>
      </c>
      <c r="M721" t="s">
        <v>38</v>
      </c>
      <c r="N721" t="s">
        <v>79</v>
      </c>
      <c r="O721">
        <v>39536</v>
      </c>
      <c r="P721">
        <v>162</v>
      </c>
      <c r="Q721" t="s">
        <v>52</v>
      </c>
      <c r="R721" t="str">
        <f t="shared" si="12"/>
        <v>No</v>
      </c>
    </row>
    <row r="722" spans="1:18" x14ac:dyDescent="0.35">
      <c r="A722" s="1">
        <v>40326</v>
      </c>
      <c r="B722">
        <v>0</v>
      </c>
      <c r="C722" t="s">
        <v>55</v>
      </c>
      <c r="D722" t="s">
        <v>66</v>
      </c>
      <c r="E722" t="s">
        <v>18</v>
      </c>
      <c r="F722">
        <v>48</v>
      </c>
      <c r="G722" t="s">
        <v>53</v>
      </c>
      <c r="H722" t="s">
        <v>18</v>
      </c>
      <c r="I722">
        <v>49</v>
      </c>
      <c r="J722">
        <v>6</v>
      </c>
      <c r="K722">
        <v>15</v>
      </c>
      <c r="L722">
        <v>51</v>
      </c>
      <c r="M722" t="s">
        <v>20</v>
      </c>
      <c r="N722" t="s">
        <v>54</v>
      </c>
      <c r="O722">
        <v>30813</v>
      </c>
      <c r="P722">
        <v>199</v>
      </c>
      <c r="Q722" t="s">
        <v>53</v>
      </c>
      <c r="R722" t="str">
        <f t="shared" si="12"/>
        <v>Yes</v>
      </c>
    </row>
    <row r="723" spans="1:18" x14ac:dyDescent="0.35">
      <c r="A723" s="1">
        <v>40326</v>
      </c>
      <c r="B723">
        <v>0</v>
      </c>
      <c r="C723" t="s">
        <v>55</v>
      </c>
      <c r="D723" t="s">
        <v>22</v>
      </c>
      <c r="E723" t="s">
        <v>18</v>
      </c>
      <c r="F723">
        <v>48</v>
      </c>
      <c r="G723" t="s">
        <v>63</v>
      </c>
      <c r="H723" t="s">
        <v>18</v>
      </c>
      <c r="I723">
        <v>48</v>
      </c>
      <c r="J723">
        <v>5</v>
      </c>
      <c r="K723">
        <v>4</v>
      </c>
      <c r="L723">
        <v>54</v>
      </c>
      <c r="M723" t="s">
        <v>20</v>
      </c>
      <c r="N723" t="s">
        <v>64</v>
      </c>
      <c r="O723">
        <v>40162</v>
      </c>
      <c r="P723">
        <v>174</v>
      </c>
      <c r="Q723" t="s">
        <v>22</v>
      </c>
      <c r="R723" t="str">
        <f t="shared" si="12"/>
        <v>No</v>
      </c>
    </row>
    <row r="724" spans="1:18" x14ac:dyDescent="0.35">
      <c r="A724" s="1">
        <v>40326</v>
      </c>
      <c r="B724">
        <v>0</v>
      </c>
      <c r="C724" t="s">
        <v>55</v>
      </c>
      <c r="D724" t="s">
        <v>25</v>
      </c>
      <c r="E724" t="s">
        <v>18</v>
      </c>
      <c r="F724">
        <v>47</v>
      </c>
      <c r="G724" t="s">
        <v>17</v>
      </c>
      <c r="H724" t="s">
        <v>18</v>
      </c>
      <c r="I724">
        <v>49</v>
      </c>
      <c r="J724">
        <v>3</v>
      </c>
      <c r="K724">
        <v>2</v>
      </c>
      <c r="L724">
        <v>54</v>
      </c>
      <c r="M724" t="s">
        <v>20</v>
      </c>
      <c r="N724" t="s">
        <v>65</v>
      </c>
      <c r="O724">
        <v>15276</v>
      </c>
      <c r="P724">
        <v>177</v>
      </c>
      <c r="Q724" t="s">
        <v>25</v>
      </c>
      <c r="R724" t="str">
        <f t="shared" si="12"/>
        <v>No</v>
      </c>
    </row>
    <row r="725" spans="1:18" x14ac:dyDescent="0.35">
      <c r="A725" s="1">
        <v>40326</v>
      </c>
      <c r="B725">
        <v>0</v>
      </c>
      <c r="C725" t="s">
        <v>55</v>
      </c>
      <c r="D725" t="s">
        <v>19</v>
      </c>
      <c r="E725" t="s">
        <v>18</v>
      </c>
      <c r="F725">
        <v>49</v>
      </c>
      <c r="G725" t="s">
        <v>68</v>
      </c>
      <c r="H725" t="s">
        <v>18</v>
      </c>
      <c r="I725">
        <v>48</v>
      </c>
      <c r="J725">
        <v>0</v>
      </c>
      <c r="K725">
        <v>2</v>
      </c>
      <c r="L725">
        <v>53</v>
      </c>
      <c r="M725" t="s">
        <v>20</v>
      </c>
      <c r="N725" t="s">
        <v>69</v>
      </c>
      <c r="O725">
        <v>32773</v>
      </c>
      <c r="P725">
        <v>147</v>
      </c>
      <c r="Q725" t="s">
        <v>68</v>
      </c>
      <c r="R725" t="str">
        <f t="shared" si="12"/>
        <v>Yes</v>
      </c>
    </row>
    <row r="726" spans="1:18" x14ac:dyDescent="0.35">
      <c r="A726" s="1">
        <v>40326</v>
      </c>
      <c r="B726">
        <v>0</v>
      </c>
      <c r="C726" t="s">
        <v>55</v>
      </c>
      <c r="D726" t="s">
        <v>26</v>
      </c>
      <c r="E726" t="s">
        <v>18</v>
      </c>
      <c r="F726">
        <v>49</v>
      </c>
      <c r="G726" t="s">
        <v>62</v>
      </c>
      <c r="H726" t="s">
        <v>18</v>
      </c>
      <c r="I726">
        <v>48</v>
      </c>
      <c r="J726">
        <v>5</v>
      </c>
      <c r="K726">
        <v>3</v>
      </c>
      <c r="L726">
        <v>54</v>
      </c>
      <c r="M726" t="s">
        <v>20</v>
      </c>
      <c r="N726" t="s">
        <v>81</v>
      </c>
      <c r="O726">
        <v>23468</v>
      </c>
      <c r="P726">
        <v>149</v>
      </c>
      <c r="Q726" t="s">
        <v>26</v>
      </c>
      <c r="R726" t="str">
        <f t="shared" si="12"/>
        <v>No</v>
      </c>
    </row>
    <row r="727" spans="1:18" x14ac:dyDescent="0.35">
      <c r="A727" s="1">
        <v>40326</v>
      </c>
      <c r="B727">
        <v>0</v>
      </c>
      <c r="C727" t="s">
        <v>55</v>
      </c>
      <c r="D727" t="s">
        <v>60</v>
      </c>
      <c r="E727" t="s">
        <v>18</v>
      </c>
      <c r="F727">
        <v>49</v>
      </c>
      <c r="G727" t="s">
        <v>70</v>
      </c>
      <c r="H727" t="s">
        <v>18</v>
      </c>
      <c r="I727">
        <v>47</v>
      </c>
      <c r="J727">
        <v>0</v>
      </c>
      <c r="K727">
        <v>5</v>
      </c>
      <c r="L727">
        <v>51</v>
      </c>
      <c r="M727" t="s">
        <v>20</v>
      </c>
      <c r="N727" t="s">
        <v>71</v>
      </c>
      <c r="O727">
        <v>31495</v>
      </c>
      <c r="P727">
        <v>138</v>
      </c>
      <c r="Q727" t="s">
        <v>70</v>
      </c>
      <c r="R727" t="str">
        <f t="shared" si="12"/>
        <v>Yes</v>
      </c>
    </row>
    <row r="728" spans="1:18" x14ac:dyDescent="0.35">
      <c r="A728" s="1">
        <v>40327</v>
      </c>
      <c r="B728">
        <v>0</v>
      </c>
      <c r="C728" t="s">
        <v>72</v>
      </c>
      <c r="D728" t="s">
        <v>40</v>
      </c>
      <c r="E728" t="s">
        <v>30</v>
      </c>
      <c r="F728">
        <v>48</v>
      </c>
      <c r="G728" t="s">
        <v>31</v>
      </c>
      <c r="H728" t="s">
        <v>30</v>
      </c>
      <c r="I728">
        <v>51</v>
      </c>
      <c r="J728">
        <v>1</v>
      </c>
      <c r="K728">
        <v>5</v>
      </c>
      <c r="L728">
        <v>58</v>
      </c>
      <c r="M728" t="s">
        <v>38</v>
      </c>
      <c r="N728" t="s">
        <v>32</v>
      </c>
      <c r="O728">
        <v>39382</v>
      </c>
      <c r="P728">
        <v>175</v>
      </c>
      <c r="Q728" t="s">
        <v>31</v>
      </c>
      <c r="R728" t="str">
        <f t="shared" si="12"/>
        <v>Yes</v>
      </c>
    </row>
    <row r="729" spans="1:18" x14ac:dyDescent="0.35">
      <c r="A729" s="1">
        <v>40327</v>
      </c>
      <c r="B729">
        <v>0</v>
      </c>
      <c r="C729" t="s">
        <v>72</v>
      </c>
      <c r="D729" t="s">
        <v>37</v>
      </c>
      <c r="E729" t="s">
        <v>30</v>
      </c>
      <c r="F729">
        <v>50</v>
      </c>
      <c r="G729" t="s">
        <v>58</v>
      </c>
      <c r="H729" t="s">
        <v>30</v>
      </c>
      <c r="I729">
        <v>51</v>
      </c>
      <c r="J729">
        <v>0</v>
      </c>
      <c r="K729">
        <v>1</v>
      </c>
      <c r="L729">
        <v>51</v>
      </c>
      <c r="M729" t="s">
        <v>20</v>
      </c>
      <c r="N729" t="s">
        <v>86</v>
      </c>
      <c r="O729">
        <v>37956</v>
      </c>
      <c r="P729">
        <v>166</v>
      </c>
      <c r="Q729" t="s">
        <v>58</v>
      </c>
      <c r="R729" t="str">
        <f t="shared" si="12"/>
        <v>Yes</v>
      </c>
    </row>
    <row r="730" spans="1:18" x14ac:dyDescent="0.35">
      <c r="A730" s="1">
        <v>40327</v>
      </c>
      <c r="B730">
        <v>0</v>
      </c>
      <c r="C730" t="s">
        <v>72</v>
      </c>
      <c r="D730" t="s">
        <v>41</v>
      </c>
      <c r="E730" t="s">
        <v>30</v>
      </c>
      <c r="F730">
        <v>50</v>
      </c>
      <c r="G730" t="s">
        <v>36</v>
      </c>
      <c r="H730" t="s">
        <v>30</v>
      </c>
      <c r="I730">
        <v>48</v>
      </c>
      <c r="J730">
        <v>6</v>
      </c>
      <c r="K730">
        <v>0</v>
      </c>
      <c r="L730">
        <v>54</v>
      </c>
      <c r="M730" t="s">
        <v>20</v>
      </c>
      <c r="N730" t="s">
        <v>57</v>
      </c>
      <c r="O730">
        <v>39750</v>
      </c>
      <c r="P730">
        <v>155</v>
      </c>
      <c r="Q730" t="s">
        <v>41</v>
      </c>
      <c r="R730" t="str">
        <f t="shared" si="12"/>
        <v>No</v>
      </c>
    </row>
    <row r="731" spans="1:18" x14ac:dyDescent="0.35">
      <c r="A731" s="1">
        <v>40327</v>
      </c>
      <c r="B731">
        <v>0</v>
      </c>
      <c r="C731" t="s">
        <v>72</v>
      </c>
      <c r="D731" t="s">
        <v>47</v>
      </c>
      <c r="E731" t="s">
        <v>30</v>
      </c>
      <c r="F731">
        <v>49</v>
      </c>
      <c r="G731" t="s">
        <v>29</v>
      </c>
      <c r="H731" t="s">
        <v>30</v>
      </c>
      <c r="I731">
        <v>49</v>
      </c>
      <c r="J731">
        <v>3</v>
      </c>
      <c r="K731">
        <v>8</v>
      </c>
      <c r="L731">
        <v>51</v>
      </c>
      <c r="M731" t="s">
        <v>38</v>
      </c>
      <c r="N731" t="s">
        <v>76</v>
      </c>
      <c r="O731">
        <v>39659</v>
      </c>
      <c r="P731">
        <v>169</v>
      </c>
      <c r="Q731" t="s">
        <v>29</v>
      </c>
      <c r="R731" t="str">
        <f t="shared" si="12"/>
        <v>Yes</v>
      </c>
    </row>
    <row r="732" spans="1:18" x14ac:dyDescent="0.35">
      <c r="A732" s="1">
        <v>40327</v>
      </c>
      <c r="B732">
        <v>0</v>
      </c>
      <c r="C732" t="s">
        <v>72</v>
      </c>
      <c r="D732" t="s">
        <v>33</v>
      </c>
      <c r="E732" t="s">
        <v>30</v>
      </c>
      <c r="F732">
        <v>47</v>
      </c>
      <c r="G732" t="s">
        <v>59</v>
      </c>
      <c r="H732" t="s">
        <v>30</v>
      </c>
      <c r="I732">
        <v>49</v>
      </c>
      <c r="J732">
        <v>13</v>
      </c>
      <c r="K732">
        <v>11</v>
      </c>
      <c r="L732">
        <v>54</v>
      </c>
      <c r="M732" t="s">
        <v>38</v>
      </c>
      <c r="N732" t="s">
        <v>84</v>
      </c>
      <c r="O732">
        <v>46599</v>
      </c>
      <c r="P732">
        <v>262</v>
      </c>
      <c r="Q732" t="s">
        <v>33</v>
      </c>
      <c r="R732" t="str">
        <f t="shared" si="12"/>
        <v>No</v>
      </c>
    </row>
    <row r="733" spans="1:18" x14ac:dyDescent="0.35">
      <c r="A733" s="1">
        <v>40327</v>
      </c>
      <c r="B733">
        <v>0</v>
      </c>
      <c r="C733" t="s">
        <v>72</v>
      </c>
      <c r="D733" t="s">
        <v>34</v>
      </c>
      <c r="E733" t="s">
        <v>30</v>
      </c>
      <c r="F733">
        <v>49</v>
      </c>
      <c r="G733" t="s">
        <v>44</v>
      </c>
      <c r="H733" t="s">
        <v>30</v>
      </c>
      <c r="I733">
        <v>50</v>
      </c>
      <c r="J733">
        <v>5</v>
      </c>
      <c r="K733">
        <v>8</v>
      </c>
      <c r="L733">
        <v>51</v>
      </c>
      <c r="M733" t="s">
        <v>20</v>
      </c>
      <c r="N733" t="s">
        <v>45</v>
      </c>
      <c r="O733">
        <v>33558</v>
      </c>
      <c r="P733">
        <v>198</v>
      </c>
      <c r="Q733" t="s">
        <v>44</v>
      </c>
      <c r="R733" t="str">
        <f t="shared" si="12"/>
        <v>Yes</v>
      </c>
    </row>
    <row r="734" spans="1:18" x14ac:dyDescent="0.35">
      <c r="A734" s="1">
        <v>40327</v>
      </c>
      <c r="B734">
        <v>0</v>
      </c>
      <c r="C734" t="s">
        <v>72</v>
      </c>
      <c r="D734" t="s">
        <v>43</v>
      </c>
      <c r="E734" t="s">
        <v>30</v>
      </c>
      <c r="F734">
        <v>50</v>
      </c>
      <c r="G734" t="s">
        <v>46</v>
      </c>
      <c r="H734" t="s">
        <v>30</v>
      </c>
      <c r="I734">
        <v>51</v>
      </c>
      <c r="J734">
        <v>2</v>
      </c>
      <c r="K734">
        <v>5</v>
      </c>
      <c r="L734">
        <v>51</v>
      </c>
      <c r="M734" t="s">
        <v>38</v>
      </c>
      <c r="N734" t="s">
        <v>78</v>
      </c>
      <c r="O734">
        <v>16194</v>
      </c>
      <c r="P734">
        <v>155</v>
      </c>
      <c r="Q734" t="s">
        <v>46</v>
      </c>
      <c r="R734" t="str">
        <f t="shared" si="12"/>
        <v>Yes</v>
      </c>
    </row>
    <row r="735" spans="1:18" x14ac:dyDescent="0.35">
      <c r="A735" s="1">
        <v>40327</v>
      </c>
      <c r="B735">
        <v>0</v>
      </c>
      <c r="C735" t="s">
        <v>72</v>
      </c>
      <c r="D735" t="s">
        <v>23</v>
      </c>
      <c r="E735" t="s">
        <v>18</v>
      </c>
      <c r="F735">
        <v>50</v>
      </c>
      <c r="G735" t="s">
        <v>50</v>
      </c>
      <c r="H735" t="s">
        <v>18</v>
      </c>
      <c r="I735">
        <v>49</v>
      </c>
      <c r="J735">
        <v>3</v>
      </c>
      <c r="K735">
        <v>6</v>
      </c>
      <c r="L735">
        <v>51</v>
      </c>
      <c r="M735" t="s">
        <v>20</v>
      </c>
      <c r="N735" t="s">
        <v>51</v>
      </c>
      <c r="O735">
        <v>29134</v>
      </c>
      <c r="P735">
        <v>170</v>
      </c>
      <c r="Q735" t="s">
        <v>50</v>
      </c>
      <c r="R735" t="str">
        <f t="shared" si="12"/>
        <v>Yes</v>
      </c>
    </row>
    <row r="736" spans="1:18" x14ac:dyDescent="0.35">
      <c r="A736" s="1">
        <v>40327</v>
      </c>
      <c r="B736">
        <v>0</v>
      </c>
      <c r="C736" t="s">
        <v>72</v>
      </c>
      <c r="D736" t="s">
        <v>52</v>
      </c>
      <c r="E736" t="s">
        <v>18</v>
      </c>
      <c r="F736">
        <v>50</v>
      </c>
      <c r="G736" t="s">
        <v>49</v>
      </c>
      <c r="H736" t="s">
        <v>18</v>
      </c>
      <c r="I736">
        <v>50</v>
      </c>
      <c r="J736">
        <v>0</v>
      </c>
      <c r="K736">
        <v>5</v>
      </c>
      <c r="L736">
        <v>51</v>
      </c>
      <c r="M736" t="s">
        <v>38</v>
      </c>
      <c r="N736" t="s">
        <v>79</v>
      </c>
      <c r="O736">
        <v>40601</v>
      </c>
      <c r="P736">
        <v>153</v>
      </c>
      <c r="Q736" t="s">
        <v>49</v>
      </c>
      <c r="R736" t="str">
        <f t="shared" si="12"/>
        <v>Yes</v>
      </c>
    </row>
    <row r="737" spans="1:18" x14ac:dyDescent="0.35">
      <c r="A737" s="1">
        <v>40327</v>
      </c>
      <c r="B737">
        <v>0</v>
      </c>
      <c r="C737" t="s">
        <v>72</v>
      </c>
      <c r="D737" t="s">
        <v>66</v>
      </c>
      <c r="E737" t="s">
        <v>18</v>
      </c>
      <c r="F737">
        <v>49</v>
      </c>
      <c r="G737" t="s">
        <v>53</v>
      </c>
      <c r="H737" t="s">
        <v>18</v>
      </c>
      <c r="I737">
        <v>50</v>
      </c>
      <c r="J737">
        <v>2</v>
      </c>
      <c r="K737">
        <v>12</v>
      </c>
      <c r="L737">
        <v>51</v>
      </c>
      <c r="M737" t="s">
        <v>20</v>
      </c>
      <c r="N737" t="s">
        <v>54</v>
      </c>
      <c r="O737">
        <v>36918</v>
      </c>
      <c r="P737">
        <v>152</v>
      </c>
      <c r="Q737" t="s">
        <v>53</v>
      </c>
      <c r="R737" t="str">
        <f t="shared" si="12"/>
        <v>Yes</v>
      </c>
    </row>
    <row r="738" spans="1:18" x14ac:dyDescent="0.35">
      <c r="A738" s="1">
        <v>40327</v>
      </c>
      <c r="B738">
        <v>0</v>
      </c>
      <c r="C738" t="s">
        <v>72</v>
      </c>
      <c r="D738" t="s">
        <v>22</v>
      </c>
      <c r="E738" t="s">
        <v>18</v>
      </c>
      <c r="F738">
        <v>49</v>
      </c>
      <c r="G738" t="s">
        <v>63</v>
      </c>
      <c r="H738" t="s">
        <v>18</v>
      </c>
      <c r="I738">
        <v>49</v>
      </c>
      <c r="J738">
        <v>3</v>
      </c>
      <c r="K738">
        <v>11</v>
      </c>
      <c r="L738">
        <v>51</v>
      </c>
      <c r="M738" t="s">
        <v>20</v>
      </c>
      <c r="N738" t="s">
        <v>64</v>
      </c>
      <c r="O738">
        <v>43261</v>
      </c>
      <c r="P738">
        <v>191</v>
      </c>
      <c r="Q738" t="s">
        <v>63</v>
      </c>
      <c r="R738" t="str">
        <f t="shared" si="12"/>
        <v>Yes</v>
      </c>
    </row>
    <row r="739" spans="1:18" x14ac:dyDescent="0.35">
      <c r="A739" s="1">
        <v>40327</v>
      </c>
      <c r="B739">
        <v>0</v>
      </c>
      <c r="C739" t="s">
        <v>72</v>
      </c>
      <c r="D739" t="s">
        <v>25</v>
      </c>
      <c r="E739" t="s">
        <v>18</v>
      </c>
      <c r="F739">
        <v>48</v>
      </c>
      <c r="G739" t="s">
        <v>17</v>
      </c>
      <c r="H739" t="s">
        <v>18</v>
      </c>
      <c r="I739">
        <v>50</v>
      </c>
      <c r="J739">
        <v>1</v>
      </c>
      <c r="K739">
        <v>0</v>
      </c>
      <c r="L739">
        <v>54</v>
      </c>
      <c r="M739" t="s">
        <v>20</v>
      </c>
      <c r="N739" t="s">
        <v>65</v>
      </c>
      <c r="O739">
        <v>25086</v>
      </c>
      <c r="P739">
        <v>133</v>
      </c>
      <c r="Q739" t="s">
        <v>25</v>
      </c>
      <c r="R739" t="str">
        <f t="shared" si="12"/>
        <v>No</v>
      </c>
    </row>
    <row r="740" spans="1:18" x14ac:dyDescent="0.35">
      <c r="A740" s="1">
        <v>40327</v>
      </c>
      <c r="B740">
        <v>0</v>
      </c>
      <c r="C740" t="s">
        <v>72</v>
      </c>
      <c r="D740" t="s">
        <v>19</v>
      </c>
      <c r="E740" t="s">
        <v>18</v>
      </c>
      <c r="F740">
        <v>50</v>
      </c>
      <c r="G740" t="s">
        <v>68</v>
      </c>
      <c r="H740" t="s">
        <v>18</v>
      </c>
      <c r="I740">
        <v>49</v>
      </c>
      <c r="J740">
        <v>6</v>
      </c>
      <c r="K740">
        <v>8</v>
      </c>
      <c r="L740">
        <v>51</v>
      </c>
      <c r="M740" t="s">
        <v>20</v>
      </c>
      <c r="N740" t="s">
        <v>69</v>
      </c>
      <c r="O740">
        <v>37841</v>
      </c>
      <c r="P740">
        <v>208</v>
      </c>
      <c r="Q740" t="s">
        <v>68</v>
      </c>
      <c r="R740" t="str">
        <f t="shared" si="12"/>
        <v>Yes</v>
      </c>
    </row>
    <row r="741" spans="1:18" x14ac:dyDescent="0.35">
      <c r="A741" s="1">
        <v>40327</v>
      </c>
      <c r="B741">
        <v>0</v>
      </c>
      <c r="C741" t="s">
        <v>72</v>
      </c>
      <c r="D741" t="s">
        <v>26</v>
      </c>
      <c r="E741" t="s">
        <v>18</v>
      </c>
      <c r="F741">
        <v>50</v>
      </c>
      <c r="G741" t="s">
        <v>62</v>
      </c>
      <c r="H741" t="s">
        <v>18</v>
      </c>
      <c r="I741">
        <v>49</v>
      </c>
      <c r="J741">
        <v>2</v>
      </c>
      <c r="K741">
        <v>4</v>
      </c>
      <c r="L741">
        <v>51</v>
      </c>
      <c r="M741" t="s">
        <v>20</v>
      </c>
      <c r="N741" t="s">
        <v>81</v>
      </c>
      <c r="O741">
        <v>25956</v>
      </c>
      <c r="P741">
        <v>137</v>
      </c>
      <c r="Q741" t="s">
        <v>62</v>
      </c>
      <c r="R741" t="str">
        <f t="shared" si="12"/>
        <v>Yes</v>
      </c>
    </row>
    <row r="742" spans="1:18" x14ac:dyDescent="0.35">
      <c r="A742" s="1">
        <v>40327</v>
      </c>
      <c r="B742">
        <v>0</v>
      </c>
      <c r="C742" t="s">
        <v>72</v>
      </c>
      <c r="D742" t="s">
        <v>60</v>
      </c>
      <c r="E742" t="s">
        <v>18</v>
      </c>
      <c r="F742">
        <v>50</v>
      </c>
      <c r="G742" t="s">
        <v>70</v>
      </c>
      <c r="H742" t="s">
        <v>18</v>
      </c>
      <c r="I742">
        <v>48</v>
      </c>
      <c r="J742">
        <v>1</v>
      </c>
      <c r="K742">
        <v>12</v>
      </c>
      <c r="L742">
        <v>51</v>
      </c>
      <c r="M742" t="s">
        <v>20</v>
      </c>
      <c r="N742" t="s">
        <v>71</v>
      </c>
      <c r="O742">
        <v>37400</v>
      </c>
      <c r="P742">
        <v>182</v>
      </c>
      <c r="Q742" t="s">
        <v>70</v>
      </c>
      <c r="R742" t="str">
        <f t="shared" si="12"/>
        <v>Yes</v>
      </c>
    </row>
    <row r="743" spans="1:18" x14ac:dyDescent="0.35">
      <c r="A743" s="1">
        <v>40328</v>
      </c>
      <c r="B743">
        <v>0</v>
      </c>
      <c r="C743" t="s">
        <v>73</v>
      </c>
      <c r="D743" t="s">
        <v>40</v>
      </c>
      <c r="E743" t="s">
        <v>30</v>
      </c>
      <c r="F743">
        <v>49</v>
      </c>
      <c r="G743" t="s">
        <v>31</v>
      </c>
      <c r="H743" t="s">
        <v>30</v>
      </c>
      <c r="I743">
        <v>52</v>
      </c>
      <c r="J743">
        <v>7</v>
      </c>
      <c r="K743">
        <v>9</v>
      </c>
      <c r="L743">
        <v>52</v>
      </c>
      <c r="M743" t="s">
        <v>38</v>
      </c>
      <c r="N743" t="s">
        <v>32</v>
      </c>
      <c r="O743">
        <v>40017</v>
      </c>
      <c r="P743">
        <v>218</v>
      </c>
      <c r="Q743" t="s">
        <v>31</v>
      </c>
      <c r="R743" t="str">
        <f t="shared" si="12"/>
        <v>Yes</v>
      </c>
    </row>
    <row r="744" spans="1:18" x14ac:dyDescent="0.35">
      <c r="A744" s="1">
        <v>40328</v>
      </c>
      <c r="B744">
        <v>0</v>
      </c>
      <c r="C744" t="s">
        <v>73</v>
      </c>
      <c r="D744" t="s">
        <v>37</v>
      </c>
      <c r="E744" t="s">
        <v>30</v>
      </c>
      <c r="F744">
        <v>51</v>
      </c>
      <c r="G744" t="s">
        <v>58</v>
      </c>
      <c r="H744" t="s">
        <v>30</v>
      </c>
      <c r="I744">
        <v>52</v>
      </c>
      <c r="J744">
        <v>1</v>
      </c>
      <c r="K744">
        <v>8</v>
      </c>
      <c r="L744">
        <v>51</v>
      </c>
      <c r="M744" t="s">
        <v>38</v>
      </c>
      <c r="N744" t="s">
        <v>86</v>
      </c>
      <c r="O744">
        <v>37581</v>
      </c>
      <c r="P744">
        <v>166</v>
      </c>
      <c r="Q744" t="s">
        <v>58</v>
      </c>
      <c r="R744" t="str">
        <f t="shared" si="12"/>
        <v>Yes</v>
      </c>
    </row>
    <row r="745" spans="1:18" x14ac:dyDescent="0.35">
      <c r="A745" s="1">
        <v>40328</v>
      </c>
      <c r="B745">
        <v>0</v>
      </c>
      <c r="C745" t="s">
        <v>73</v>
      </c>
      <c r="D745" t="s">
        <v>41</v>
      </c>
      <c r="E745" t="s">
        <v>30</v>
      </c>
      <c r="F745">
        <v>51</v>
      </c>
      <c r="G745" t="s">
        <v>36</v>
      </c>
      <c r="H745" t="s">
        <v>30</v>
      </c>
      <c r="I745">
        <v>49</v>
      </c>
      <c r="J745">
        <v>2</v>
      </c>
      <c r="K745">
        <v>10</v>
      </c>
      <c r="L745">
        <v>51</v>
      </c>
      <c r="M745" t="s">
        <v>38</v>
      </c>
      <c r="N745" t="s">
        <v>57</v>
      </c>
      <c r="O745">
        <v>32510</v>
      </c>
      <c r="P745">
        <v>163</v>
      </c>
      <c r="Q745" t="s">
        <v>36</v>
      </c>
      <c r="R745" t="str">
        <f t="shared" si="12"/>
        <v>Yes</v>
      </c>
    </row>
    <row r="746" spans="1:18" x14ac:dyDescent="0.35">
      <c r="A746" s="1">
        <v>40328</v>
      </c>
      <c r="B746">
        <v>0</v>
      </c>
      <c r="C746" t="s">
        <v>73</v>
      </c>
      <c r="D746" t="s">
        <v>47</v>
      </c>
      <c r="E746" t="s">
        <v>30</v>
      </c>
      <c r="F746">
        <v>50</v>
      </c>
      <c r="G746" t="s">
        <v>29</v>
      </c>
      <c r="H746" t="s">
        <v>30</v>
      </c>
      <c r="I746">
        <v>50</v>
      </c>
      <c r="J746">
        <v>3</v>
      </c>
      <c r="K746">
        <v>6</v>
      </c>
      <c r="L746">
        <v>51</v>
      </c>
      <c r="M746" t="s">
        <v>20</v>
      </c>
      <c r="N746" t="s">
        <v>76</v>
      </c>
      <c r="O746">
        <v>39873</v>
      </c>
      <c r="P746">
        <v>188</v>
      </c>
      <c r="Q746" t="s">
        <v>29</v>
      </c>
      <c r="R746" t="str">
        <f t="shared" si="12"/>
        <v>Yes</v>
      </c>
    </row>
    <row r="747" spans="1:18" x14ac:dyDescent="0.35">
      <c r="A747" s="1">
        <v>40328</v>
      </c>
      <c r="B747">
        <v>0</v>
      </c>
      <c r="C747" t="s">
        <v>73</v>
      </c>
      <c r="D747" t="s">
        <v>33</v>
      </c>
      <c r="E747" t="s">
        <v>30</v>
      </c>
      <c r="F747">
        <v>48</v>
      </c>
      <c r="G747" t="s">
        <v>59</v>
      </c>
      <c r="H747" t="s">
        <v>30</v>
      </c>
      <c r="I747">
        <v>50</v>
      </c>
      <c r="J747">
        <v>3</v>
      </c>
      <c r="K747">
        <v>7</v>
      </c>
      <c r="L747">
        <v>51</v>
      </c>
      <c r="M747" t="s">
        <v>38</v>
      </c>
      <c r="N747" t="s">
        <v>84</v>
      </c>
      <c r="O747">
        <v>45706</v>
      </c>
      <c r="P747">
        <v>168</v>
      </c>
      <c r="Q747" t="s">
        <v>59</v>
      </c>
      <c r="R747" t="str">
        <f t="shared" si="12"/>
        <v>Yes</v>
      </c>
    </row>
    <row r="748" spans="1:18" x14ac:dyDescent="0.35">
      <c r="A748" s="1">
        <v>40328</v>
      </c>
      <c r="B748">
        <v>0</v>
      </c>
      <c r="C748" t="s">
        <v>73</v>
      </c>
      <c r="D748" t="s">
        <v>34</v>
      </c>
      <c r="E748" t="s">
        <v>30</v>
      </c>
      <c r="F748">
        <v>50</v>
      </c>
      <c r="G748" t="s">
        <v>44</v>
      </c>
      <c r="H748" t="s">
        <v>30</v>
      </c>
      <c r="I748">
        <v>51</v>
      </c>
      <c r="J748">
        <v>8</v>
      </c>
      <c r="K748">
        <v>5</v>
      </c>
      <c r="L748">
        <v>54</v>
      </c>
      <c r="M748" t="s">
        <v>38</v>
      </c>
      <c r="N748" t="s">
        <v>45</v>
      </c>
      <c r="O748">
        <v>26878</v>
      </c>
      <c r="P748">
        <v>194</v>
      </c>
      <c r="Q748" t="s">
        <v>34</v>
      </c>
      <c r="R748" t="str">
        <f t="shared" si="12"/>
        <v>No</v>
      </c>
    </row>
    <row r="749" spans="1:18" x14ac:dyDescent="0.35">
      <c r="A749" s="1">
        <v>40328</v>
      </c>
      <c r="B749">
        <v>0</v>
      </c>
      <c r="C749" t="s">
        <v>73</v>
      </c>
      <c r="D749" t="s">
        <v>43</v>
      </c>
      <c r="E749" t="s">
        <v>30</v>
      </c>
      <c r="F749">
        <v>51</v>
      </c>
      <c r="G749" t="s">
        <v>46</v>
      </c>
      <c r="H749" t="s">
        <v>30</v>
      </c>
      <c r="I749">
        <v>52</v>
      </c>
      <c r="J749">
        <v>1</v>
      </c>
      <c r="K749">
        <v>6</v>
      </c>
      <c r="L749">
        <v>51</v>
      </c>
      <c r="M749" t="s">
        <v>38</v>
      </c>
      <c r="N749" t="s">
        <v>78</v>
      </c>
      <c r="O749">
        <v>15878</v>
      </c>
      <c r="P749">
        <v>125</v>
      </c>
      <c r="Q749" t="s">
        <v>46</v>
      </c>
      <c r="R749" t="str">
        <f t="shared" si="12"/>
        <v>Yes</v>
      </c>
    </row>
    <row r="750" spans="1:18" x14ac:dyDescent="0.35">
      <c r="A750" s="1">
        <v>40328</v>
      </c>
      <c r="B750">
        <v>0</v>
      </c>
      <c r="C750" t="s">
        <v>73</v>
      </c>
      <c r="D750" t="s">
        <v>23</v>
      </c>
      <c r="E750" t="s">
        <v>18</v>
      </c>
      <c r="F750">
        <v>51</v>
      </c>
      <c r="G750" t="s">
        <v>50</v>
      </c>
      <c r="H750" t="s">
        <v>18</v>
      </c>
      <c r="I750">
        <v>50</v>
      </c>
      <c r="J750">
        <v>2</v>
      </c>
      <c r="K750">
        <v>5</v>
      </c>
      <c r="L750">
        <v>51</v>
      </c>
      <c r="M750" t="s">
        <v>38</v>
      </c>
      <c r="N750" t="s">
        <v>51</v>
      </c>
      <c r="O750">
        <v>31078</v>
      </c>
      <c r="P750">
        <v>174</v>
      </c>
      <c r="Q750" t="s">
        <v>50</v>
      </c>
      <c r="R750" t="str">
        <f t="shared" si="12"/>
        <v>Yes</v>
      </c>
    </row>
    <row r="751" spans="1:18" x14ac:dyDescent="0.35">
      <c r="A751" s="1">
        <v>40328</v>
      </c>
      <c r="B751">
        <v>0</v>
      </c>
      <c r="C751" t="s">
        <v>73</v>
      </c>
      <c r="D751" t="s">
        <v>52</v>
      </c>
      <c r="E751" t="s">
        <v>18</v>
      </c>
      <c r="F751">
        <v>51</v>
      </c>
      <c r="G751" t="s">
        <v>49</v>
      </c>
      <c r="H751" t="s">
        <v>18</v>
      </c>
      <c r="I751">
        <v>51</v>
      </c>
      <c r="J751">
        <v>9</v>
      </c>
      <c r="K751">
        <v>1</v>
      </c>
      <c r="L751">
        <v>54</v>
      </c>
      <c r="M751" t="s">
        <v>38</v>
      </c>
      <c r="N751" t="s">
        <v>79</v>
      </c>
      <c r="O751">
        <v>41353</v>
      </c>
      <c r="P751">
        <v>169</v>
      </c>
      <c r="Q751" t="s">
        <v>52</v>
      </c>
      <c r="R751" t="str">
        <f t="shared" si="12"/>
        <v>No</v>
      </c>
    </row>
    <row r="752" spans="1:18" x14ac:dyDescent="0.35">
      <c r="A752" s="1">
        <v>40328</v>
      </c>
      <c r="B752">
        <v>0</v>
      </c>
      <c r="C752" t="s">
        <v>73</v>
      </c>
      <c r="D752" t="s">
        <v>66</v>
      </c>
      <c r="E752" t="s">
        <v>18</v>
      </c>
      <c r="F752">
        <v>50</v>
      </c>
      <c r="G752" t="s">
        <v>53</v>
      </c>
      <c r="H752" t="s">
        <v>18</v>
      </c>
      <c r="I752">
        <v>51</v>
      </c>
      <c r="J752">
        <v>2</v>
      </c>
      <c r="K752">
        <v>0</v>
      </c>
      <c r="L752">
        <v>60</v>
      </c>
      <c r="M752" t="s">
        <v>38</v>
      </c>
      <c r="N752" t="s">
        <v>54</v>
      </c>
      <c r="O752">
        <v>36038</v>
      </c>
      <c r="P752">
        <v>192</v>
      </c>
      <c r="Q752" t="s">
        <v>66</v>
      </c>
      <c r="R752" t="str">
        <f t="shared" si="12"/>
        <v>No</v>
      </c>
    </row>
    <row r="753" spans="1:18" x14ac:dyDescent="0.35">
      <c r="A753" s="1">
        <v>40328</v>
      </c>
      <c r="B753">
        <v>0</v>
      </c>
      <c r="C753" t="s">
        <v>73</v>
      </c>
      <c r="D753" t="s">
        <v>22</v>
      </c>
      <c r="E753" t="s">
        <v>18</v>
      </c>
      <c r="F753">
        <v>50</v>
      </c>
      <c r="G753" t="s">
        <v>63</v>
      </c>
      <c r="H753" t="s">
        <v>18</v>
      </c>
      <c r="I753">
        <v>50</v>
      </c>
      <c r="J753">
        <v>4</v>
      </c>
      <c r="K753">
        <v>3</v>
      </c>
      <c r="L753">
        <v>54</v>
      </c>
      <c r="M753" t="s">
        <v>38</v>
      </c>
      <c r="N753" t="s">
        <v>64</v>
      </c>
      <c r="O753">
        <v>48682</v>
      </c>
      <c r="P753">
        <v>188</v>
      </c>
      <c r="Q753" t="s">
        <v>22</v>
      </c>
      <c r="R753" t="str">
        <f t="shared" si="12"/>
        <v>No</v>
      </c>
    </row>
    <row r="754" spans="1:18" x14ac:dyDescent="0.35">
      <c r="A754" s="1">
        <v>40328</v>
      </c>
      <c r="B754">
        <v>0</v>
      </c>
      <c r="C754" t="s">
        <v>73</v>
      </c>
      <c r="D754" t="s">
        <v>25</v>
      </c>
      <c r="E754" t="s">
        <v>18</v>
      </c>
      <c r="F754">
        <v>49</v>
      </c>
      <c r="G754" t="s">
        <v>17</v>
      </c>
      <c r="H754" t="s">
        <v>18</v>
      </c>
      <c r="I754">
        <v>51</v>
      </c>
      <c r="J754">
        <v>0</v>
      </c>
      <c r="K754">
        <v>1</v>
      </c>
      <c r="L754">
        <v>51</v>
      </c>
      <c r="M754" t="s">
        <v>38</v>
      </c>
      <c r="N754" t="s">
        <v>65</v>
      </c>
      <c r="O754">
        <v>13324</v>
      </c>
      <c r="P754">
        <v>148</v>
      </c>
      <c r="Q754" t="s">
        <v>17</v>
      </c>
      <c r="R754" t="str">
        <f t="shared" si="12"/>
        <v>Yes</v>
      </c>
    </row>
    <row r="755" spans="1:18" x14ac:dyDescent="0.35">
      <c r="A755" s="1">
        <v>40328</v>
      </c>
      <c r="B755">
        <v>0</v>
      </c>
      <c r="C755" t="s">
        <v>73</v>
      </c>
      <c r="D755" t="s">
        <v>19</v>
      </c>
      <c r="E755" t="s">
        <v>18</v>
      </c>
      <c r="F755">
        <v>51</v>
      </c>
      <c r="G755" t="s">
        <v>68</v>
      </c>
      <c r="H755" t="s">
        <v>18</v>
      </c>
      <c r="I755">
        <v>50</v>
      </c>
      <c r="J755">
        <v>10</v>
      </c>
      <c r="K755">
        <v>4</v>
      </c>
      <c r="L755">
        <v>54</v>
      </c>
      <c r="M755" t="s">
        <v>38</v>
      </c>
      <c r="N755" t="s">
        <v>69</v>
      </c>
      <c r="O755">
        <v>36559</v>
      </c>
      <c r="P755">
        <v>208</v>
      </c>
      <c r="Q755" t="s">
        <v>19</v>
      </c>
      <c r="R755" t="str">
        <f t="shared" si="12"/>
        <v>No</v>
      </c>
    </row>
    <row r="756" spans="1:18" x14ac:dyDescent="0.35">
      <c r="A756" s="1">
        <v>40328</v>
      </c>
      <c r="B756">
        <v>0</v>
      </c>
      <c r="C756" t="s">
        <v>73</v>
      </c>
      <c r="D756" t="s">
        <v>26</v>
      </c>
      <c r="E756" t="s">
        <v>18</v>
      </c>
      <c r="F756">
        <v>51</v>
      </c>
      <c r="G756" t="s">
        <v>62</v>
      </c>
      <c r="H756" t="s">
        <v>18</v>
      </c>
      <c r="I756">
        <v>50</v>
      </c>
      <c r="J756">
        <v>2</v>
      </c>
      <c r="K756">
        <v>3</v>
      </c>
      <c r="L756">
        <v>65</v>
      </c>
      <c r="M756" t="s">
        <v>38</v>
      </c>
      <c r="N756" t="s">
        <v>81</v>
      </c>
      <c r="O756">
        <v>28591</v>
      </c>
      <c r="P756">
        <v>217</v>
      </c>
      <c r="Q756" t="s">
        <v>62</v>
      </c>
      <c r="R756" t="str">
        <f t="shared" si="12"/>
        <v>Yes</v>
      </c>
    </row>
    <row r="757" spans="1:18" x14ac:dyDescent="0.35">
      <c r="A757" s="1">
        <v>40328</v>
      </c>
      <c r="B757">
        <v>0</v>
      </c>
      <c r="C757" t="s">
        <v>73</v>
      </c>
      <c r="D757" t="s">
        <v>60</v>
      </c>
      <c r="E757" t="s">
        <v>18</v>
      </c>
      <c r="F757">
        <v>51</v>
      </c>
      <c r="G757" t="s">
        <v>70</v>
      </c>
      <c r="H757" t="s">
        <v>18</v>
      </c>
      <c r="I757">
        <v>49</v>
      </c>
      <c r="J757">
        <v>5</v>
      </c>
      <c r="K757">
        <v>6</v>
      </c>
      <c r="L757">
        <v>59</v>
      </c>
      <c r="M757" t="s">
        <v>38</v>
      </c>
      <c r="N757" t="s">
        <v>71</v>
      </c>
      <c r="O757">
        <v>41394</v>
      </c>
      <c r="P757">
        <v>213</v>
      </c>
      <c r="Q757" t="s">
        <v>70</v>
      </c>
      <c r="R757" t="str">
        <f t="shared" si="12"/>
        <v>Yes</v>
      </c>
    </row>
    <row r="758" spans="1:18" x14ac:dyDescent="0.35">
      <c r="A758" s="1">
        <v>40329</v>
      </c>
      <c r="B758">
        <v>0</v>
      </c>
      <c r="C758" t="s">
        <v>74</v>
      </c>
      <c r="D758" t="s">
        <v>41</v>
      </c>
      <c r="E758" t="s">
        <v>30</v>
      </c>
      <c r="F758">
        <v>52</v>
      </c>
      <c r="G758" t="s">
        <v>36</v>
      </c>
      <c r="H758" t="s">
        <v>30</v>
      </c>
      <c r="I758">
        <v>50</v>
      </c>
      <c r="J758">
        <v>4</v>
      </c>
      <c r="K758">
        <v>1</v>
      </c>
      <c r="L758">
        <v>54</v>
      </c>
      <c r="M758" t="s">
        <v>38</v>
      </c>
      <c r="N758" t="s">
        <v>57</v>
      </c>
      <c r="O758">
        <v>23641</v>
      </c>
      <c r="P758">
        <v>168</v>
      </c>
      <c r="Q758" t="s">
        <v>41</v>
      </c>
      <c r="R758" t="str">
        <f t="shared" si="12"/>
        <v>No</v>
      </c>
    </row>
    <row r="759" spans="1:18" x14ac:dyDescent="0.35">
      <c r="A759" s="1">
        <v>40329</v>
      </c>
      <c r="B759">
        <v>0</v>
      </c>
      <c r="C759" t="s">
        <v>74</v>
      </c>
      <c r="D759" t="s">
        <v>31</v>
      </c>
      <c r="E759" t="s">
        <v>30</v>
      </c>
      <c r="F759">
        <v>53</v>
      </c>
      <c r="G759" t="s">
        <v>37</v>
      </c>
      <c r="H759" t="s">
        <v>30</v>
      </c>
      <c r="I759">
        <v>52</v>
      </c>
      <c r="J759">
        <v>7</v>
      </c>
      <c r="K759">
        <v>1</v>
      </c>
      <c r="L759">
        <v>54</v>
      </c>
      <c r="M759" t="s">
        <v>38</v>
      </c>
      <c r="N759" t="s">
        <v>39</v>
      </c>
      <c r="O759">
        <v>24651</v>
      </c>
      <c r="P759">
        <v>159</v>
      </c>
      <c r="Q759" t="s">
        <v>31</v>
      </c>
      <c r="R759" t="str">
        <f t="shared" si="12"/>
        <v>No</v>
      </c>
    </row>
    <row r="760" spans="1:18" x14ac:dyDescent="0.35">
      <c r="A760" s="1">
        <v>40329</v>
      </c>
      <c r="B760">
        <v>0</v>
      </c>
      <c r="C760" t="s">
        <v>74</v>
      </c>
      <c r="D760" t="s">
        <v>33</v>
      </c>
      <c r="E760" t="s">
        <v>30</v>
      </c>
      <c r="F760">
        <v>49</v>
      </c>
      <c r="G760" t="s">
        <v>59</v>
      </c>
      <c r="H760" t="s">
        <v>30</v>
      </c>
      <c r="I760">
        <v>51</v>
      </c>
      <c r="J760">
        <v>2</v>
      </c>
      <c r="K760">
        <v>11</v>
      </c>
      <c r="L760">
        <v>51</v>
      </c>
      <c r="M760" t="s">
        <v>38</v>
      </c>
      <c r="N760" t="s">
        <v>84</v>
      </c>
      <c r="O760">
        <v>44976</v>
      </c>
      <c r="P760">
        <v>187</v>
      </c>
      <c r="Q760" t="s">
        <v>59</v>
      </c>
      <c r="R760" t="str">
        <f t="shared" si="12"/>
        <v>Yes</v>
      </c>
    </row>
    <row r="761" spans="1:18" x14ac:dyDescent="0.35">
      <c r="A761" s="1">
        <v>40329</v>
      </c>
      <c r="B761">
        <v>0</v>
      </c>
      <c r="C761" t="s">
        <v>74</v>
      </c>
      <c r="D761" t="s">
        <v>29</v>
      </c>
      <c r="E761" t="s">
        <v>30</v>
      </c>
      <c r="F761">
        <v>51</v>
      </c>
      <c r="G761" t="s">
        <v>40</v>
      </c>
      <c r="H761" t="s">
        <v>30</v>
      </c>
      <c r="I761">
        <v>50</v>
      </c>
      <c r="J761">
        <v>5</v>
      </c>
      <c r="K761">
        <v>4</v>
      </c>
      <c r="L761">
        <v>54</v>
      </c>
      <c r="M761" t="s">
        <v>20</v>
      </c>
      <c r="N761" t="s">
        <v>77</v>
      </c>
      <c r="O761">
        <v>19795</v>
      </c>
      <c r="P761">
        <v>142</v>
      </c>
      <c r="Q761" t="s">
        <v>29</v>
      </c>
      <c r="R761" t="str">
        <f t="shared" si="12"/>
        <v>No</v>
      </c>
    </row>
    <row r="762" spans="1:18" x14ac:dyDescent="0.35">
      <c r="A762" s="1">
        <v>40329</v>
      </c>
      <c r="B762">
        <v>0</v>
      </c>
      <c r="C762" t="s">
        <v>74</v>
      </c>
      <c r="D762" t="s">
        <v>44</v>
      </c>
      <c r="E762" t="s">
        <v>30</v>
      </c>
      <c r="F762">
        <v>52</v>
      </c>
      <c r="G762" t="s">
        <v>46</v>
      </c>
      <c r="H762" t="s">
        <v>30</v>
      </c>
      <c r="I762">
        <v>53</v>
      </c>
      <c r="J762">
        <v>2</v>
      </c>
      <c r="K762">
        <v>3</v>
      </c>
      <c r="L762">
        <v>51</v>
      </c>
      <c r="M762" t="s">
        <v>20</v>
      </c>
      <c r="N762" t="s">
        <v>78</v>
      </c>
      <c r="O762">
        <v>11335</v>
      </c>
      <c r="P762">
        <v>166</v>
      </c>
      <c r="Q762" t="s">
        <v>46</v>
      </c>
      <c r="R762" t="str">
        <f t="shared" si="12"/>
        <v>Yes</v>
      </c>
    </row>
    <row r="763" spans="1:18" x14ac:dyDescent="0.35">
      <c r="A763" s="1">
        <v>40329</v>
      </c>
      <c r="B763">
        <v>0</v>
      </c>
      <c r="C763" t="s">
        <v>74</v>
      </c>
      <c r="D763" t="s">
        <v>25</v>
      </c>
      <c r="E763" t="s">
        <v>18</v>
      </c>
      <c r="F763">
        <v>50</v>
      </c>
      <c r="G763" t="s">
        <v>50</v>
      </c>
      <c r="H763" t="s">
        <v>18</v>
      </c>
      <c r="I763">
        <v>51</v>
      </c>
      <c r="J763">
        <v>3</v>
      </c>
      <c r="K763">
        <v>9</v>
      </c>
      <c r="L763">
        <v>51</v>
      </c>
      <c r="M763" t="s">
        <v>38</v>
      </c>
      <c r="N763" t="s">
        <v>51</v>
      </c>
      <c r="O763">
        <v>42543</v>
      </c>
      <c r="P763">
        <v>179</v>
      </c>
      <c r="Q763" t="s">
        <v>50</v>
      </c>
      <c r="R763" t="str">
        <f t="shared" si="12"/>
        <v>Yes</v>
      </c>
    </row>
    <row r="764" spans="1:18" x14ac:dyDescent="0.35">
      <c r="A764" s="1">
        <v>40329</v>
      </c>
      <c r="B764">
        <v>0</v>
      </c>
      <c r="C764" t="s">
        <v>74</v>
      </c>
      <c r="D764" t="s">
        <v>68</v>
      </c>
      <c r="E764" t="s">
        <v>18</v>
      </c>
      <c r="F764">
        <v>51</v>
      </c>
      <c r="G764" t="s">
        <v>17</v>
      </c>
      <c r="H764" t="s">
        <v>18</v>
      </c>
      <c r="I764">
        <v>52</v>
      </c>
      <c r="J764">
        <v>5</v>
      </c>
      <c r="K764">
        <v>13</v>
      </c>
      <c r="L764">
        <v>51</v>
      </c>
      <c r="M764" t="s">
        <v>38</v>
      </c>
      <c r="N764" t="s">
        <v>65</v>
      </c>
      <c r="O764">
        <v>10115</v>
      </c>
      <c r="P764">
        <v>162</v>
      </c>
      <c r="Q764" t="s">
        <v>17</v>
      </c>
      <c r="R764" t="str">
        <f t="shared" si="12"/>
        <v>Yes</v>
      </c>
    </row>
    <row r="765" spans="1:18" x14ac:dyDescent="0.35">
      <c r="A765" s="1">
        <v>40329</v>
      </c>
      <c r="B765">
        <v>0</v>
      </c>
      <c r="C765" t="s">
        <v>74</v>
      </c>
      <c r="D765" t="s">
        <v>26</v>
      </c>
      <c r="E765" t="s">
        <v>18</v>
      </c>
      <c r="F765">
        <v>52</v>
      </c>
      <c r="G765" t="s">
        <v>66</v>
      </c>
      <c r="H765" t="s">
        <v>18</v>
      </c>
      <c r="I765">
        <v>51</v>
      </c>
      <c r="J765">
        <v>14</v>
      </c>
      <c r="K765">
        <v>4</v>
      </c>
      <c r="L765">
        <v>54</v>
      </c>
      <c r="M765" t="s">
        <v>38</v>
      </c>
      <c r="N765" t="s">
        <v>67</v>
      </c>
      <c r="O765">
        <v>34704</v>
      </c>
      <c r="P765">
        <v>196</v>
      </c>
      <c r="Q765" t="s">
        <v>26</v>
      </c>
      <c r="R765" t="str">
        <f t="shared" si="12"/>
        <v>No</v>
      </c>
    </row>
    <row r="766" spans="1:18" x14ac:dyDescent="0.35">
      <c r="A766" s="1">
        <v>40329</v>
      </c>
      <c r="B766">
        <v>0</v>
      </c>
      <c r="C766" t="s">
        <v>74</v>
      </c>
      <c r="D766" t="s">
        <v>60</v>
      </c>
      <c r="E766" t="s">
        <v>18</v>
      </c>
      <c r="F766">
        <v>52</v>
      </c>
      <c r="G766" t="s">
        <v>22</v>
      </c>
      <c r="H766" t="s">
        <v>18</v>
      </c>
      <c r="I766">
        <v>51</v>
      </c>
      <c r="J766">
        <v>4</v>
      </c>
      <c r="K766">
        <v>5</v>
      </c>
      <c r="L766">
        <v>53</v>
      </c>
      <c r="M766" t="s">
        <v>20</v>
      </c>
      <c r="N766" t="s">
        <v>85</v>
      </c>
      <c r="O766">
        <v>45325</v>
      </c>
      <c r="P766">
        <v>161</v>
      </c>
      <c r="Q766" t="s">
        <v>22</v>
      </c>
      <c r="R766" t="str">
        <f t="shared" si="12"/>
        <v>Yes</v>
      </c>
    </row>
    <row r="767" spans="1:18" x14ac:dyDescent="0.35">
      <c r="A767" s="1">
        <v>40329</v>
      </c>
      <c r="B767">
        <v>0</v>
      </c>
      <c r="C767" t="s">
        <v>74</v>
      </c>
      <c r="D767" t="s">
        <v>49</v>
      </c>
      <c r="E767" t="s">
        <v>18</v>
      </c>
      <c r="F767">
        <v>52</v>
      </c>
      <c r="G767" t="s">
        <v>23</v>
      </c>
      <c r="H767" t="s">
        <v>18</v>
      </c>
      <c r="I767">
        <v>52</v>
      </c>
      <c r="J767">
        <v>1</v>
      </c>
      <c r="K767">
        <v>2</v>
      </c>
      <c r="L767">
        <v>51</v>
      </c>
      <c r="M767" t="s">
        <v>38</v>
      </c>
      <c r="N767" t="s">
        <v>24</v>
      </c>
      <c r="O767">
        <v>20235</v>
      </c>
      <c r="P767">
        <v>166</v>
      </c>
      <c r="Q767" t="s">
        <v>23</v>
      </c>
      <c r="R767" t="str">
        <f t="shared" si="12"/>
        <v>Yes</v>
      </c>
    </row>
    <row r="768" spans="1:18" x14ac:dyDescent="0.35">
      <c r="A768" s="1">
        <v>40329</v>
      </c>
      <c r="B768">
        <v>0</v>
      </c>
      <c r="C768" t="s">
        <v>74</v>
      </c>
      <c r="D768" t="s">
        <v>19</v>
      </c>
      <c r="E768" t="s">
        <v>18</v>
      </c>
      <c r="F768">
        <v>52</v>
      </c>
      <c r="G768" t="s">
        <v>62</v>
      </c>
      <c r="H768" t="s">
        <v>18</v>
      </c>
      <c r="I768">
        <v>51</v>
      </c>
      <c r="J768">
        <v>6</v>
      </c>
      <c r="K768">
        <v>18</v>
      </c>
      <c r="L768">
        <v>51</v>
      </c>
      <c r="M768" t="s">
        <v>20</v>
      </c>
      <c r="N768" t="s">
        <v>81</v>
      </c>
      <c r="O768">
        <v>20023</v>
      </c>
      <c r="P768">
        <v>195</v>
      </c>
      <c r="Q768" t="s">
        <v>62</v>
      </c>
      <c r="R768" t="str">
        <f t="shared" si="12"/>
        <v>Yes</v>
      </c>
    </row>
    <row r="769" spans="1:18" x14ac:dyDescent="0.35">
      <c r="A769" s="1">
        <v>40329</v>
      </c>
      <c r="B769">
        <v>0</v>
      </c>
      <c r="C769" t="s">
        <v>74</v>
      </c>
      <c r="D769" t="s">
        <v>63</v>
      </c>
      <c r="E769" t="s">
        <v>18</v>
      </c>
      <c r="F769">
        <v>51</v>
      </c>
      <c r="G769" t="s">
        <v>70</v>
      </c>
      <c r="H769" t="s">
        <v>18</v>
      </c>
      <c r="I769">
        <v>50</v>
      </c>
      <c r="J769">
        <v>4</v>
      </c>
      <c r="K769">
        <v>0</v>
      </c>
      <c r="L769">
        <v>54</v>
      </c>
      <c r="M769" t="s">
        <v>38</v>
      </c>
      <c r="N769" t="s">
        <v>71</v>
      </c>
      <c r="O769">
        <v>42465</v>
      </c>
      <c r="P769">
        <v>158</v>
      </c>
      <c r="Q769" t="s">
        <v>63</v>
      </c>
      <c r="R769" t="str">
        <f t="shared" si="12"/>
        <v>No</v>
      </c>
    </row>
    <row r="770" spans="1:18" x14ac:dyDescent="0.35">
      <c r="A770" s="1">
        <v>40329</v>
      </c>
      <c r="B770">
        <v>0</v>
      </c>
      <c r="C770" t="s">
        <v>74</v>
      </c>
      <c r="D770" t="s">
        <v>53</v>
      </c>
      <c r="E770" t="s">
        <v>18</v>
      </c>
      <c r="F770">
        <v>52</v>
      </c>
      <c r="G770" t="s">
        <v>52</v>
      </c>
      <c r="H770" t="s">
        <v>18</v>
      </c>
      <c r="I770">
        <v>52</v>
      </c>
      <c r="J770">
        <v>4</v>
      </c>
      <c r="K770">
        <v>12</v>
      </c>
      <c r="L770">
        <v>51</v>
      </c>
      <c r="M770" t="s">
        <v>38</v>
      </c>
      <c r="N770" t="s">
        <v>82</v>
      </c>
      <c r="O770">
        <v>40782</v>
      </c>
      <c r="P770">
        <v>182</v>
      </c>
      <c r="Q770" t="s">
        <v>52</v>
      </c>
      <c r="R770" t="str">
        <f t="shared" si="12"/>
        <v>Yes</v>
      </c>
    </row>
    <row r="771" spans="1:18" x14ac:dyDescent="0.35">
      <c r="A771" s="1">
        <v>40330</v>
      </c>
      <c r="B771">
        <v>0</v>
      </c>
      <c r="C771" t="s">
        <v>83</v>
      </c>
      <c r="D771" t="s">
        <v>41</v>
      </c>
      <c r="E771" t="s">
        <v>30</v>
      </c>
      <c r="F771">
        <v>53</v>
      </c>
      <c r="G771" t="s">
        <v>58</v>
      </c>
      <c r="H771" t="s">
        <v>30</v>
      </c>
      <c r="I771">
        <v>53</v>
      </c>
      <c r="J771">
        <v>4</v>
      </c>
      <c r="K771">
        <v>9</v>
      </c>
      <c r="L771">
        <v>51</v>
      </c>
      <c r="M771" t="s">
        <v>20</v>
      </c>
      <c r="N771" t="s">
        <v>86</v>
      </c>
      <c r="O771">
        <v>37337</v>
      </c>
      <c r="P771">
        <v>209</v>
      </c>
      <c r="Q771" t="s">
        <v>58</v>
      </c>
      <c r="R771" t="str">
        <f t="shared" ref="R771:R834" si="13">IF(K771&gt;J771,"Yes","No")</f>
        <v>Yes</v>
      </c>
    </row>
    <row r="772" spans="1:18" x14ac:dyDescent="0.35">
      <c r="A772" s="1">
        <v>40330</v>
      </c>
      <c r="B772">
        <v>0</v>
      </c>
      <c r="C772" t="s">
        <v>83</v>
      </c>
      <c r="D772" t="s">
        <v>47</v>
      </c>
      <c r="E772" t="s">
        <v>30</v>
      </c>
      <c r="F772">
        <v>51</v>
      </c>
      <c r="G772" t="s">
        <v>34</v>
      </c>
      <c r="H772" t="s">
        <v>30</v>
      </c>
      <c r="I772">
        <v>51</v>
      </c>
      <c r="J772">
        <v>9</v>
      </c>
      <c r="K772">
        <v>6</v>
      </c>
      <c r="L772">
        <v>54</v>
      </c>
      <c r="M772" t="s">
        <v>20</v>
      </c>
      <c r="N772" t="s">
        <v>35</v>
      </c>
      <c r="O772">
        <v>20075</v>
      </c>
      <c r="P772">
        <v>199</v>
      </c>
      <c r="Q772" t="s">
        <v>47</v>
      </c>
      <c r="R772" t="str">
        <f t="shared" si="13"/>
        <v>No</v>
      </c>
    </row>
    <row r="773" spans="1:18" x14ac:dyDescent="0.35">
      <c r="A773" s="1">
        <v>40330</v>
      </c>
      <c r="B773">
        <v>0</v>
      </c>
      <c r="C773" t="s">
        <v>83</v>
      </c>
      <c r="D773" t="s">
        <v>33</v>
      </c>
      <c r="E773" t="s">
        <v>30</v>
      </c>
      <c r="F773">
        <v>50</v>
      </c>
      <c r="G773" t="s">
        <v>36</v>
      </c>
      <c r="H773" t="s">
        <v>30</v>
      </c>
      <c r="I773">
        <v>51</v>
      </c>
      <c r="J773">
        <v>3</v>
      </c>
      <c r="K773">
        <v>2</v>
      </c>
      <c r="L773">
        <v>54</v>
      </c>
      <c r="M773" t="s">
        <v>20</v>
      </c>
      <c r="N773" t="s">
        <v>57</v>
      </c>
      <c r="O773">
        <v>19446</v>
      </c>
      <c r="P773">
        <v>155</v>
      </c>
      <c r="Q773" t="s">
        <v>33</v>
      </c>
      <c r="R773" t="str">
        <f t="shared" si="13"/>
        <v>No</v>
      </c>
    </row>
    <row r="774" spans="1:18" x14ac:dyDescent="0.35">
      <c r="A774" s="1">
        <v>40330</v>
      </c>
      <c r="B774">
        <v>0</v>
      </c>
      <c r="C774" t="s">
        <v>83</v>
      </c>
      <c r="D774" t="s">
        <v>31</v>
      </c>
      <c r="E774" t="s">
        <v>30</v>
      </c>
      <c r="F774">
        <v>54</v>
      </c>
      <c r="G774" t="s">
        <v>37</v>
      </c>
      <c r="H774" t="s">
        <v>30</v>
      </c>
      <c r="I774">
        <v>53</v>
      </c>
      <c r="J774">
        <v>3</v>
      </c>
      <c r="K774">
        <v>6</v>
      </c>
      <c r="L774">
        <v>51</v>
      </c>
      <c r="M774" t="s">
        <v>20</v>
      </c>
      <c r="N774" t="s">
        <v>39</v>
      </c>
      <c r="O774">
        <v>15139</v>
      </c>
      <c r="P774">
        <v>134</v>
      </c>
      <c r="Q774" t="s">
        <v>37</v>
      </c>
      <c r="R774" t="str">
        <f t="shared" si="13"/>
        <v>Yes</v>
      </c>
    </row>
    <row r="775" spans="1:18" x14ac:dyDescent="0.35">
      <c r="A775" s="1">
        <v>40330</v>
      </c>
      <c r="B775">
        <v>0</v>
      </c>
      <c r="C775" t="s">
        <v>83</v>
      </c>
      <c r="D775" t="s">
        <v>43</v>
      </c>
      <c r="E775" t="s">
        <v>30</v>
      </c>
      <c r="F775">
        <v>52</v>
      </c>
      <c r="G775" t="s">
        <v>59</v>
      </c>
      <c r="H775" t="s">
        <v>30</v>
      </c>
      <c r="I775">
        <v>52</v>
      </c>
      <c r="J775">
        <v>1</v>
      </c>
      <c r="K775">
        <v>3</v>
      </c>
      <c r="L775">
        <v>51</v>
      </c>
      <c r="M775" t="s">
        <v>20</v>
      </c>
      <c r="N775" t="s">
        <v>84</v>
      </c>
      <c r="O775">
        <v>43059</v>
      </c>
      <c r="P775">
        <v>159</v>
      </c>
      <c r="Q775" t="s">
        <v>59</v>
      </c>
      <c r="R775" t="str">
        <f t="shared" si="13"/>
        <v>Yes</v>
      </c>
    </row>
    <row r="776" spans="1:18" x14ac:dyDescent="0.35">
      <c r="A776" s="1">
        <v>40330</v>
      </c>
      <c r="B776">
        <v>0</v>
      </c>
      <c r="C776" t="s">
        <v>83</v>
      </c>
      <c r="D776" t="s">
        <v>29</v>
      </c>
      <c r="E776" t="s">
        <v>30</v>
      </c>
      <c r="F776">
        <v>52</v>
      </c>
      <c r="G776" t="s">
        <v>40</v>
      </c>
      <c r="H776" t="s">
        <v>30</v>
      </c>
      <c r="I776">
        <v>51</v>
      </c>
      <c r="J776">
        <v>1</v>
      </c>
      <c r="K776">
        <v>7</v>
      </c>
      <c r="L776">
        <v>51</v>
      </c>
      <c r="M776" t="s">
        <v>20</v>
      </c>
      <c r="N776" t="s">
        <v>77</v>
      </c>
      <c r="O776">
        <v>18740</v>
      </c>
      <c r="P776">
        <v>165</v>
      </c>
      <c r="Q776" t="s">
        <v>40</v>
      </c>
      <c r="R776" t="str">
        <f t="shared" si="13"/>
        <v>Yes</v>
      </c>
    </row>
    <row r="777" spans="1:18" x14ac:dyDescent="0.35">
      <c r="A777" s="1">
        <v>40330</v>
      </c>
      <c r="B777">
        <v>0</v>
      </c>
      <c r="C777" t="s">
        <v>83</v>
      </c>
      <c r="D777" t="s">
        <v>44</v>
      </c>
      <c r="E777" t="s">
        <v>30</v>
      </c>
      <c r="F777">
        <v>53</v>
      </c>
      <c r="G777" t="s">
        <v>46</v>
      </c>
      <c r="H777" t="s">
        <v>30</v>
      </c>
      <c r="I777">
        <v>54</v>
      </c>
      <c r="J777">
        <v>7</v>
      </c>
      <c r="K777">
        <v>6</v>
      </c>
      <c r="L777">
        <v>54</v>
      </c>
      <c r="M777" t="s">
        <v>20</v>
      </c>
      <c r="N777" t="s">
        <v>78</v>
      </c>
      <c r="O777">
        <v>13439</v>
      </c>
      <c r="P777">
        <v>202</v>
      </c>
      <c r="Q777" t="s">
        <v>44</v>
      </c>
      <c r="R777" t="str">
        <f t="shared" si="13"/>
        <v>No</v>
      </c>
    </row>
    <row r="778" spans="1:18" x14ac:dyDescent="0.35">
      <c r="A778" s="1">
        <v>40330</v>
      </c>
      <c r="B778">
        <v>0</v>
      </c>
      <c r="C778" t="s">
        <v>83</v>
      </c>
      <c r="D778" t="s">
        <v>25</v>
      </c>
      <c r="E778" t="s">
        <v>18</v>
      </c>
      <c r="F778">
        <v>51</v>
      </c>
      <c r="G778" t="s">
        <v>50</v>
      </c>
      <c r="H778" t="s">
        <v>18</v>
      </c>
      <c r="I778">
        <v>52</v>
      </c>
      <c r="J778">
        <v>3</v>
      </c>
      <c r="K778">
        <v>7</v>
      </c>
      <c r="L778">
        <v>51</v>
      </c>
      <c r="M778" t="s">
        <v>20</v>
      </c>
      <c r="N778" t="s">
        <v>51</v>
      </c>
      <c r="O778">
        <v>29731</v>
      </c>
      <c r="P778">
        <v>198</v>
      </c>
      <c r="Q778" t="s">
        <v>50</v>
      </c>
      <c r="R778" t="str">
        <f t="shared" si="13"/>
        <v>Yes</v>
      </c>
    </row>
    <row r="779" spans="1:18" x14ac:dyDescent="0.35">
      <c r="A779" s="1">
        <v>40330</v>
      </c>
      <c r="B779">
        <v>0</v>
      </c>
      <c r="C779" t="s">
        <v>83</v>
      </c>
      <c r="D779" t="s">
        <v>68</v>
      </c>
      <c r="E779" t="s">
        <v>18</v>
      </c>
      <c r="F779">
        <v>52</v>
      </c>
      <c r="G779" t="s">
        <v>17</v>
      </c>
      <c r="H779" t="s">
        <v>18</v>
      </c>
      <c r="I779">
        <v>53</v>
      </c>
      <c r="J779">
        <v>4</v>
      </c>
      <c r="K779">
        <v>6</v>
      </c>
      <c r="L779">
        <v>51</v>
      </c>
      <c r="M779" t="s">
        <v>20</v>
      </c>
      <c r="N779" t="s">
        <v>65</v>
      </c>
      <c r="O779">
        <v>11202</v>
      </c>
      <c r="P779">
        <v>154</v>
      </c>
      <c r="Q779" t="s">
        <v>17</v>
      </c>
      <c r="R779" t="str">
        <f t="shared" si="13"/>
        <v>Yes</v>
      </c>
    </row>
    <row r="780" spans="1:18" x14ac:dyDescent="0.35">
      <c r="A780" s="1">
        <v>40330</v>
      </c>
      <c r="B780">
        <v>0</v>
      </c>
      <c r="C780" t="s">
        <v>83</v>
      </c>
      <c r="D780" t="s">
        <v>26</v>
      </c>
      <c r="E780" t="s">
        <v>18</v>
      </c>
      <c r="F780">
        <v>53</v>
      </c>
      <c r="G780" t="s">
        <v>66</v>
      </c>
      <c r="H780" t="s">
        <v>18</v>
      </c>
      <c r="I780">
        <v>52</v>
      </c>
      <c r="J780">
        <v>7</v>
      </c>
      <c r="K780">
        <v>8</v>
      </c>
      <c r="L780">
        <v>53</v>
      </c>
      <c r="M780" t="s">
        <v>20</v>
      </c>
      <c r="N780" t="s">
        <v>67</v>
      </c>
      <c r="O780">
        <v>25249</v>
      </c>
      <c r="P780">
        <v>201</v>
      </c>
      <c r="Q780" t="s">
        <v>66</v>
      </c>
      <c r="R780" t="str">
        <f t="shared" si="13"/>
        <v>Yes</v>
      </c>
    </row>
    <row r="781" spans="1:18" x14ac:dyDescent="0.35">
      <c r="A781" s="1">
        <v>40330</v>
      </c>
      <c r="B781">
        <v>0</v>
      </c>
      <c r="C781" t="s">
        <v>83</v>
      </c>
      <c r="D781" t="s">
        <v>60</v>
      </c>
      <c r="E781" t="s">
        <v>18</v>
      </c>
      <c r="F781">
        <v>53</v>
      </c>
      <c r="G781" t="s">
        <v>22</v>
      </c>
      <c r="H781" t="s">
        <v>18</v>
      </c>
      <c r="I781">
        <v>52</v>
      </c>
      <c r="J781">
        <v>0</v>
      </c>
      <c r="K781">
        <v>1</v>
      </c>
      <c r="L781">
        <v>58</v>
      </c>
      <c r="M781" t="s">
        <v>20</v>
      </c>
      <c r="N781" t="s">
        <v>85</v>
      </c>
      <c r="O781">
        <v>36533</v>
      </c>
      <c r="P781">
        <v>186</v>
      </c>
      <c r="Q781" t="s">
        <v>22</v>
      </c>
      <c r="R781" t="str">
        <f t="shared" si="13"/>
        <v>Yes</v>
      </c>
    </row>
    <row r="782" spans="1:18" x14ac:dyDescent="0.35">
      <c r="A782" s="1">
        <v>40330</v>
      </c>
      <c r="B782">
        <v>0</v>
      </c>
      <c r="C782" t="s">
        <v>83</v>
      </c>
      <c r="D782" t="s">
        <v>49</v>
      </c>
      <c r="E782" t="s">
        <v>18</v>
      </c>
      <c r="F782">
        <v>53</v>
      </c>
      <c r="G782" t="s">
        <v>23</v>
      </c>
      <c r="H782" t="s">
        <v>18</v>
      </c>
      <c r="I782">
        <v>53</v>
      </c>
      <c r="J782">
        <v>2</v>
      </c>
      <c r="K782">
        <v>3</v>
      </c>
      <c r="L782">
        <v>51</v>
      </c>
      <c r="M782" t="s">
        <v>20</v>
      </c>
      <c r="N782" t="s">
        <v>24</v>
      </c>
      <c r="O782">
        <v>11334</v>
      </c>
      <c r="P782">
        <v>146</v>
      </c>
      <c r="Q782" t="s">
        <v>23</v>
      </c>
      <c r="R782" t="str">
        <f t="shared" si="13"/>
        <v>Yes</v>
      </c>
    </row>
    <row r="783" spans="1:18" x14ac:dyDescent="0.35">
      <c r="A783" s="1">
        <v>40330</v>
      </c>
      <c r="B783">
        <v>0</v>
      </c>
      <c r="C783" t="s">
        <v>83</v>
      </c>
      <c r="D783" t="s">
        <v>19</v>
      </c>
      <c r="E783" t="s">
        <v>18</v>
      </c>
      <c r="F783">
        <v>53</v>
      </c>
      <c r="G783" t="s">
        <v>62</v>
      </c>
      <c r="H783" t="s">
        <v>18</v>
      </c>
      <c r="I783">
        <v>52</v>
      </c>
      <c r="J783">
        <v>4</v>
      </c>
      <c r="K783">
        <v>2</v>
      </c>
      <c r="L783">
        <v>54</v>
      </c>
      <c r="M783" t="s">
        <v>20</v>
      </c>
      <c r="N783" t="s">
        <v>81</v>
      </c>
      <c r="O783">
        <v>17393</v>
      </c>
      <c r="P783">
        <v>174</v>
      </c>
      <c r="Q783" t="s">
        <v>19</v>
      </c>
      <c r="R783" t="str">
        <f t="shared" si="13"/>
        <v>No</v>
      </c>
    </row>
    <row r="784" spans="1:18" x14ac:dyDescent="0.35">
      <c r="A784" s="1">
        <v>40330</v>
      </c>
      <c r="B784">
        <v>0</v>
      </c>
      <c r="C784" t="s">
        <v>83</v>
      </c>
      <c r="D784" t="s">
        <v>63</v>
      </c>
      <c r="E784" t="s">
        <v>18</v>
      </c>
      <c r="F784">
        <v>52</v>
      </c>
      <c r="G784" t="s">
        <v>70</v>
      </c>
      <c r="H784" t="s">
        <v>18</v>
      </c>
      <c r="I784">
        <v>51</v>
      </c>
      <c r="J784">
        <v>2</v>
      </c>
      <c r="K784">
        <v>1</v>
      </c>
      <c r="L784">
        <v>66</v>
      </c>
      <c r="M784" t="s">
        <v>20</v>
      </c>
      <c r="N784" t="s">
        <v>71</v>
      </c>
      <c r="O784">
        <v>31198</v>
      </c>
      <c r="P784">
        <v>221</v>
      </c>
      <c r="Q784" t="s">
        <v>63</v>
      </c>
      <c r="R784" t="str">
        <f t="shared" si="13"/>
        <v>No</v>
      </c>
    </row>
    <row r="785" spans="1:18" x14ac:dyDescent="0.35">
      <c r="A785" s="1">
        <v>40330</v>
      </c>
      <c r="B785">
        <v>0</v>
      </c>
      <c r="C785" t="s">
        <v>83</v>
      </c>
      <c r="D785" t="s">
        <v>53</v>
      </c>
      <c r="E785" t="s">
        <v>18</v>
      </c>
      <c r="F785">
        <v>53</v>
      </c>
      <c r="G785" t="s">
        <v>52</v>
      </c>
      <c r="H785" t="s">
        <v>18</v>
      </c>
      <c r="I785">
        <v>53</v>
      </c>
      <c r="J785">
        <v>9</v>
      </c>
      <c r="K785">
        <v>8</v>
      </c>
      <c r="L785">
        <v>54</v>
      </c>
      <c r="M785" t="s">
        <v>20</v>
      </c>
      <c r="N785" t="s">
        <v>82</v>
      </c>
      <c r="O785">
        <v>37414</v>
      </c>
      <c r="P785">
        <v>198</v>
      </c>
      <c r="Q785" t="s">
        <v>53</v>
      </c>
      <c r="R785" t="str">
        <f t="shared" si="13"/>
        <v>No</v>
      </c>
    </row>
    <row r="786" spans="1:18" x14ac:dyDescent="0.35">
      <c r="A786" s="1">
        <v>40331</v>
      </c>
      <c r="B786">
        <v>0</v>
      </c>
      <c r="C786" t="s">
        <v>16</v>
      </c>
      <c r="D786" t="s">
        <v>41</v>
      </c>
      <c r="E786" t="s">
        <v>30</v>
      </c>
      <c r="F786">
        <v>54</v>
      </c>
      <c r="G786" t="s">
        <v>58</v>
      </c>
      <c r="H786" t="s">
        <v>30</v>
      </c>
      <c r="I786">
        <v>54</v>
      </c>
      <c r="J786">
        <v>4</v>
      </c>
      <c r="K786">
        <v>6</v>
      </c>
      <c r="L786">
        <v>51</v>
      </c>
      <c r="M786" t="s">
        <v>20</v>
      </c>
      <c r="N786" t="s">
        <v>86</v>
      </c>
      <c r="O786">
        <v>37783</v>
      </c>
      <c r="P786">
        <v>173</v>
      </c>
      <c r="Q786" t="s">
        <v>58</v>
      </c>
      <c r="R786" t="str">
        <f t="shared" si="13"/>
        <v>Yes</v>
      </c>
    </row>
    <row r="787" spans="1:18" x14ac:dyDescent="0.35">
      <c r="A787" s="1">
        <v>40331</v>
      </c>
      <c r="B787">
        <v>0</v>
      </c>
      <c r="C787" t="s">
        <v>16</v>
      </c>
      <c r="D787" t="s">
        <v>47</v>
      </c>
      <c r="E787" t="s">
        <v>30</v>
      </c>
      <c r="F787">
        <v>52</v>
      </c>
      <c r="G787" t="s">
        <v>34</v>
      </c>
      <c r="H787" t="s">
        <v>30</v>
      </c>
      <c r="I787">
        <v>52</v>
      </c>
      <c r="J787">
        <v>9</v>
      </c>
      <c r="K787">
        <v>5</v>
      </c>
      <c r="L787">
        <v>54</v>
      </c>
      <c r="M787" t="s">
        <v>20</v>
      </c>
      <c r="N787" t="s">
        <v>35</v>
      </c>
      <c r="O787">
        <v>19516</v>
      </c>
      <c r="P787">
        <v>171</v>
      </c>
      <c r="Q787" t="s">
        <v>47</v>
      </c>
      <c r="R787" t="str">
        <f t="shared" si="13"/>
        <v>No</v>
      </c>
    </row>
    <row r="788" spans="1:18" x14ac:dyDescent="0.35">
      <c r="A788" s="1">
        <v>40331</v>
      </c>
      <c r="B788">
        <v>0</v>
      </c>
      <c r="C788" t="s">
        <v>16</v>
      </c>
      <c r="D788" t="s">
        <v>33</v>
      </c>
      <c r="E788" t="s">
        <v>30</v>
      </c>
      <c r="F788">
        <v>51</v>
      </c>
      <c r="G788" t="s">
        <v>36</v>
      </c>
      <c r="H788" t="s">
        <v>30</v>
      </c>
      <c r="I788">
        <v>52</v>
      </c>
      <c r="J788">
        <v>0</v>
      </c>
      <c r="K788">
        <v>3</v>
      </c>
      <c r="L788">
        <v>51</v>
      </c>
      <c r="M788" t="s">
        <v>20</v>
      </c>
      <c r="N788" t="s">
        <v>57</v>
      </c>
      <c r="O788">
        <v>17738</v>
      </c>
      <c r="P788">
        <v>104</v>
      </c>
      <c r="Q788" t="s">
        <v>36</v>
      </c>
      <c r="R788" t="str">
        <f t="shared" si="13"/>
        <v>Yes</v>
      </c>
    </row>
    <row r="789" spans="1:18" x14ac:dyDescent="0.35">
      <c r="A789" s="1">
        <v>40331</v>
      </c>
      <c r="B789">
        <v>0</v>
      </c>
      <c r="C789" t="s">
        <v>16</v>
      </c>
      <c r="D789" t="s">
        <v>31</v>
      </c>
      <c r="E789" t="s">
        <v>30</v>
      </c>
      <c r="F789">
        <v>55</v>
      </c>
      <c r="G789" t="s">
        <v>37</v>
      </c>
      <c r="H789" t="s">
        <v>30</v>
      </c>
      <c r="I789">
        <v>54</v>
      </c>
      <c r="J789">
        <v>7</v>
      </c>
      <c r="K789">
        <v>2</v>
      </c>
      <c r="L789">
        <v>54</v>
      </c>
      <c r="M789" t="s">
        <v>20</v>
      </c>
      <c r="N789" t="s">
        <v>39</v>
      </c>
      <c r="O789">
        <v>12718</v>
      </c>
      <c r="P789">
        <v>174</v>
      </c>
      <c r="Q789" t="s">
        <v>31</v>
      </c>
      <c r="R789" t="str">
        <f t="shared" si="13"/>
        <v>No</v>
      </c>
    </row>
    <row r="790" spans="1:18" x14ac:dyDescent="0.35">
      <c r="A790" s="1">
        <v>40331</v>
      </c>
      <c r="B790">
        <v>0</v>
      </c>
      <c r="C790" t="s">
        <v>16</v>
      </c>
      <c r="D790" t="s">
        <v>43</v>
      </c>
      <c r="E790" t="s">
        <v>30</v>
      </c>
      <c r="F790">
        <v>53</v>
      </c>
      <c r="G790" t="s">
        <v>59</v>
      </c>
      <c r="H790" t="s">
        <v>30</v>
      </c>
      <c r="I790">
        <v>53</v>
      </c>
      <c r="J790">
        <v>1</v>
      </c>
      <c r="K790">
        <v>9</v>
      </c>
      <c r="L790">
        <v>51</v>
      </c>
      <c r="M790" t="s">
        <v>20</v>
      </c>
      <c r="N790" t="s">
        <v>84</v>
      </c>
      <c r="O790">
        <v>44465</v>
      </c>
      <c r="P790">
        <v>169</v>
      </c>
      <c r="Q790" t="s">
        <v>59</v>
      </c>
      <c r="R790" t="str">
        <f t="shared" si="13"/>
        <v>Yes</v>
      </c>
    </row>
    <row r="791" spans="1:18" x14ac:dyDescent="0.35">
      <c r="A791" s="1">
        <v>40331</v>
      </c>
      <c r="B791">
        <v>0</v>
      </c>
      <c r="C791" t="s">
        <v>16</v>
      </c>
      <c r="D791" t="s">
        <v>29</v>
      </c>
      <c r="E791" t="s">
        <v>30</v>
      </c>
      <c r="F791">
        <v>53</v>
      </c>
      <c r="G791" t="s">
        <v>40</v>
      </c>
      <c r="H791" t="s">
        <v>30</v>
      </c>
      <c r="I791">
        <v>52</v>
      </c>
      <c r="J791">
        <v>1</v>
      </c>
      <c r="K791">
        <v>2</v>
      </c>
      <c r="L791">
        <v>59</v>
      </c>
      <c r="M791" t="s">
        <v>20</v>
      </c>
      <c r="N791" t="s">
        <v>77</v>
      </c>
      <c r="O791">
        <v>20414</v>
      </c>
      <c r="P791">
        <v>167</v>
      </c>
      <c r="Q791" t="s">
        <v>40</v>
      </c>
      <c r="R791" t="str">
        <f t="shared" si="13"/>
        <v>Yes</v>
      </c>
    </row>
    <row r="792" spans="1:18" x14ac:dyDescent="0.35">
      <c r="A792" s="1">
        <v>40331</v>
      </c>
      <c r="B792">
        <v>0</v>
      </c>
      <c r="C792" t="s">
        <v>16</v>
      </c>
      <c r="D792" t="s">
        <v>44</v>
      </c>
      <c r="E792" t="s">
        <v>30</v>
      </c>
      <c r="F792">
        <v>54</v>
      </c>
      <c r="G792" t="s">
        <v>46</v>
      </c>
      <c r="H792" t="s">
        <v>30</v>
      </c>
      <c r="I792">
        <v>55</v>
      </c>
      <c r="J792">
        <v>7</v>
      </c>
      <c r="K792">
        <v>3</v>
      </c>
      <c r="L792">
        <v>54</v>
      </c>
      <c r="M792" t="s">
        <v>20</v>
      </c>
      <c r="N792" t="s">
        <v>78</v>
      </c>
      <c r="O792">
        <v>13517</v>
      </c>
      <c r="P792">
        <v>175</v>
      </c>
      <c r="Q792" t="s">
        <v>44</v>
      </c>
      <c r="R792" t="str">
        <f t="shared" si="13"/>
        <v>No</v>
      </c>
    </row>
    <row r="793" spans="1:18" x14ac:dyDescent="0.35">
      <c r="A793" s="1">
        <v>40331</v>
      </c>
      <c r="B793">
        <v>0</v>
      </c>
      <c r="C793" t="s">
        <v>16</v>
      </c>
      <c r="D793" t="s">
        <v>25</v>
      </c>
      <c r="E793" t="s">
        <v>18</v>
      </c>
      <c r="F793">
        <v>52</v>
      </c>
      <c r="G793" t="s">
        <v>50</v>
      </c>
      <c r="H793" t="s">
        <v>18</v>
      </c>
      <c r="I793">
        <v>53</v>
      </c>
      <c r="J793">
        <v>1</v>
      </c>
      <c r="K793">
        <v>2</v>
      </c>
      <c r="L793">
        <v>51</v>
      </c>
      <c r="M793" t="s">
        <v>38</v>
      </c>
      <c r="N793" t="s">
        <v>51</v>
      </c>
      <c r="O793">
        <v>26309</v>
      </c>
      <c r="P793">
        <v>148</v>
      </c>
      <c r="Q793" t="s">
        <v>50</v>
      </c>
      <c r="R793" t="str">
        <f t="shared" si="13"/>
        <v>Yes</v>
      </c>
    </row>
    <row r="794" spans="1:18" x14ac:dyDescent="0.35">
      <c r="A794" s="1">
        <v>40331</v>
      </c>
      <c r="B794">
        <v>0</v>
      </c>
      <c r="C794" t="s">
        <v>16</v>
      </c>
      <c r="D794" t="s">
        <v>68</v>
      </c>
      <c r="E794" t="s">
        <v>18</v>
      </c>
      <c r="F794">
        <v>53</v>
      </c>
      <c r="G794" t="s">
        <v>17</v>
      </c>
      <c r="H794" t="s">
        <v>18</v>
      </c>
      <c r="I794">
        <v>54</v>
      </c>
      <c r="J794">
        <v>7</v>
      </c>
      <c r="K794">
        <v>4</v>
      </c>
      <c r="L794">
        <v>54</v>
      </c>
      <c r="M794" t="s">
        <v>20</v>
      </c>
      <c r="N794" t="s">
        <v>65</v>
      </c>
      <c r="O794">
        <v>11468</v>
      </c>
      <c r="P794">
        <v>206</v>
      </c>
      <c r="Q794" t="s">
        <v>68</v>
      </c>
      <c r="R794" t="str">
        <f t="shared" si="13"/>
        <v>No</v>
      </c>
    </row>
    <row r="795" spans="1:18" x14ac:dyDescent="0.35">
      <c r="A795" s="1">
        <v>40331</v>
      </c>
      <c r="B795">
        <v>0</v>
      </c>
      <c r="C795" t="s">
        <v>16</v>
      </c>
      <c r="D795" t="s">
        <v>26</v>
      </c>
      <c r="E795" t="s">
        <v>18</v>
      </c>
      <c r="F795">
        <v>54</v>
      </c>
      <c r="G795" t="s">
        <v>66</v>
      </c>
      <c r="H795" t="s">
        <v>18</v>
      </c>
      <c r="I795">
        <v>53</v>
      </c>
      <c r="J795">
        <v>1</v>
      </c>
      <c r="K795">
        <v>5</v>
      </c>
      <c r="L795">
        <v>51</v>
      </c>
      <c r="M795" t="s">
        <v>20</v>
      </c>
      <c r="N795" t="s">
        <v>67</v>
      </c>
      <c r="O795">
        <v>26736</v>
      </c>
      <c r="P795">
        <v>167</v>
      </c>
      <c r="Q795" t="s">
        <v>66</v>
      </c>
      <c r="R795" t="str">
        <f t="shared" si="13"/>
        <v>Yes</v>
      </c>
    </row>
    <row r="796" spans="1:18" x14ac:dyDescent="0.35">
      <c r="A796" s="1">
        <v>40331</v>
      </c>
      <c r="B796">
        <v>0</v>
      </c>
      <c r="C796" t="s">
        <v>16</v>
      </c>
      <c r="D796" t="s">
        <v>60</v>
      </c>
      <c r="E796" t="s">
        <v>18</v>
      </c>
      <c r="F796">
        <v>54</v>
      </c>
      <c r="G796" t="s">
        <v>22</v>
      </c>
      <c r="H796" t="s">
        <v>18</v>
      </c>
      <c r="I796">
        <v>53</v>
      </c>
      <c r="J796">
        <v>0</v>
      </c>
      <c r="K796">
        <v>1</v>
      </c>
      <c r="L796">
        <v>83</v>
      </c>
      <c r="M796" t="s">
        <v>38</v>
      </c>
      <c r="N796" t="s">
        <v>85</v>
      </c>
      <c r="O796">
        <v>35355</v>
      </c>
      <c r="P796">
        <v>256</v>
      </c>
      <c r="Q796" t="s">
        <v>22</v>
      </c>
      <c r="R796" t="str">
        <f t="shared" si="13"/>
        <v>Yes</v>
      </c>
    </row>
    <row r="797" spans="1:18" x14ac:dyDescent="0.35">
      <c r="A797" s="1">
        <v>40331</v>
      </c>
      <c r="B797">
        <v>0</v>
      </c>
      <c r="C797" t="s">
        <v>16</v>
      </c>
      <c r="D797" t="s">
        <v>19</v>
      </c>
      <c r="E797" t="s">
        <v>18</v>
      </c>
      <c r="F797">
        <v>54</v>
      </c>
      <c r="G797" t="s">
        <v>62</v>
      </c>
      <c r="H797" t="s">
        <v>18</v>
      </c>
      <c r="I797">
        <v>53</v>
      </c>
      <c r="J797">
        <v>1</v>
      </c>
      <c r="K797">
        <v>5</v>
      </c>
      <c r="L797">
        <v>64</v>
      </c>
      <c r="M797" t="s">
        <v>38</v>
      </c>
      <c r="N797" t="s">
        <v>81</v>
      </c>
      <c r="O797">
        <v>15880</v>
      </c>
      <c r="P797">
        <v>228</v>
      </c>
      <c r="Q797" t="s">
        <v>62</v>
      </c>
      <c r="R797" t="str">
        <f t="shared" si="13"/>
        <v>Yes</v>
      </c>
    </row>
    <row r="798" spans="1:18" x14ac:dyDescent="0.35">
      <c r="A798" s="1">
        <v>40331</v>
      </c>
      <c r="B798">
        <v>0</v>
      </c>
      <c r="C798" t="s">
        <v>16</v>
      </c>
      <c r="D798" t="s">
        <v>63</v>
      </c>
      <c r="E798" t="s">
        <v>18</v>
      </c>
      <c r="F798">
        <v>53</v>
      </c>
      <c r="G798" t="s">
        <v>70</v>
      </c>
      <c r="H798" t="s">
        <v>18</v>
      </c>
      <c r="I798">
        <v>52</v>
      </c>
      <c r="J798">
        <v>1</v>
      </c>
      <c r="K798">
        <v>4</v>
      </c>
      <c r="L798">
        <v>51</v>
      </c>
      <c r="M798" t="s">
        <v>20</v>
      </c>
      <c r="N798" t="s">
        <v>71</v>
      </c>
      <c r="O798">
        <v>30697</v>
      </c>
      <c r="P798">
        <v>136</v>
      </c>
      <c r="Q798" t="s">
        <v>70</v>
      </c>
      <c r="R798" t="str">
        <f t="shared" si="13"/>
        <v>Yes</v>
      </c>
    </row>
    <row r="799" spans="1:18" x14ac:dyDescent="0.35">
      <c r="A799" s="1">
        <v>40331</v>
      </c>
      <c r="B799">
        <v>0</v>
      </c>
      <c r="C799" t="s">
        <v>16</v>
      </c>
      <c r="D799" t="s">
        <v>53</v>
      </c>
      <c r="E799" t="s">
        <v>18</v>
      </c>
      <c r="F799">
        <v>54</v>
      </c>
      <c r="G799" t="s">
        <v>52</v>
      </c>
      <c r="H799" t="s">
        <v>18</v>
      </c>
      <c r="I799">
        <v>54</v>
      </c>
      <c r="J799">
        <v>1</v>
      </c>
      <c r="K799">
        <v>4</v>
      </c>
      <c r="L799">
        <v>51</v>
      </c>
      <c r="M799" t="s">
        <v>20</v>
      </c>
      <c r="N799" t="s">
        <v>82</v>
      </c>
      <c r="O799">
        <v>39295</v>
      </c>
      <c r="P799">
        <v>159</v>
      </c>
      <c r="Q799" t="s">
        <v>52</v>
      </c>
      <c r="R799" t="str">
        <f t="shared" si="13"/>
        <v>Yes</v>
      </c>
    </row>
    <row r="800" spans="1:18" x14ac:dyDescent="0.35">
      <c r="A800" s="1">
        <v>40332</v>
      </c>
      <c r="B800">
        <v>0</v>
      </c>
      <c r="C800" t="s">
        <v>28</v>
      </c>
      <c r="D800" t="s">
        <v>41</v>
      </c>
      <c r="E800" t="s">
        <v>30</v>
      </c>
      <c r="F800">
        <v>55</v>
      </c>
      <c r="G800" t="s">
        <v>58</v>
      </c>
      <c r="H800" t="s">
        <v>30</v>
      </c>
      <c r="I800">
        <v>55</v>
      </c>
      <c r="J800">
        <v>9</v>
      </c>
      <c r="K800">
        <v>8</v>
      </c>
      <c r="L800">
        <v>54</v>
      </c>
      <c r="M800" t="s">
        <v>38</v>
      </c>
      <c r="N800" t="s">
        <v>86</v>
      </c>
      <c r="O800">
        <v>37386</v>
      </c>
      <c r="P800">
        <v>197</v>
      </c>
      <c r="Q800" t="s">
        <v>41</v>
      </c>
      <c r="R800" t="str">
        <f t="shared" si="13"/>
        <v>No</v>
      </c>
    </row>
    <row r="801" spans="1:18" x14ac:dyDescent="0.35">
      <c r="A801" s="1">
        <v>40332</v>
      </c>
      <c r="B801">
        <v>0</v>
      </c>
      <c r="C801" t="s">
        <v>28</v>
      </c>
      <c r="D801" t="s">
        <v>47</v>
      </c>
      <c r="E801" t="s">
        <v>30</v>
      </c>
      <c r="F801">
        <v>53</v>
      </c>
      <c r="G801" t="s">
        <v>34</v>
      </c>
      <c r="H801" t="s">
        <v>30</v>
      </c>
      <c r="I801">
        <v>53</v>
      </c>
      <c r="J801">
        <v>3</v>
      </c>
      <c r="K801">
        <v>4</v>
      </c>
      <c r="L801">
        <v>51</v>
      </c>
      <c r="M801" t="s">
        <v>20</v>
      </c>
      <c r="N801" t="s">
        <v>35</v>
      </c>
      <c r="O801">
        <v>20003</v>
      </c>
      <c r="P801">
        <v>147</v>
      </c>
      <c r="Q801" t="s">
        <v>34</v>
      </c>
      <c r="R801" t="str">
        <f t="shared" si="13"/>
        <v>Yes</v>
      </c>
    </row>
    <row r="802" spans="1:18" x14ac:dyDescent="0.35">
      <c r="A802" s="1">
        <v>40332</v>
      </c>
      <c r="B802">
        <v>0</v>
      </c>
      <c r="C802" t="s">
        <v>28</v>
      </c>
      <c r="D802" t="s">
        <v>33</v>
      </c>
      <c r="E802" t="s">
        <v>30</v>
      </c>
      <c r="F802">
        <v>52</v>
      </c>
      <c r="G802" t="s">
        <v>36</v>
      </c>
      <c r="H802" t="s">
        <v>30</v>
      </c>
      <c r="I802">
        <v>53</v>
      </c>
      <c r="J802">
        <v>6</v>
      </c>
      <c r="K802">
        <v>12</v>
      </c>
      <c r="L802">
        <v>51</v>
      </c>
      <c r="M802" t="s">
        <v>38</v>
      </c>
      <c r="N802" t="s">
        <v>57</v>
      </c>
      <c r="O802">
        <v>28169</v>
      </c>
      <c r="P802">
        <v>197</v>
      </c>
      <c r="Q802" t="s">
        <v>36</v>
      </c>
      <c r="R802" t="str">
        <f t="shared" si="13"/>
        <v>Yes</v>
      </c>
    </row>
    <row r="803" spans="1:18" x14ac:dyDescent="0.35">
      <c r="A803" s="1">
        <v>40332</v>
      </c>
      <c r="B803">
        <v>0</v>
      </c>
      <c r="C803" t="s">
        <v>28</v>
      </c>
      <c r="D803" t="s">
        <v>31</v>
      </c>
      <c r="E803" t="s">
        <v>30</v>
      </c>
      <c r="F803">
        <v>56</v>
      </c>
      <c r="G803" t="s">
        <v>37</v>
      </c>
      <c r="H803" t="s">
        <v>30</v>
      </c>
      <c r="I803">
        <v>55</v>
      </c>
      <c r="J803">
        <v>5</v>
      </c>
      <c r="K803">
        <v>4</v>
      </c>
      <c r="L803">
        <v>54</v>
      </c>
      <c r="M803" t="s">
        <v>38</v>
      </c>
      <c r="N803" t="s">
        <v>39</v>
      </c>
      <c r="O803">
        <v>13621</v>
      </c>
      <c r="P803">
        <v>190</v>
      </c>
      <c r="Q803" t="s">
        <v>31</v>
      </c>
      <c r="R803" t="str">
        <f t="shared" si="13"/>
        <v>No</v>
      </c>
    </row>
    <row r="804" spans="1:18" x14ac:dyDescent="0.35">
      <c r="A804" s="1">
        <v>40332</v>
      </c>
      <c r="B804">
        <v>0</v>
      </c>
      <c r="C804" t="s">
        <v>28</v>
      </c>
      <c r="D804" t="s">
        <v>43</v>
      </c>
      <c r="E804" t="s">
        <v>30</v>
      </c>
      <c r="F804">
        <v>54</v>
      </c>
      <c r="G804" t="s">
        <v>59</v>
      </c>
      <c r="H804" t="s">
        <v>30</v>
      </c>
      <c r="I804">
        <v>54</v>
      </c>
      <c r="J804">
        <v>3</v>
      </c>
      <c r="K804">
        <v>6</v>
      </c>
      <c r="L804">
        <v>51</v>
      </c>
      <c r="M804" t="s">
        <v>38</v>
      </c>
      <c r="N804" t="s">
        <v>84</v>
      </c>
      <c r="O804">
        <v>44927</v>
      </c>
      <c r="P804">
        <v>181</v>
      </c>
      <c r="Q804" t="s">
        <v>59</v>
      </c>
      <c r="R804" t="str">
        <f t="shared" si="13"/>
        <v>Yes</v>
      </c>
    </row>
    <row r="805" spans="1:18" x14ac:dyDescent="0.35">
      <c r="A805" s="1">
        <v>40332</v>
      </c>
      <c r="B805">
        <v>0</v>
      </c>
      <c r="C805" t="s">
        <v>28</v>
      </c>
      <c r="D805" t="s">
        <v>29</v>
      </c>
      <c r="E805" t="s">
        <v>30</v>
      </c>
      <c r="F805">
        <v>54</v>
      </c>
      <c r="G805" t="s">
        <v>40</v>
      </c>
      <c r="H805" t="s">
        <v>30</v>
      </c>
      <c r="I805">
        <v>53</v>
      </c>
      <c r="J805">
        <v>1</v>
      </c>
      <c r="K805">
        <v>4</v>
      </c>
      <c r="L805">
        <v>51</v>
      </c>
      <c r="M805" t="s">
        <v>20</v>
      </c>
      <c r="N805" t="s">
        <v>77</v>
      </c>
      <c r="O805">
        <v>21291</v>
      </c>
      <c r="P805">
        <v>141</v>
      </c>
      <c r="Q805" t="s">
        <v>40</v>
      </c>
      <c r="R805" t="str">
        <f t="shared" si="13"/>
        <v>Yes</v>
      </c>
    </row>
    <row r="806" spans="1:18" x14ac:dyDescent="0.35">
      <c r="A806" s="1">
        <v>40332</v>
      </c>
      <c r="B806">
        <v>0</v>
      </c>
      <c r="C806" t="s">
        <v>28</v>
      </c>
      <c r="D806" t="s">
        <v>68</v>
      </c>
      <c r="E806" t="s">
        <v>18</v>
      </c>
      <c r="F806">
        <v>54</v>
      </c>
      <c r="G806" t="s">
        <v>17</v>
      </c>
      <c r="H806" t="s">
        <v>18</v>
      </c>
      <c r="I806">
        <v>55</v>
      </c>
      <c r="J806">
        <v>2</v>
      </c>
      <c r="K806">
        <v>3</v>
      </c>
      <c r="L806">
        <v>51</v>
      </c>
      <c r="M806" t="s">
        <v>20</v>
      </c>
      <c r="N806" t="s">
        <v>65</v>
      </c>
      <c r="O806">
        <v>11717</v>
      </c>
      <c r="P806">
        <v>192</v>
      </c>
      <c r="Q806" t="s">
        <v>17</v>
      </c>
      <c r="R806" t="str">
        <f t="shared" si="13"/>
        <v>Yes</v>
      </c>
    </row>
    <row r="807" spans="1:18" x14ac:dyDescent="0.35">
      <c r="A807" s="1">
        <v>40332</v>
      </c>
      <c r="B807">
        <v>0</v>
      </c>
      <c r="C807" t="s">
        <v>28</v>
      </c>
      <c r="D807" t="s">
        <v>26</v>
      </c>
      <c r="E807" t="s">
        <v>18</v>
      </c>
      <c r="F807">
        <v>55</v>
      </c>
      <c r="G807" t="s">
        <v>66</v>
      </c>
      <c r="H807" t="s">
        <v>18</v>
      </c>
      <c r="I807">
        <v>54</v>
      </c>
      <c r="J807">
        <v>4</v>
      </c>
      <c r="K807">
        <v>6</v>
      </c>
      <c r="L807">
        <v>53</v>
      </c>
      <c r="M807" t="s">
        <v>38</v>
      </c>
      <c r="N807" t="s">
        <v>67</v>
      </c>
      <c r="O807">
        <v>21814</v>
      </c>
      <c r="P807">
        <v>181</v>
      </c>
      <c r="Q807" t="s">
        <v>66</v>
      </c>
      <c r="R807" t="str">
        <f t="shared" si="13"/>
        <v>Yes</v>
      </c>
    </row>
    <row r="808" spans="1:18" x14ac:dyDescent="0.35">
      <c r="A808" s="1">
        <v>40332</v>
      </c>
      <c r="B808">
        <v>0</v>
      </c>
      <c r="C808" t="s">
        <v>28</v>
      </c>
      <c r="D808" t="s">
        <v>50</v>
      </c>
      <c r="E808" t="s">
        <v>18</v>
      </c>
      <c r="F808">
        <v>54</v>
      </c>
      <c r="G808" t="s">
        <v>22</v>
      </c>
      <c r="H808" t="s">
        <v>18</v>
      </c>
      <c r="I808">
        <v>54</v>
      </c>
      <c r="J808">
        <v>4</v>
      </c>
      <c r="K808">
        <v>3</v>
      </c>
      <c r="L808">
        <v>54</v>
      </c>
      <c r="M808" t="s">
        <v>20</v>
      </c>
      <c r="N808" t="s">
        <v>85</v>
      </c>
      <c r="O808">
        <v>35333</v>
      </c>
      <c r="P808">
        <v>175</v>
      </c>
      <c r="Q808" t="s">
        <v>50</v>
      </c>
      <c r="R808" t="str">
        <f t="shared" si="13"/>
        <v>No</v>
      </c>
    </row>
    <row r="809" spans="1:18" x14ac:dyDescent="0.35">
      <c r="A809" s="1">
        <v>40333</v>
      </c>
      <c r="B809">
        <v>0</v>
      </c>
      <c r="C809" t="s">
        <v>55</v>
      </c>
      <c r="D809" t="s">
        <v>58</v>
      </c>
      <c r="E809" t="s">
        <v>30</v>
      </c>
      <c r="F809">
        <v>56</v>
      </c>
      <c r="G809" t="s">
        <v>43</v>
      </c>
      <c r="H809" t="s">
        <v>30</v>
      </c>
      <c r="I809">
        <v>55</v>
      </c>
      <c r="J809">
        <v>11</v>
      </c>
      <c r="K809">
        <v>0</v>
      </c>
      <c r="L809">
        <v>54</v>
      </c>
      <c r="M809" t="s">
        <v>20</v>
      </c>
      <c r="N809" t="s">
        <v>56</v>
      </c>
      <c r="O809">
        <v>30070</v>
      </c>
      <c r="P809">
        <v>181</v>
      </c>
      <c r="Q809" t="s">
        <v>58</v>
      </c>
      <c r="R809" t="str">
        <f t="shared" si="13"/>
        <v>No</v>
      </c>
    </row>
    <row r="810" spans="1:18" x14ac:dyDescent="0.35">
      <c r="A810" s="1">
        <v>40333</v>
      </c>
      <c r="B810">
        <v>0</v>
      </c>
      <c r="C810" t="s">
        <v>55</v>
      </c>
      <c r="D810" t="s">
        <v>33</v>
      </c>
      <c r="E810" t="s">
        <v>30</v>
      </c>
      <c r="F810">
        <v>53</v>
      </c>
      <c r="G810" t="s">
        <v>34</v>
      </c>
      <c r="H810" t="s">
        <v>30</v>
      </c>
      <c r="I810">
        <v>54</v>
      </c>
      <c r="J810">
        <v>10</v>
      </c>
      <c r="K810">
        <v>1</v>
      </c>
      <c r="L810">
        <v>54</v>
      </c>
      <c r="M810" t="s">
        <v>20</v>
      </c>
      <c r="N810" t="s">
        <v>35</v>
      </c>
      <c r="O810">
        <v>20713</v>
      </c>
      <c r="P810">
        <v>188</v>
      </c>
      <c r="Q810" t="s">
        <v>33</v>
      </c>
      <c r="R810" t="str">
        <f t="shared" si="13"/>
        <v>No</v>
      </c>
    </row>
    <row r="811" spans="1:18" x14ac:dyDescent="0.35">
      <c r="A811" s="1">
        <v>40333</v>
      </c>
      <c r="B811">
        <v>0</v>
      </c>
      <c r="C811" t="s">
        <v>55</v>
      </c>
      <c r="D811" t="s">
        <v>36</v>
      </c>
      <c r="E811" t="s">
        <v>30</v>
      </c>
      <c r="F811">
        <v>54</v>
      </c>
      <c r="G811" t="s">
        <v>37</v>
      </c>
      <c r="H811" t="s">
        <v>30</v>
      </c>
      <c r="I811">
        <v>56</v>
      </c>
      <c r="J811">
        <v>3</v>
      </c>
      <c r="K811">
        <v>7</v>
      </c>
      <c r="L811">
        <v>51</v>
      </c>
      <c r="M811" t="s">
        <v>20</v>
      </c>
      <c r="N811" t="s">
        <v>39</v>
      </c>
      <c r="O811">
        <v>21930</v>
      </c>
      <c r="P811">
        <v>166</v>
      </c>
      <c r="Q811" t="s">
        <v>37</v>
      </c>
      <c r="R811" t="str">
        <f t="shared" si="13"/>
        <v>Yes</v>
      </c>
    </row>
    <row r="812" spans="1:18" x14ac:dyDescent="0.35">
      <c r="A812" s="1">
        <v>40333</v>
      </c>
      <c r="B812">
        <v>0</v>
      </c>
      <c r="C812" t="s">
        <v>55</v>
      </c>
      <c r="D812" t="s">
        <v>29</v>
      </c>
      <c r="E812" t="s">
        <v>30</v>
      </c>
      <c r="F812">
        <v>55</v>
      </c>
      <c r="G812" t="s">
        <v>41</v>
      </c>
      <c r="H812" t="s">
        <v>30</v>
      </c>
      <c r="I812">
        <v>56</v>
      </c>
      <c r="J812">
        <v>5</v>
      </c>
      <c r="K812">
        <v>4</v>
      </c>
      <c r="L812">
        <v>66</v>
      </c>
      <c r="M812" t="s">
        <v>20</v>
      </c>
      <c r="N812" t="s">
        <v>42</v>
      </c>
      <c r="O812">
        <v>21703</v>
      </c>
      <c r="P812">
        <v>178</v>
      </c>
      <c r="Q812" t="s">
        <v>29</v>
      </c>
      <c r="R812" t="str">
        <f t="shared" si="13"/>
        <v>No</v>
      </c>
    </row>
    <row r="813" spans="1:18" x14ac:dyDescent="0.35">
      <c r="A813" s="1">
        <v>40333</v>
      </c>
      <c r="B813">
        <v>0</v>
      </c>
      <c r="C813" t="s">
        <v>55</v>
      </c>
      <c r="D813" t="s">
        <v>31</v>
      </c>
      <c r="E813" t="s">
        <v>30</v>
      </c>
      <c r="F813">
        <v>57</v>
      </c>
      <c r="G813" t="s">
        <v>40</v>
      </c>
      <c r="H813" t="s">
        <v>30</v>
      </c>
      <c r="I813">
        <v>54</v>
      </c>
      <c r="J813">
        <v>7</v>
      </c>
      <c r="K813">
        <v>1</v>
      </c>
      <c r="L813">
        <v>54</v>
      </c>
      <c r="M813" t="s">
        <v>20</v>
      </c>
      <c r="N813" t="s">
        <v>77</v>
      </c>
      <c r="O813">
        <v>29230</v>
      </c>
      <c r="P813">
        <v>165</v>
      </c>
      <c r="Q813" t="s">
        <v>31</v>
      </c>
      <c r="R813" t="str">
        <f t="shared" si="13"/>
        <v>No</v>
      </c>
    </row>
    <row r="814" spans="1:18" x14ac:dyDescent="0.35">
      <c r="A814" s="1">
        <v>40333</v>
      </c>
      <c r="B814">
        <v>0</v>
      </c>
      <c r="C814" t="s">
        <v>55</v>
      </c>
      <c r="D814" t="s">
        <v>44</v>
      </c>
      <c r="E814" t="s">
        <v>30</v>
      </c>
      <c r="F814">
        <v>55</v>
      </c>
      <c r="G814" t="s">
        <v>47</v>
      </c>
      <c r="H814" t="s">
        <v>30</v>
      </c>
      <c r="I814">
        <v>54</v>
      </c>
      <c r="J814">
        <v>6</v>
      </c>
      <c r="K814">
        <v>9</v>
      </c>
      <c r="L814">
        <v>51</v>
      </c>
      <c r="M814" t="s">
        <v>20</v>
      </c>
      <c r="N814" t="s">
        <v>48</v>
      </c>
      <c r="O814">
        <v>36245</v>
      </c>
      <c r="P814">
        <v>190</v>
      </c>
      <c r="Q814" t="s">
        <v>47</v>
      </c>
      <c r="R814" t="str">
        <f t="shared" si="13"/>
        <v>Yes</v>
      </c>
    </row>
    <row r="815" spans="1:18" x14ac:dyDescent="0.35">
      <c r="A815" s="1">
        <v>40333</v>
      </c>
      <c r="B815">
        <v>0</v>
      </c>
      <c r="C815" t="s">
        <v>55</v>
      </c>
      <c r="D815" t="s">
        <v>59</v>
      </c>
      <c r="E815" t="s">
        <v>30</v>
      </c>
      <c r="F815">
        <v>55</v>
      </c>
      <c r="G815" t="s">
        <v>46</v>
      </c>
      <c r="H815" t="s">
        <v>30</v>
      </c>
      <c r="I815">
        <v>56</v>
      </c>
      <c r="J815">
        <v>1</v>
      </c>
      <c r="K815">
        <v>6</v>
      </c>
      <c r="L815">
        <v>51</v>
      </c>
      <c r="M815" t="s">
        <v>20</v>
      </c>
      <c r="N815" t="s">
        <v>78</v>
      </c>
      <c r="O815">
        <v>30089</v>
      </c>
      <c r="P815">
        <v>167</v>
      </c>
      <c r="Q815" t="s">
        <v>46</v>
      </c>
      <c r="R815" t="str">
        <f t="shared" si="13"/>
        <v>Yes</v>
      </c>
    </row>
    <row r="816" spans="1:18" x14ac:dyDescent="0.35">
      <c r="A816" s="1">
        <v>40333</v>
      </c>
      <c r="B816">
        <v>0</v>
      </c>
      <c r="C816" t="s">
        <v>55</v>
      </c>
      <c r="D816" t="s">
        <v>63</v>
      </c>
      <c r="E816" t="s">
        <v>18</v>
      </c>
      <c r="F816">
        <v>54</v>
      </c>
      <c r="G816" t="s">
        <v>60</v>
      </c>
      <c r="H816" t="s">
        <v>18</v>
      </c>
      <c r="I816">
        <v>55</v>
      </c>
      <c r="J816">
        <v>6</v>
      </c>
      <c r="K816">
        <v>7</v>
      </c>
      <c r="L816">
        <v>52</v>
      </c>
      <c r="M816" t="s">
        <v>20</v>
      </c>
      <c r="N816" t="s">
        <v>61</v>
      </c>
      <c r="O816">
        <v>25290</v>
      </c>
      <c r="P816">
        <v>211</v>
      </c>
      <c r="Q816" t="s">
        <v>60</v>
      </c>
      <c r="R816" t="str">
        <f t="shared" si="13"/>
        <v>Yes</v>
      </c>
    </row>
    <row r="817" spans="1:18" x14ac:dyDescent="0.35">
      <c r="A817" s="1">
        <v>40333</v>
      </c>
      <c r="B817">
        <v>0</v>
      </c>
      <c r="C817" t="s">
        <v>55</v>
      </c>
      <c r="D817" t="s">
        <v>49</v>
      </c>
      <c r="E817" t="s">
        <v>18</v>
      </c>
      <c r="F817">
        <v>54</v>
      </c>
      <c r="G817" t="s">
        <v>66</v>
      </c>
      <c r="H817" t="s">
        <v>18</v>
      </c>
      <c r="I817">
        <v>55</v>
      </c>
      <c r="J817">
        <v>1</v>
      </c>
      <c r="K817">
        <v>3</v>
      </c>
      <c r="L817">
        <v>51</v>
      </c>
      <c r="M817" t="s">
        <v>20</v>
      </c>
      <c r="N817" t="s">
        <v>67</v>
      </c>
      <c r="O817">
        <v>28784</v>
      </c>
      <c r="P817">
        <v>150</v>
      </c>
      <c r="Q817" t="s">
        <v>66</v>
      </c>
      <c r="R817" t="str">
        <f t="shared" si="13"/>
        <v>Yes</v>
      </c>
    </row>
    <row r="818" spans="1:18" x14ac:dyDescent="0.35">
      <c r="A818" s="1">
        <v>40333</v>
      </c>
      <c r="B818">
        <v>0</v>
      </c>
      <c r="C818" t="s">
        <v>55</v>
      </c>
      <c r="D818" t="s">
        <v>50</v>
      </c>
      <c r="E818" t="s">
        <v>18</v>
      </c>
      <c r="F818">
        <v>55</v>
      </c>
      <c r="G818" t="s">
        <v>22</v>
      </c>
      <c r="H818" t="s">
        <v>18</v>
      </c>
      <c r="I818">
        <v>55</v>
      </c>
      <c r="J818">
        <v>4</v>
      </c>
      <c r="K818">
        <v>5</v>
      </c>
      <c r="L818">
        <v>51</v>
      </c>
      <c r="M818" t="s">
        <v>20</v>
      </c>
      <c r="N818" t="s">
        <v>85</v>
      </c>
      <c r="O818">
        <v>42459</v>
      </c>
      <c r="P818">
        <v>171</v>
      </c>
      <c r="Q818" t="s">
        <v>22</v>
      </c>
      <c r="R818" t="str">
        <f t="shared" si="13"/>
        <v>Yes</v>
      </c>
    </row>
    <row r="819" spans="1:18" x14ac:dyDescent="0.35">
      <c r="A819" s="1">
        <v>40333</v>
      </c>
      <c r="B819">
        <v>0</v>
      </c>
      <c r="C819" t="s">
        <v>55</v>
      </c>
      <c r="D819" t="s">
        <v>17</v>
      </c>
      <c r="E819" t="s">
        <v>18</v>
      </c>
      <c r="F819">
        <v>56</v>
      </c>
      <c r="G819" t="s">
        <v>19</v>
      </c>
      <c r="H819" t="s">
        <v>18</v>
      </c>
      <c r="I819">
        <v>55</v>
      </c>
      <c r="J819">
        <v>3</v>
      </c>
      <c r="K819">
        <v>4</v>
      </c>
      <c r="L819">
        <v>51</v>
      </c>
      <c r="M819" t="s">
        <v>20</v>
      </c>
      <c r="N819" t="s">
        <v>21</v>
      </c>
      <c r="O819">
        <v>30042</v>
      </c>
      <c r="P819">
        <v>165</v>
      </c>
      <c r="Q819" t="s">
        <v>19</v>
      </c>
      <c r="R819" t="str">
        <f t="shared" si="13"/>
        <v>Yes</v>
      </c>
    </row>
    <row r="820" spans="1:18" x14ac:dyDescent="0.35">
      <c r="A820" s="1">
        <v>40333</v>
      </c>
      <c r="B820">
        <v>0</v>
      </c>
      <c r="C820" t="s">
        <v>55</v>
      </c>
      <c r="D820" t="s">
        <v>62</v>
      </c>
      <c r="E820" t="s">
        <v>18</v>
      </c>
      <c r="F820">
        <v>54</v>
      </c>
      <c r="G820" t="s">
        <v>25</v>
      </c>
      <c r="H820" t="s">
        <v>18</v>
      </c>
      <c r="I820">
        <v>53</v>
      </c>
      <c r="J820">
        <v>2</v>
      </c>
      <c r="K820">
        <v>3</v>
      </c>
      <c r="L820">
        <v>51</v>
      </c>
      <c r="M820" t="s">
        <v>20</v>
      </c>
      <c r="N820" t="s">
        <v>80</v>
      </c>
      <c r="O820">
        <v>45080</v>
      </c>
      <c r="P820">
        <v>181</v>
      </c>
      <c r="Q820" t="s">
        <v>25</v>
      </c>
      <c r="R820" t="str">
        <f t="shared" si="13"/>
        <v>Yes</v>
      </c>
    </row>
    <row r="821" spans="1:18" x14ac:dyDescent="0.35">
      <c r="A821" s="1">
        <v>40333</v>
      </c>
      <c r="B821">
        <v>0</v>
      </c>
      <c r="C821" t="s">
        <v>55</v>
      </c>
      <c r="D821" t="s">
        <v>70</v>
      </c>
      <c r="E821" t="s">
        <v>18</v>
      </c>
      <c r="F821">
        <v>53</v>
      </c>
      <c r="G821" t="s">
        <v>23</v>
      </c>
      <c r="H821" t="s">
        <v>18</v>
      </c>
      <c r="I821">
        <v>54</v>
      </c>
      <c r="J821">
        <v>6</v>
      </c>
      <c r="K821">
        <v>4</v>
      </c>
      <c r="L821">
        <v>54</v>
      </c>
      <c r="M821" t="s">
        <v>20</v>
      </c>
      <c r="N821" t="s">
        <v>24</v>
      </c>
      <c r="O821">
        <v>17817</v>
      </c>
      <c r="P821">
        <v>141</v>
      </c>
      <c r="Q821" t="s">
        <v>70</v>
      </c>
      <c r="R821" t="str">
        <f t="shared" si="13"/>
        <v>No</v>
      </c>
    </row>
    <row r="822" spans="1:18" x14ac:dyDescent="0.35">
      <c r="A822" s="1">
        <v>40333</v>
      </c>
      <c r="B822">
        <v>0</v>
      </c>
      <c r="C822" t="s">
        <v>55</v>
      </c>
      <c r="D822" t="s">
        <v>68</v>
      </c>
      <c r="E822" t="s">
        <v>18</v>
      </c>
      <c r="F822">
        <v>55</v>
      </c>
      <c r="G822" t="s">
        <v>52</v>
      </c>
      <c r="H822" t="s">
        <v>18</v>
      </c>
      <c r="I822">
        <v>55</v>
      </c>
      <c r="J822">
        <v>0</v>
      </c>
      <c r="K822">
        <v>8</v>
      </c>
      <c r="L822">
        <v>51</v>
      </c>
      <c r="M822" t="s">
        <v>20</v>
      </c>
      <c r="N822" t="s">
        <v>82</v>
      </c>
      <c r="O822">
        <v>43261</v>
      </c>
      <c r="P822">
        <v>149</v>
      </c>
      <c r="Q822" t="s">
        <v>52</v>
      </c>
      <c r="R822" t="str">
        <f t="shared" si="13"/>
        <v>Yes</v>
      </c>
    </row>
    <row r="823" spans="1:18" x14ac:dyDescent="0.35">
      <c r="A823" s="1">
        <v>40333</v>
      </c>
      <c r="B823">
        <v>0</v>
      </c>
      <c r="C823" t="s">
        <v>55</v>
      </c>
      <c r="D823" t="s">
        <v>53</v>
      </c>
      <c r="E823" t="s">
        <v>18</v>
      </c>
      <c r="F823">
        <v>55</v>
      </c>
      <c r="G823" t="s">
        <v>26</v>
      </c>
      <c r="H823" t="s">
        <v>18</v>
      </c>
      <c r="I823">
        <v>56</v>
      </c>
      <c r="J823">
        <v>2</v>
      </c>
      <c r="K823">
        <v>4</v>
      </c>
      <c r="L823">
        <v>51</v>
      </c>
      <c r="M823" t="s">
        <v>20</v>
      </c>
      <c r="N823" t="s">
        <v>27</v>
      </c>
      <c r="O823">
        <v>33774</v>
      </c>
      <c r="P823">
        <v>208</v>
      </c>
      <c r="Q823" t="s">
        <v>26</v>
      </c>
      <c r="R823" t="str">
        <f t="shared" si="13"/>
        <v>Yes</v>
      </c>
    </row>
    <row r="824" spans="1:18" x14ac:dyDescent="0.35">
      <c r="A824" s="1">
        <v>40334</v>
      </c>
      <c r="B824">
        <v>0</v>
      </c>
      <c r="C824" t="s">
        <v>72</v>
      </c>
      <c r="D824" t="s">
        <v>58</v>
      </c>
      <c r="E824" t="s">
        <v>30</v>
      </c>
      <c r="F824">
        <v>57</v>
      </c>
      <c r="G824" t="s">
        <v>43</v>
      </c>
      <c r="H824" t="s">
        <v>30</v>
      </c>
      <c r="I824">
        <v>56</v>
      </c>
      <c r="J824">
        <v>8</v>
      </c>
      <c r="K824">
        <v>2</v>
      </c>
      <c r="L824">
        <v>54</v>
      </c>
      <c r="M824" t="s">
        <v>20</v>
      </c>
      <c r="N824" t="s">
        <v>56</v>
      </c>
      <c r="O824">
        <v>40001</v>
      </c>
      <c r="P824">
        <v>194</v>
      </c>
      <c r="Q824" t="s">
        <v>58</v>
      </c>
      <c r="R824" t="str">
        <f t="shared" si="13"/>
        <v>No</v>
      </c>
    </row>
    <row r="825" spans="1:18" x14ac:dyDescent="0.35">
      <c r="A825" s="1">
        <v>40334</v>
      </c>
      <c r="B825">
        <v>0</v>
      </c>
      <c r="C825" t="s">
        <v>72</v>
      </c>
      <c r="D825" t="s">
        <v>33</v>
      </c>
      <c r="E825" t="s">
        <v>30</v>
      </c>
      <c r="F825">
        <v>54</v>
      </c>
      <c r="G825" t="s">
        <v>34</v>
      </c>
      <c r="H825" t="s">
        <v>30</v>
      </c>
      <c r="I825">
        <v>55</v>
      </c>
      <c r="J825">
        <v>3</v>
      </c>
      <c r="K825">
        <v>1</v>
      </c>
      <c r="L825">
        <v>54</v>
      </c>
      <c r="M825" t="s">
        <v>20</v>
      </c>
      <c r="N825" t="s">
        <v>35</v>
      </c>
      <c r="O825">
        <v>30864</v>
      </c>
      <c r="P825">
        <v>169</v>
      </c>
      <c r="Q825" t="s">
        <v>33</v>
      </c>
      <c r="R825" t="str">
        <f t="shared" si="13"/>
        <v>No</v>
      </c>
    </row>
    <row r="826" spans="1:18" x14ac:dyDescent="0.35">
      <c r="A826" s="1">
        <v>40334</v>
      </c>
      <c r="B826">
        <v>0</v>
      </c>
      <c r="C826" t="s">
        <v>72</v>
      </c>
      <c r="D826" t="s">
        <v>36</v>
      </c>
      <c r="E826" t="s">
        <v>30</v>
      </c>
      <c r="F826">
        <v>55</v>
      </c>
      <c r="G826" t="s">
        <v>37</v>
      </c>
      <c r="H826" t="s">
        <v>30</v>
      </c>
      <c r="I826">
        <v>57</v>
      </c>
      <c r="J826">
        <v>4</v>
      </c>
      <c r="K826">
        <v>2</v>
      </c>
      <c r="L826">
        <v>54</v>
      </c>
      <c r="M826" t="s">
        <v>20</v>
      </c>
      <c r="N826" t="s">
        <v>39</v>
      </c>
      <c r="O826">
        <v>24383</v>
      </c>
      <c r="P826">
        <v>178</v>
      </c>
      <c r="Q826" t="s">
        <v>36</v>
      </c>
      <c r="R826" t="str">
        <f t="shared" si="13"/>
        <v>No</v>
      </c>
    </row>
    <row r="827" spans="1:18" x14ac:dyDescent="0.35">
      <c r="A827" s="1">
        <v>40334</v>
      </c>
      <c r="B827">
        <v>0</v>
      </c>
      <c r="C827" t="s">
        <v>72</v>
      </c>
      <c r="D827" t="s">
        <v>29</v>
      </c>
      <c r="E827" t="s">
        <v>30</v>
      </c>
      <c r="F827">
        <v>56</v>
      </c>
      <c r="G827" t="s">
        <v>41</v>
      </c>
      <c r="H827" t="s">
        <v>30</v>
      </c>
      <c r="I827">
        <v>57</v>
      </c>
      <c r="J827">
        <v>4</v>
      </c>
      <c r="K827">
        <v>3</v>
      </c>
      <c r="L827">
        <v>54</v>
      </c>
      <c r="M827" t="s">
        <v>20</v>
      </c>
      <c r="N827" t="s">
        <v>42</v>
      </c>
      <c r="O827">
        <v>16421</v>
      </c>
      <c r="P827">
        <v>171</v>
      </c>
      <c r="Q827" t="s">
        <v>29</v>
      </c>
      <c r="R827" t="str">
        <f t="shared" si="13"/>
        <v>No</v>
      </c>
    </row>
    <row r="828" spans="1:18" x14ac:dyDescent="0.35">
      <c r="A828" s="1">
        <v>40334</v>
      </c>
      <c r="B828">
        <v>0</v>
      </c>
      <c r="C828" t="s">
        <v>72</v>
      </c>
      <c r="D828" t="s">
        <v>31</v>
      </c>
      <c r="E828" t="s">
        <v>30</v>
      </c>
      <c r="F828">
        <v>58</v>
      </c>
      <c r="G828" t="s">
        <v>40</v>
      </c>
      <c r="H828" t="s">
        <v>30</v>
      </c>
      <c r="I828">
        <v>55</v>
      </c>
      <c r="J828">
        <v>11</v>
      </c>
      <c r="K828">
        <v>2</v>
      </c>
      <c r="L828">
        <v>54</v>
      </c>
      <c r="M828" t="s">
        <v>38</v>
      </c>
      <c r="N828" t="s">
        <v>77</v>
      </c>
      <c r="O828">
        <v>31548</v>
      </c>
      <c r="P828">
        <v>195</v>
      </c>
      <c r="Q828" t="s">
        <v>31</v>
      </c>
      <c r="R828" t="str">
        <f t="shared" si="13"/>
        <v>No</v>
      </c>
    </row>
    <row r="829" spans="1:18" x14ac:dyDescent="0.35">
      <c r="A829" s="1">
        <v>40334</v>
      </c>
      <c r="B829">
        <v>0</v>
      </c>
      <c r="C829" t="s">
        <v>72</v>
      </c>
      <c r="D829" t="s">
        <v>44</v>
      </c>
      <c r="E829" t="s">
        <v>30</v>
      </c>
      <c r="F829">
        <v>56</v>
      </c>
      <c r="G829" t="s">
        <v>47</v>
      </c>
      <c r="H829" t="s">
        <v>30</v>
      </c>
      <c r="I829">
        <v>55</v>
      </c>
      <c r="J829">
        <v>1</v>
      </c>
      <c r="K829">
        <v>6</v>
      </c>
      <c r="L829">
        <v>51</v>
      </c>
      <c r="M829" t="s">
        <v>38</v>
      </c>
      <c r="N829" t="s">
        <v>48</v>
      </c>
      <c r="O829">
        <v>25853</v>
      </c>
      <c r="P829">
        <v>145</v>
      </c>
      <c r="Q829" t="s">
        <v>47</v>
      </c>
      <c r="R829" t="str">
        <f t="shared" si="13"/>
        <v>Yes</v>
      </c>
    </row>
    <row r="830" spans="1:18" x14ac:dyDescent="0.35">
      <c r="A830" s="1">
        <v>40334</v>
      </c>
      <c r="B830">
        <v>0</v>
      </c>
      <c r="C830" t="s">
        <v>72</v>
      </c>
      <c r="D830" t="s">
        <v>59</v>
      </c>
      <c r="E830" t="s">
        <v>30</v>
      </c>
      <c r="F830">
        <v>56</v>
      </c>
      <c r="G830" t="s">
        <v>46</v>
      </c>
      <c r="H830" t="s">
        <v>30</v>
      </c>
      <c r="I830">
        <v>57</v>
      </c>
      <c r="J830">
        <v>2</v>
      </c>
      <c r="K830">
        <v>3</v>
      </c>
      <c r="L830">
        <v>82</v>
      </c>
      <c r="M830" t="s">
        <v>38</v>
      </c>
      <c r="N830" t="s">
        <v>78</v>
      </c>
      <c r="O830">
        <v>37165</v>
      </c>
      <c r="P830">
        <v>249</v>
      </c>
      <c r="Q830" t="s">
        <v>46</v>
      </c>
      <c r="R830" t="str">
        <f t="shared" si="13"/>
        <v>Yes</v>
      </c>
    </row>
    <row r="831" spans="1:18" x14ac:dyDescent="0.35">
      <c r="A831" s="1">
        <v>40334</v>
      </c>
      <c r="B831">
        <v>0</v>
      </c>
      <c r="C831" t="s">
        <v>72</v>
      </c>
      <c r="D831" t="s">
        <v>63</v>
      </c>
      <c r="E831" t="s">
        <v>18</v>
      </c>
      <c r="F831">
        <v>55</v>
      </c>
      <c r="G831" t="s">
        <v>60</v>
      </c>
      <c r="H831" t="s">
        <v>18</v>
      </c>
      <c r="I831">
        <v>56</v>
      </c>
      <c r="J831">
        <v>3</v>
      </c>
      <c r="K831">
        <v>4</v>
      </c>
      <c r="L831">
        <v>51</v>
      </c>
      <c r="M831" t="s">
        <v>20</v>
      </c>
      <c r="N831" t="s">
        <v>61</v>
      </c>
      <c r="O831">
        <v>28138</v>
      </c>
      <c r="P831">
        <v>190</v>
      </c>
      <c r="Q831" t="s">
        <v>60</v>
      </c>
      <c r="R831" t="str">
        <f t="shared" si="13"/>
        <v>Yes</v>
      </c>
    </row>
    <row r="832" spans="1:18" x14ac:dyDescent="0.35">
      <c r="A832" s="1">
        <v>40334</v>
      </c>
      <c r="B832">
        <v>0</v>
      </c>
      <c r="C832" t="s">
        <v>72</v>
      </c>
      <c r="D832" t="s">
        <v>49</v>
      </c>
      <c r="E832" t="s">
        <v>18</v>
      </c>
      <c r="F832">
        <v>55</v>
      </c>
      <c r="G832" t="s">
        <v>66</v>
      </c>
      <c r="H832" t="s">
        <v>18</v>
      </c>
      <c r="I832">
        <v>56</v>
      </c>
      <c r="J832">
        <v>8</v>
      </c>
      <c r="K832">
        <v>5</v>
      </c>
      <c r="L832">
        <v>54</v>
      </c>
      <c r="M832" t="s">
        <v>20</v>
      </c>
      <c r="N832" t="s">
        <v>67</v>
      </c>
      <c r="O832">
        <v>34241</v>
      </c>
      <c r="P832">
        <v>169</v>
      </c>
      <c r="Q832" t="s">
        <v>49</v>
      </c>
      <c r="R832" t="str">
        <f t="shared" si="13"/>
        <v>No</v>
      </c>
    </row>
    <row r="833" spans="1:18" x14ac:dyDescent="0.35">
      <c r="A833" s="1">
        <v>40334</v>
      </c>
      <c r="B833">
        <v>0</v>
      </c>
      <c r="C833" t="s">
        <v>72</v>
      </c>
      <c r="D833" t="s">
        <v>50</v>
      </c>
      <c r="E833" t="s">
        <v>18</v>
      </c>
      <c r="F833">
        <v>56</v>
      </c>
      <c r="G833" t="s">
        <v>22</v>
      </c>
      <c r="H833" t="s">
        <v>18</v>
      </c>
      <c r="I833">
        <v>56</v>
      </c>
      <c r="J833">
        <v>9</v>
      </c>
      <c r="K833">
        <v>3</v>
      </c>
      <c r="L833">
        <v>54</v>
      </c>
      <c r="M833" t="s">
        <v>20</v>
      </c>
      <c r="N833" t="s">
        <v>85</v>
      </c>
      <c r="O833">
        <v>48207</v>
      </c>
      <c r="P833">
        <v>215</v>
      </c>
      <c r="Q833" t="s">
        <v>50</v>
      </c>
      <c r="R833" t="str">
        <f t="shared" si="13"/>
        <v>No</v>
      </c>
    </row>
    <row r="834" spans="1:18" x14ac:dyDescent="0.35">
      <c r="A834" s="1">
        <v>40334</v>
      </c>
      <c r="B834">
        <v>0</v>
      </c>
      <c r="C834" t="s">
        <v>72</v>
      </c>
      <c r="D834" t="s">
        <v>17</v>
      </c>
      <c r="E834" t="s">
        <v>18</v>
      </c>
      <c r="F834">
        <v>57</v>
      </c>
      <c r="G834" t="s">
        <v>19</v>
      </c>
      <c r="H834" t="s">
        <v>18</v>
      </c>
      <c r="I834">
        <v>56</v>
      </c>
      <c r="J834">
        <v>1</v>
      </c>
      <c r="K834">
        <v>6</v>
      </c>
      <c r="L834">
        <v>51</v>
      </c>
      <c r="M834" t="s">
        <v>38</v>
      </c>
      <c r="N834" t="s">
        <v>21</v>
      </c>
      <c r="O834">
        <v>37165</v>
      </c>
      <c r="P834">
        <v>135</v>
      </c>
      <c r="Q834" t="s">
        <v>19</v>
      </c>
      <c r="R834" t="str">
        <f t="shared" si="13"/>
        <v>Yes</v>
      </c>
    </row>
    <row r="835" spans="1:18" x14ac:dyDescent="0.35">
      <c r="A835" s="1">
        <v>40334</v>
      </c>
      <c r="B835">
        <v>0</v>
      </c>
      <c r="C835" t="s">
        <v>72</v>
      </c>
      <c r="D835" t="s">
        <v>62</v>
      </c>
      <c r="E835" t="s">
        <v>18</v>
      </c>
      <c r="F835">
        <v>55</v>
      </c>
      <c r="G835" t="s">
        <v>25</v>
      </c>
      <c r="H835" t="s">
        <v>18</v>
      </c>
      <c r="I835">
        <v>54</v>
      </c>
      <c r="J835">
        <v>2</v>
      </c>
      <c r="K835">
        <v>6</v>
      </c>
      <c r="L835">
        <v>51</v>
      </c>
      <c r="M835" t="s">
        <v>20</v>
      </c>
      <c r="N835" t="s">
        <v>80</v>
      </c>
      <c r="O835">
        <v>45353</v>
      </c>
      <c r="P835">
        <v>122</v>
      </c>
      <c r="Q835" t="s">
        <v>25</v>
      </c>
      <c r="R835" t="str">
        <f t="shared" ref="R835:R898" si="14">IF(K835&gt;J835,"Yes","No")</f>
        <v>Yes</v>
      </c>
    </row>
    <row r="836" spans="1:18" x14ac:dyDescent="0.35">
      <c r="A836" s="1">
        <v>40334</v>
      </c>
      <c r="B836">
        <v>0</v>
      </c>
      <c r="C836" t="s">
        <v>72</v>
      </c>
      <c r="D836" t="s">
        <v>70</v>
      </c>
      <c r="E836" t="s">
        <v>18</v>
      </c>
      <c r="F836">
        <v>54</v>
      </c>
      <c r="G836" t="s">
        <v>23</v>
      </c>
      <c r="H836" t="s">
        <v>18</v>
      </c>
      <c r="I836">
        <v>55</v>
      </c>
      <c r="J836">
        <v>3</v>
      </c>
      <c r="K836">
        <v>6</v>
      </c>
      <c r="L836">
        <v>51</v>
      </c>
      <c r="M836" t="s">
        <v>20</v>
      </c>
      <c r="N836" t="s">
        <v>24</v>
      </c>
      <c r="O836">
        <v>36687</v>
      </c>
      <c r="P836">
        <v>173</v>
      </c>
      <c r="Q836" t="s">
        <v>23</v>
      </c>
      <c r="R836" t="str">
        <f t="shared" si="14"/>
        <v>Yes</v>
      </c>
    </row>
    <row r="837" spans="1:18" x14ac:dyDescent="0.35">
      <c r="A837" s="1">
        <v>40334</v>
      </c>
      <c r="B837">
        <v>0</v>
      </c>
      <c r="C837" t="s">
        <v>72</v>
      </c>
      <c r="D837" t="s">
        <v>68</v>
      </c>
      <c r="E837" t="s">
        <v>18</v>
      </c>
      <c r="F837">
        <v>56</v>
      </c>
      <c r="G837" t="s">
        <v>52</v>
      </c>
      <c r="H837" t="s">
        <v>18</v>
      </c>
      <c r="I837">
        <v>56</v>
      </c>
      <c r="J837">
        <v>4</v>
      </c>
      <c r="K837">
        <v>5</v>
      </c>
      <c r="L837">
        <v>64</v>
      </c>
      <c r="M837" t="s">
        <v>38</v>
      </c>
      <c r="N837" t="s">
        <v>82</v>
      </c>
      <c r="O837">
        <v>44180</v>
      </c>
      <c r="P837">
        <v>218</v>
      </c>
      <c r="Q837" t="s">
        <v>52</v>
      </c>
      <c r="R837" t="str">
        <f t="shared" si="14"/>
        <v>Yes</v>
      </c>
    </row>
    <row r="838" spans="1:18" x14ac:dyDescent="0.35">
      <c r="A838" s="1">
        <v>40334</v>
      </c>
      <c r="B838">
        <v>0</v>
      </c>
      <c r="C838" t="s">
        <v>72</v>
      </c>
      <c r="D838" t="s">
        <v>53</v>
      </c>
      <c r="E838" t="s">
        <v>18</v>
      </c>
      <c r="F838">
        <v>56</v>
      </c>
      <c r="G838" t="s">
        <v>26</v>
      </c>
      <c r="H838" t="s">
        <v>18</v>
      </c>
      <c r="I838">
        <v>57</v>
      </c>
      <c r="J838">
        <v>5</v>
      </c>
      <c r="K838">
        <v>1</v>
      </c>
      <c r="L838">
        <v>54</v>
      </c>
      <c r="M838" t="s">
        <v>20</v>
      </c>
      <c r="N838" t="s">
        <v>27</v>
      </c>
      <c r="O838">
        <v>22896</v>
      </c>
      <c r="P838">
        <v>183</v>
      </c>
      <c r="Q838" t="s">
        <v>53</v>
      </c>
      <c r="R838" t="str">
        <f t="shared" si="14"/>
        <v>No</v>
      </c>
    </row>
    <row r="839" spans="1:18" x14ac:dyDescent="0.35">
      <c r="A839" s="1">
        <v>40335</v>
      </c>
      <c r="B839">
        <v>0</v>
      </c>
      <c r="C839" t="s">
        <v>73</v>
      </c>
      <c r="D839" t="s">
        <v>58</v>
      </c>
      <c r="E839" t="s">
        <v>30</v>
      </c>
      <c r="F839">
        <v>58</v>
      </c>
      <c r="G839" t="s">
        <v>43</v>
      </c>
      <c r="H839" t="s">
        <v>30</v>
      </c>
      <c r="I839">
        <v>57</v>
      </c>
      <c r="J839">
        <v>3</v>
      </c>
      <c r="K839">
        <v>4</v>
      </c>
      <c r="L839">
        <v>64</v>
      </c>
      <c r="M839" t="s">
        <v>38</v>
      </c>
      <c r="N839" t="s">
        <v>56</v>
      </c>
      <c r="O839">
        <v>27774</v>
      </c>
      <c r="P839">
        <v>260</v>
      </c>
      <c r="Q839" t="s">
        <v>43</v>
      </c>
      <c r="R839" t="str">
        <f t="shared" si="14"/>
        <v>Yes</v>
      </c>
    </row>
    <row r="840" spans="1:18" x14ac:dyDescent="0.35">
      <c r="A840" s="1">
        <v>40335</v>
      </c>
      <c r="B840">
        <v>0</v>
      </c>
      <c r="C840" t="s">
        <v>73</v>
      </c>
      <c r="D840" t="s">
        <v>33</v>
      </c>
      <c r="E840" t="s">
        <v>30</v>
      </c>
      <c r="F840">
        <v>55</v>
      </c>
      <c r="G840" t="s">
        <v>34</v>
      </c>
      <c r="H840" t="s">
        <v>30</v>
      </c>
      <c r="I840">
        <v>56</v>
      </c>
      <c r="J840">
        <v>7</v>
      </c>
      <c r="K840">
        <v>8</v>
      </c>
      <c r="L840">
        <v>51</v>
      </c>
      <c r="M840" t="s">
        <v>38</v>
      </c>
      <c r="N840" t="s">
        <v>35</v>
      </c>
      <c r="O840">
        <v>27577</v>
      </c>
      <c r="P840">
        <v>197</v>
      </c>
      <c r="Q840" t="s">
        <v>34</v>
      </c>
      <c r="R840" t="str">
        <f t="shared" si="14"/>
        <v>Yes</v>
      </c>
    </row>
    <row r="841" spans="1:18" x14ac:dyDescent="0.35">
      <c r="A841" s="1">
        <v>40335</v>
      </c>
      <c r="B841">
        <v>0</v>
      </c>
      <c r="C841" t="s">
        <v>73</v>
      </c>
      <c r="D841" t="s">
        <v>36</v>
      </c>
      <c r="E841" t="s">
        <v>30</v>
      </c>
      <c r="F841">
        <v>56</v>
      </c>
      <c r="G841" t="s">
        <v>37</v>
      </c>
      <c r="H841" t="s">
        <v>30</v>
      </c>
      <c r="I841">
        <v>58</v>
      </c>
      <c r="J841">
        <v>2</v>
      </c>
      <c r="K841">
        <v>7</v>
      </c>
      <c r="L841">
        <v>51</v>
      </c>
      <c r="M841" t="s">
        <v>38</v>
      </c>
      <c r="N841" t="s">
        <v>39</v>
      </c>
      <c r="O841">
        <v>22240</v>
      </c>
      <c r="P841">
        <v>136</v>
      </c>
      <c r="Q841" t="s">
        <v>37</v>
      </c>
      <c r="R841" t="str">
        <f t="shared" si="14"/>
        <v>Yes</v>
      </c>
    </row>
    <row r="842" spans="1:18" x14ac:dyDescent="0.35">
      <c r="A842" s="1">
        <v>40335</v>
      </c>
      <c r="B842">
        <v>0</v>
      </c>
      <c r="C842" t="s">
        <v>73</v>
      </c>
      <c r="D842" t="s">
        <v>29</v>
      </c>
      <c r="E842" t="s">
        <v>30</v>
      </c>
      <c r="F842">
        <v>57</v>
      </c>
      <c r="G842" t="s">
        <v>41</v>
      </c>
      <c r="H842" t="s">
        <v>30</v>
      </c>
      <c r="I842">
        <v>58</v>
      </c>
      <c r="J842">
        <v>4</v>
      </c>
      <c r="K842">
        <v>5</v>
      </c>
      <c r="L842">
        <v>51</v>
      </c>
      <c r="M842" t="s">
        <v>38</v>
      </c>
      <c r="N842" t="s">
        <v>42</v>
      </c>
      <c r="O842">
        <v>20059</v>
      </c>
      <c r="P842">
        <v>165</v>
      </c>
      <c r="Q842" t="s">
        <v>41</v>
      </c>
      <c r="R842" t="str">
        <f t="shared" si="14"/>
        <v>Yes</v>
      </c>
    </row>
    <row r="843" spans="1:18" x14ac:dyDescent="0.35">
      <c r="A843" s="1">
        <v>40335</v>
      </c>
      <c r="B843">
        <v>0</v>
      </c>
      <c r="C843" t="s">
        <v>73</v>
      </c>
      <c r="D843" t="s">
        <v>31</v>
      </c>
      <c r="E843" t="s">
        <v>30</v>
      </c>
      <c r="F843">
        <v>59</v>
      </c>
      <c r="G843" t="s">
        <v>40</v>
      </c>
      <c r="H843" t="s">
        <v>30</v>
      </c>
      <c r="I843">
        <v>56</v>
      </c>
      <c r="J843">
        <v>9</v>
      </c>
      <c r="K843">
        <v>4</v>
      </c>
      <c r="L843">
        <v>54</v>
      </c>
      <c r="M843" t="s">
        <v>38</v>
      </c>
      <c r="N843" t="s">
        <v>77</v>
      </c>
      <c r="O843">
        <v>33076</v>
      </c>
      <c r="P843">
        <v>205</v>
      </c>
      <c r="Q843" t="s">
        <v>31</v>
      </c>
      <c r="R843" t="str">
        <f t="shared" si="14"/>
        <v>No</v>
      </c>
    </row>
    <row r="844" spans="1:18" x14ac:dyDescent="0.35">
      <c r="A844" s="1">
        <v>40335</v>
      </c>
      <c r="B844">
        <v>0</v>
      </c>
      <c r="C844" t="s">
        <v>73</v>
      </c>
      <c r="D844" t="s">
        <v>44</v>
      </c>
      <c r="E844" t="s">
        <v>30</v>
      </c>
      <c r="F844">
        <v>57</v>
      </c>
      <c r="G844" t="s">
        <v>47</v>
      </c>
      <c r="H844" t="s">
        <v>30</v>
      </c>
      <c r="I844">
        <v>56</v>
      </c>
      <c r="J844">
        <v>9</v>
      </c>
      <c r="K844">
        <v>5</v>
      </c>
      <c r="L844">
        <v>54</v>
      </c>
      <c r="M844" t="s">
        <v>38</v>
      </c>
      <c r="N844" t="s">
        <v>48</v>
      </c>
      <c r="O844">
        <v>26932</v>
      </c>
      <c r="P844">
        <v>246</v>
      </c>
      <c r="Q844" t="s">
        <v>44</v>
      </c>
      <c r="R844" t="str">
        <f t="shared" si="14"/>
        <v>No</v>
      </c>
    </row>
    <row r="845" spans="1:18" x14ac:dyDescent="0.35">
      <c r="A845" s="1">
        <v>40335</v>
      </c>
      <c r="B845">
        <v>0</v>
      </c>
      <c r="C845" t="s">
        <v>73</v>
      </c>
      <c r="D845" t="s">
        <v>59</v>
      </c>
      <c r="E845" t="s">
        <v>30</v>
      </c>
      <c r="F845">
        <v>57</v>
      </c>
      <c r="G845" t="s">
        <v>46</v>
      </c>
      <c r="H845" t="s">
        <v>30</v>
      </c>
      <c r="I845">
        <v>58</v>
      </c>
      <c r="J845">
        <v>4</v>
      </c>
      <c r="K845">
        <v>3</v>
      </c>
      <c r="L845">
        <v>54</v>
      </c>
      <c r="M845" t="s">
        <v>38</v>
      </c>
      <c r="N845" t="s">
        <v>78</v>
      </c>
      <c r="O845">
        <v>33622</v>
      </c>
      <c r="P845">
        <v>181</v>
      </c>
      <c r="Q845" t="s">
        <v>59</v>
      </c>
      <c r="R845" t="str">
        <f t="shared" si="14"/>
        <v>No</v>
      </c>
    </row>
    <row r="846" spans="1:18" x14ac:dyDescent="0.35">
      <c r="A846" s="1">
        <v>40335</v>
      </c>
      <c r="B846">
        <v>0</v>
      </c>
      <c r="C846" t="s">
        <v>73</v>
      </c>
      <c r="D846" t="s">
        <v>63</v>
      </c>
      <c r="E846" t="s">
        <v>18</v>
      </c>
      <c r="F846">
        <v>56</v>
      </c>
      <c r="G846" t="s">
        <v>60</v>
      </c>
      <c r="H846" t="s">
        <v>18</v>
      </c>
      <c r="I846">
        <v>57</v>
      </c>
      <c r="J846">
        <v>3</v>
      </c>
      <c r="K846">
        <v>2</v>
      </c>
      <c r="L846">
        <v>54</v>
      </c>
      <c r="M846" t="s">
        <v>38</v>
      </c>
      <c r="N846" t="s">
        <v>61</v>
      </c>
      <c r="O846">
        <v>20793</v>
      </c>
      <c r="P846">
        <v>160</v>
      </c>
      <c r="Q846" t="s">
        <v>63</v>
      </c>
      <c r="R846" t="str">
        <f t="shared" si="14"/>
        <v>No</v>
      </c>
    </row>
    <row r="847" spans="1:18" x14ac:dyDescent="0.35">
      <c r="A847" s="1">
        <v>40335</v>
      </c>
      <c r="B847">
        <v>0</v>
      </c>
      <c r="C847" t="s">
        <v>73</v>
      </c>
      <c r="D847" t="s">
        <v>49</v>
      </c>
      <c r="E847" t="s">
        <v>18</v>
      </c>
      <c r="F847">
        <v>56</v>
      </c>
      <c r="G847" t="s">
        <v>66</v>
      </c>
      <c r="H847" t="s">
        <v>18</v>
      </c>
      <c r="I847">
        <v>57</v>
      </c>
      <c r="J847">
        <v>3</v>
      </c>
      <c r="K847">
        <v>6</v>
      </c>
      <c r="L847">
        <v>51</v>
      </c>
      <c r="M847" t="s">
        <v>38</v>
      </c>
      <c r="N847" t="s">
        <v>67</v>
      </c>
      <c r="O847">
        <v>29493</v>
      </c>
      <c r="P847">
        <v>153</v>
      </c>
      <c r="Q847" t="s">
        <v>66</v>
      </c>
      <c r="R847" t="str">
        <f t="shared" si="14"/>
        <v>Yes</v>
      </c>
    </row>
    <row r="848" spans="1:18" x14ac:dyDescent="0.35">
      <c r="A848" s="1">
        <v>40335</v>
      </c>
      <c r="B848">
        <v>0</v>
      </c>
      <c r="C848" t="s">
        <v>73</v>
      </c>
      <c r="D848" t="s">
        <v>50</v>
      </c>
      <c r="E848" t="s">
        <v>18</v>
      </c>
      <c r="F848">
        <v>57</v>
      </c>
      <c r="G848" t="s">
        <v>22</v>
      </c>
      <c r="H848" t="s">
        <v>18</v>
      </c>
      <c r="I848">
        <v>57</v>
      </c>
      <c r="J848">
        <v>4</v>
      </c>
      <c r="K848">
        <v>5</v>
      </c>
      <c r="L848">
        <v>64</v>
      </c>
      <c r="M848" t="s">
        <v>38</v>
      </c>
      <c r="N848" t="s">
        <v>85</v>
      </c>
      <c r="O848">
        <v>37944</v>
      </c>
      <c r="P848">
        <v>217</v>
      </c>
      <c r="Q848" t="s">
        <v>22</v>
      </c>
      <c r="R848" t="str">
        <f t="shared" si="14"/>
        <v>Yes</v>
      </c>
    </row>
    <row r="849" spans="1:18" x14ac:dyDescent="0.35">
      <c r="A849" s="1">
        <v>40335</v>
      </c>
      <c r="B849">
        <v>0</v>
      </c>
      <c r="C849" t="s">
        <v>73</v>
      </c>
      <c r="D849" t="s">
        <v>17</v>
      </c>
      <c r="E849" t="s">
        <v>18</v>
      </c>
      <c r="F849">
        <v>58</v>
      </c>
      <c r="G849" t="s">
        <v>19</v>
      </c>
      <c r="H849" t="s">
        <v>18</v>
      </c>
      <c r="I849">
        <v>57</v>
      </c>
      <c r="J849">
        <v>6</v>
      </c>
      <c r="K849">
        <v>7</v>
      </c>
      <c r="L849">
        <v>51</v>
      </c>
      <c r="M849" t="s">
        <v>38</v>
      </c>
      <c r="N849" t="s">
        <v>21</v>
      </c>
      <c r="O849">
        <v>36612</v>
      </c>
      <c r="P849">
        <v>200</v>
      </c>
      <c r="Q849" t="s">
        <v>19</v>
      </c>
      <c r="R849" t="str">
        <f t="shared" si="14"/>
        <v>Yes</v>
      </c>
    </row>
    <row r="850" spans="1:18" x14ac:dyDescent="0.35">
      <c r="A850" s="1">
        <v>40335</v>
      </c>
      <c r="B850">
        <v>0</v>
      </c>
      <c r="C850" t="s">
        <v>73</v>
      </c>
      <c r="D850" t="s">
        <v>62</v>
      </c>
      <c r="E850" t="s">
        <v>18</v>
      </c>
      <c r="F850">
        <v>56</v>
      </c>
      <c r="G850" t="s">
        <v>25</v>
      </c>
      <c r="H850" t="s">
        <v>18</v>
      </c>
      <c r="I850">
        <v>55</v>
      </c>
      <c r="J850">
        <v>6</v>
      </c>
      <c r="K850">
        <v>5</v>
      </c>
      <c r="L850">
        <v>60</v>
      </c>
      <c r="M850" t="s">
        <v>38</v>
      </c>
      <c r="N850" t="s">
        <v>80</v>
      </c>
      <c r="O850">
        <v>44852</v>
      </c>
      <c r="P850">
        <v>221</v>
      </c>
      <c r="Q850" t="s">
        <v>62</v>
      </c>
      <c r="R850" t="str">
        <f t="shared" si="14"/>
        <v>No</v>
      </c>
    </row>
    <row r="851" spans="1:18" x14ac:dyDescent="0.35">
      <c r="A851" s="1">
        <v>40335</v>
      </c>
      <c r="B851">
        <v>0</v>
      </c>
      <c r="C851" t="s">
        <v>73</v>
      </c>
      <c r="D851" t="s">
        <v>70</v>
      </c>
      <c r="E851" t="s">
        <v>18</v>
      </c>
      <c r="F851">
        <v>55</v>
      </c>
      <c r="G851" t="s">
        <v>23</v>
      </c>
      <c r="H851" t="s">
        <v>18</v>
      </c>
      <c r="I851">
        <v>56</v>
      </c>
      <c r="J851">
        <v>6</v>
      </c>
      <c r="K851">
        <v>5</v>
      </c>
      <c r="L851">
        <v>60</v>
      </c>
      <c r="M851" t="s">
        <v>38</v>
      </c>
      <c r="N851" t="s">
        <v>24</v>
      </c>
      <c r="O851">
        <v>24068</v>
      </c>
      <c r="P851">
        <v>221</v>
      </c>
      <c r="Q851" t="s">
        <v>70</v>
      </c>
      <c r="R851" t="str">
        <f t="shared" si="14"/>
        <v>No</v>
      </c>
    </row>
    <row r="852" spans="1:18" x14ac:dyDescent="0.35">
      <c r="A852" s="1">
        <v>40335</v>
      </c>
      <c r="B852">
        <v>0</v>
      </c>
      <c r="C852" t="s">
        <v>73</v>
      </c>
      <c r="D852" t="s">
        <v>68</v>
      </c>
      <c r="E852" t="s">
        <v>18</v>
      </c>
      <c r="F852">
        <v>57</v>
      </c>
      <c r="G852" t="s">
        <v>52</v>
      </c>
      <c r="H852" t="s">
        <v>18</v>
      </c>
      <c r="I852">
        <v>57</v>
      </c>
      <c r="J852">
        <v>4</v>
      </c>
      <c r="K852">
        <v>3</v>
      </c>
      <c r="L852">
        <v>60</v>
      </c>
      <c r="M852" t="s">
        <v>20</v>
      </c>
      <c r="N852" t="s">
        <v>82</v>
      </c>
      <c r="O852">
        <v>40467</v>
      </c>
      <c r="P852">
        <v>216</v>
      </c>
      <c r="Q852" t="s">
        <v>68</v>
      </c>
      <c r="R852" t="str">
        <f t="shared" si="14"/>
        <v>No</v>
      </c>
    </row>
    <row r="853" spans="1:18" x14ac:dyDescent="0.35">
      <c r="A853" s="1">
        <v>40335</v>
      </c>
      <c r="B853">
        <v>0</v>
      </c>
      <c r="C853" t="s">
        <v>73</v>
      </c>
      <c r="D853" t="s">
        <v>53</v>
      </c>
      <c r="E853" t="s">
        <v>18</v>
      </c>
      <c r="F853">
        <v>57</v>
      </c>
      <c r="G853" t="s">
        <v>26</v>
      </c>
      <c r="H853" t="s">
        <v>18</v>
      </c>
      <c r="I853">
        <v>58</v>
      </c>
      <c r="J853">
        <v>5</v>
      </c>
      <c r="K853">
        <v>4</v>
      </c>
      <c r="L853">
        <v>60</v>
      </c>
      <c r="M853" t="s">
        <v>38</v>
      </c>
      <c r="N853" t="s">
        <v>27</v>
      </c>
      <c r="O853">
        <v>27202</v>
      </c>
      <c r="P853">
        <v>185</v>
      </c>
      <c r="Q853" t="s">
        <v>53</v>
      </c>
      <c r="R853" t="str">
        <f t="shared" si="14"/>
        <v>No</v>
      </c>
    </row>
    <row r="854" spans="1:18" x14ac:dyDescent="0.35">
      <c r="A854" s="1">
        <v>40336</v>
      </c>
      <c r="B854">
        <v>0</v>
      </c>
      <c r="C854" t="s">
        <v>74</v>
      </c>
      <c r="D854" t="s">
        <v>58</v>
      </c>
      <c r="E854" t="s">
        <v>30</v>
      </c>
      <c r="F854">
        <v>59</v>
      </c>
      <c r="G854" t="s">
        <v>33</v>
      </c>
      <c r="H854" t="s">
        <v>30</v>
      </c>
      <c r="I854">
        <v>56</v>
      </c>
      <c r="J854">
        <v>4</v>
      </c>
      <c r="K854">
        <v>1</v>
      </c>
      <c r="L854">
        <v>54</v>
      </c>
      <c r="M854" t="s">
        <v>20</v>
      </c>
      <c r="N854" t="s">
        <v>75</v>
      </c>
      <c r="O854">
        <v>14758</v>
      </c>
      <c r="P854">
        <v>180</v>
      </c>
      <c r="Q854" t="s">
        <v>58</v>
      </c>
      <c r="R854" t="str">
        <f t="shared" si="14"/>
        <v>No</v>
      </c>
    </row>
    <row r="855" spans="1:18" x14ac:dyDescent="0.35">
      <c r="A855" s="1">
        <v>40336</v>
      </c>
      <c r="B855">
        <v>0</v>
      </c>
      <c r="C855" t="s">
        <v>74</v>
      </c>
      <c r="D855" t="s">
        <v>31</v>
      </c>
      <c r="E855" t="s">
        <v>30</v>
      </c>
      <c r="F855">
        <v>60</v>
      </c>
      <c r="G855" t="s">
        <v>41</v>
      </c>
      <c r="H855" t="s">
        <v>30</v>
      </c>
      <c r="I855">
        <v>59</v>
      </c>
      <c r="J855">
        <v>4</v>
      </c>
      <c r="K855">
        <v>2</v>
      </c>
      <c r="L855">
        <v>54</v>
      </c>
      <c r="M855" t="s">
        <v>20</v>
      </c>
      <c r="N855" t="s">
        <v>42</v>
      </c>
      <c r="O855">
        <v>10071</v>
      </c>
      <c r="P855">
        <v>157</v>
      </c>
      <c r="Q855" t="s">
        <v>31</v>
      </c>
      <c r="R855" t="str">
        <f t="shared" si="14"/>
        <v>No</v>
      </c>
    </row>
    <row r="856" spans="1:18" x14ac:dyDescent="0.35">
      <c r="A856" s="1">
        <v>40336</v>
      </c>
      <c r="B856">
        <v>0</v>
      </c>
      <c r="C856" t="s">
        <v>74</v>
      </c>
      <c r="D856" t="s">
        <v>40</v>
      </c>
      <c r="E856" t="s">
        <v>30</v>
      </c>
      <c r="F856">
        <v>57</v>
      </c>
      <c r="G856" t="s">
        <v>47</v>
      </c>
      <c r="H856" t="s">
        <v>30</v>
      </c>
      <c r="I856">
        <v>57</v>
      </c>
      <c r="J856">
        <v>4</v>
      </c>
      <c r="K856">
        <v>2</v>
      </c>
      <c r="L856">
        <v>54</v>
      </c>
      <c r="M856" t="s">
        <v>20</v>
      </c>
      <c r="N856" t="s">
        <v>48</v>
      </c>
      <c r="O856">
        <v>20152</v>
      </c>
      <c r="P856">
        <v>160</v>
      </c>
      <c r="Q856" t="s">
        <v>40</v>
      </c>
      <c r="R856" t="str">
        <f t="shared" si="14"/>
        <v>No</v>
      </c>
    </row>
    <row r="857" spans="1:18" x14ac:dyDescent="0.35">
      <c r="A857" s="1">
        <v>40336</v>
      </c>
      <c r="B857">
        <v>0</v>
      </c>
      <c r="C857" t="s">
        <v>74</v>
      </c>
      <c r="D857" t="s">
        <v>50</v>
      </c>
      <c r="E857" t="s">
        <v>18</v>
      </c>
      <c r="F857">
        <v>58</v>
      </c>
      <c r="G857" t="s">
        <v>60</v>
      </c>
      <c r="H857" t="s">
        <v>18</v>
      </c>
      <c r="I857">
        <v>58</v>
      </c>
      <c r="J857">
        <v>4</v>
      </c>
      <c r="K857">
        <v>7</v>
      </c>
      <c r="L857">
        <v>51</v>
      </c>
      <c r="M857" t="s">
        <v>20</v>
      </c>
      <c r="N857" t="s">
        <v>61</v>
      </c>
      <c r="O857">
        <v>17731</v>
      </c>
      <c r="P857">
        <v>195</v>
      </c>
      <c r="Q857" t="s">
        <v>60</v>
      </c>
      <c r="R857" t="str">
        <f t="shared" si="14"/>
        <v>Yes</v>
      </c>
    </row>
    <row r="858" spans="1:18" x14ac:dyDescent="0.35">
      <c r="A858" s="1">
        <v>40336</v>
      </c>
      <c r="B858">
        <v>0</v>
      </c>
      <c r="C858" t="s">
        <v>74</v>
      </c>
      <c r="D858" t="s">
        <v>70</v>
      </c>
      <c r="E858" t="s">
        <v>18</v>
      </c>
      <c r="F858">
        <v>56</v>
      </c>
      <c r="G858" t="s">
        <v>53</v>
      </c>
      <c r="H858" t="s">
        <v>18</v>
      </c>
      <c r="I858">
        <v>58</v>
      </c>
      <c r="J858">
        <v>6</v>
      </c>
      <c r="K858">
        <v>5</v>
      </c>
      <c r="L858">
        <v>54</v>
      </c>
      <c r="M858" t="s">
        <v>20</v>
      </c>
      <c r="N858" t="s">
        <v>54</v>
      </c>
      <c r="O858">
        <v>18457</v>
      </c>
      <c r="P858">
        <v>180</v>
      </c>
      <c r="Q858" t="s">
        <v>70</v>
      </c>
      <c r="R858" t="str">
        <f t="shared" si="14"/>
        <v>No</v>
      </c>
    </row>
    <row r="859" spans="1:18" x14ac:dyDescent="0.35">
      <c r="A859" s="1">
        <v>40336</v>
      </c>
      <c r="B859">
        <v>0</v>
      </c>
      <c r="C859" t="s">
        <v>74</v>
      </c>
      <c r="D859" t="s">
        <v>66</v>
      </c>
      <c r="E859" t="s">
        <v>18</v>
      </c>
      <c r="F859">
        <v>58</v>
      </c>
      <c r="G859" t="s">
        <v>63</v>
      </c>
      <c r="H859" t="s">
        <v>18</v>
      </c>
      <c r="I859">
        <v>57</v>
      </c>
      <c r="J859">
        <v>1</v>
      </c>
      <c r="K859">
        <v>5</v>
      </c>
      <c r="L859">
        <v>51</v>
      </c>
      <c r="M859" t="s">
        <v>20</v>
      </c>
      <c r="N859" t="s">
        <v>64</v>
      </c>
      <c r="O859">
        <v>28251</v>
      </c>
      <c r="P859">
        <v>153</v>
      </c>
      <c r="Q859" t="s">
        <v>63</v>
      </c>
      <c r="R859" t="str">
        <f t="shared" si="14"/>
        <v>Yes</v>
      </c>
    </row>
    <row r="860" spans="1:18" x14ac:dyDescent="0.35">
      <c r="A860" s="1">
        <v>40336</v>
      </c>
      <c r="B860">
        <v>0</v>
      </c>
      <c r="C860" t="s">
        <v>74</v>
      </c>
      <c r="D860" t="s">
        <v>52</v>
      </c>
      <c r="E860" t="s">
        <v>18</v>
      </c>
      <c r="F860">
        <v>58</v>
      </c>
      <c r="G860" t="s">
        <v>22</v>
      </c>
      <c r="H860" t="s">
        <v>18</v>
      </c>
      <c r="I860">
        <v>58</v>
      </c>
      <c r="J860">
        <v>4</v>
      </c>
      <c r="K860">
        <v>12</v>
      </c>
      <c r="L860">
        <v>51</v>
      </c>
      <c r="M860" t="s">
        <v>20</v>
      </c>
      <c r="N860" t="s">
        <v>85</v>
      </c>
      <c r="O860">
        <v>44876</v>
      </c>
      <c r="P860">
        <v>166</v>
      </c>
      <c r="Q860" t="s">
        <v>22</v>
      </c>
      <c r="R860" t="str">
        <f t="shared" si="14"/>
        <v>Yes</v>
      </c>
    </row>
    <row r="861" spans="1:18" x14ac:dyDescent="0.35">
      <c r="A861" s="1">
        <v>40336</v>
      </c>
      <c r="B861">
        <v>0</v>
      </c>
      <c r="C861" t="s">
        <v>74</v>
      </c>
      <c r="D861" t="s">
        <v>62</v>
      </c>
      <c r="E861" t="s">
        <v>18</v>
      </c>
      <c r="F861">
        <v>57</v>
      </c>
      <c r="G861" t="s">
        <v>25</v>
      </c>
      <c r="H861" t="s">
        <v>18</v>
      </c>
      <c r="I861">
        <v>56</v>
      </c>
      <c r="J861">
        <v>3</v>
      </c>
      <c r="K861">
        <v>1</v>
      </c>
      <c r="L861">
        <v>54</v>
      </c>
      <c r="M861" t="s">
        <v>20</v>
      </c>
      <c r="N861" t="s">
        <v>80</v>
      </c>
      <c r="O861">
        <v>45398</v>
      </c>
      <c r="P861">
        <v>159</v>
      </c>
      <c r="Q861" t="s">
        <v>62</v>
      </c>
      <c r="R861" t="str">
        <f t="shared" si="14"/>
        <v>No</v>
      </c>
    </row>
    <row r="862" spans="1:18" x14ac:dyDescent="0.35">
      <c r="A862" s="1">
        <v>40336</v>
      </c>
      <c r="B862">
        <v>0</v>
      </c>
      <c r="C862" t="s">
        <v>74</v>
      </c>
      <c r="D862" t="s">
        <v>49</v>
      </c>
      <c r="E862" t="s">
        <v>18</v>
      </c>
      <c r="F862">
        <v>57</v>
      </c>
      <c r="G862" t="s">
        <v>23</v>
      </c>
      <c r="H862" t="s">
        <v>18</v>
      </c>
      <c r="I862">
        <v>57</v>
      </c>
      <c r="J862">
        <v>6</v>
      </c>
      <c r="K862">
        <v>1</v>
      </c>
      <c r="L862">
        <v>54</v>
      </c>
      <c r="M862" t="s">
        <v>38</v>
      </c>
      <c r="N862" t="s">
        <v>24</v>
      </c>
      <c r="O862">
        <v>12768</v>
      </c>
      <c r="P862">
        <v>166</v>
      </c>
      <c r="Q862" t="s">
        <v>49</v>
      </c>
      <c r="R862" t="str">
        <f t="shared" si="14"/>
        <v>No</v>
      </c>
    </row>
    <row r="863" spans="1:18" x14ac:dyDescent="0.35">
      <c r="A863" s="1">
        <v>40337</v>
      </c>
      <c r="B863">
        <v>0</v>
      </c>
      <c r="C863" t="s">
        <v>83</v>
      </c>
      <c r="D863" t="s">
        <v>59</v>
      </c>
      <c r="E863" t="s">
        <v>30</v>
      </c>
      <c r="F863">
        <v>58</v>
      </c>
      <c r="G863" t="s">
        <v>43</v>
      </c>
      <c r="H863" t="s">
        <v>30</v>
      </c>
      <c r="I863">
        <v>58</v>
      </c>
      <c r="J863">
        <v>12</v>
      </c>
      <c r="K863">
        <v>7</v>
      </c>
      <c r="L863">
        <v>54</v>
      </c>
      <c r="M863" t="s">
        <v>20</v>
      </c>
      <c r="N863" t="s">
        <v>56</v>
      </c>
      <c r="O863">
        <v>23171</v>
      </c>
      <c r="P863">
        <v>214</v>
      </c>
      <c r="Q863" t="s">
        <v>59</v>
      </c>
      <c r="R863" t="str">
        <f t="shared" si="14"/>
        <v>No</v>
      </c>
    </row>
    <row r="864" spans="1:18" x14ac:dyDescent="0.35">
      <c r="A864" s="1">
        <v>40337</v>
      </c>
      <c r="B864">
        <v>0</v>
      </c>
      <c r="C864" t="s">
        <v>83</v>
      </c>
      <c r="D864" t="s">
        <v>36</v>
      </c>
      <c r="E864" t="s">
        <v>30</v>
      </c>
      <c r="F864">
        <v>57</v>
      </c>
      <c r="G864" t="s">
        <v>34</v>
      </c>
      <c r="H864" t="s">
        <v>30</v>
      </c>
      <c r="I864">
        <v>57</v>
      </c>
      <c r="J864">
        <v>7</v>
      </c>
      <c r="K864">
        <v>2</v>
      </c>
      <c r="L864">
        <v>54</v>
      </c>
      <c r="M864" t="s">
        <v>20</v>
      </c>
      <c r="N864" t="s">
        <v>35</v>
      </c>
      <c r="O864">
        <v>20776</v>
      </c>
      <c r="P864">
        <v>179</v>
      </c>
      <c r="Q864" t="s">
        <v>36</v>
      </c>
      <c r="R864" t="str">
        <f t="shared" si="14"/>
        <v>No</v>
      </c>
    </row>
    <row r="865" spans="1:18" x14ac:dyDescent="0.35">
      <c r="A865" s="1">
        <v>40337</v>
      </c>
      <c r="B865">
        <v>0</v>
      </c>
      <c r="C865" t="s">
        <v>83</v>
      </c>
      <c r="D865" t="s">
        <v>58</v>
      </c>
      <c r="E865" t="s">
        <v>30</v>
      </c>
      <c r="F865">
        <v>60</v>
      </c>
      <c r="G865" t="s">
        <v>33</v>
      </c>
      <c r="H865" t="s">
        <v>30</v>
      </c>
      <c r="I865">
        <v>57</v>
      </c>
      <c r="J865">
        <v>3</v>
      </c>
      <c r="K865">
        <v>2</v>
      </c>
      <c r="L865">
        <v>54</v>
      </c>
      <c r="M865" t="s">
        <v>20</v>
      </c>
      <c r="N865" t="s">
        <v>75</v>
      </c>
      <c r="O865">
        <v>15462</v>
      </c>
      <c r="P865">
        <v>176</v>
      </c>
      <c r="Q865" t="s">
        <v>58</v>
      </c>
      <c r="R865" t="str">
        <f t="shared" si="14"/>
        <v>No</v>
      </c>
    </row>
    <row r="866" spans="1:18" x14ac:dyDescent="0.35">
      <c r="A866" s="1">
        <v>40337</v>
      </c>
      <c r="B866">
        <v>0</v>
      </c>
      <c r="C866" t="s">
        <v>83</v>
      </c>
      <c r="D866" t="s">
        <v>37</v>
      </c>
      <c r="E866" t="s">
        <v>30</v>
      </c>
      <c r="F866">
        <v>59</v>
      </c>
      <c r="G866" t="s">
        <v>29</v>
      </c>
      <c r="H866" t="s">
        <v>30</v>
      </c>
      <c r="I866">
        <v>58</v>
      </c>
      <c r="J866">
        <v>3</v>
      </c>
      <c r="K866">
        <v>7</v>
      </c>
      <c r="L866">
        <v>51</v>
      </c>
      <c r="M866" t="s">
        <v>20</v>
      </c>
      <c r="N866" t="s">
        <v>76</v>
      </c>
      <c r="O866">
        <v>38970</v>
      </c>
      <c r="P866">
        <v>165</v>
      </c>
      <c r="Q866" t="s">
        <v>29</v>
      </c>
      <c r="R866" t="str">
        <f t="shared" si="14"/>
        <v>Yes</v>
      </c>
    </row>
    <row r="867" spans="1:18" x14ac:dyDescent="0.35">
      <c r="A867" s="1">
        <v>40337</v>
      </c>
      <c r="B867">
        <v>0</v>
      </c>
      <c r="C867" t="s">
        <v>83</v>
      </c>
      <c r="D867" t="s">
        <v>31</v>
      </c>
      <c r="E867" t="s">
        <v>30</v>
      </c>
      <c r="F867">
        <v>61</v>
      </c>
      <c r="G867" t="s">
        <v>41</v>
      </c>
      <c r="H867" t="s">
        <v>30</v>
      </c>
      <c r="I867">
        <v>60</v>
      </c>
      <c r="J867">
        <v>1</v>
      </c>
      <c r="K867">
        <v>10</v>
      </c>
      <c r="L867">
        <v>51</v>
      </c>
      <c r="M867" t="s">
        <v>20</v>
      </c>
      <c r="N867" t="s">
        <v>42</v>
      </c>
      <c r="O867">
        <v>11860</v>
      </c>
      <c r="P867">
        <v>170</v>
      </c>
      <c r="Q867" t="s">
        <v>41</v>
      </c>
      <c r="R867" t="str">
        <f t="shared" si="14"/>
        <v>Yes</v>
      </c>
    </row>
    <row r="868" spans="1:18" x14ac:dyDescent="0.35">
      <c r="A868" s="1">
        <v>40337</v>
      </c>
      <c r="B868">
        <v>0</v>
      </c>
      <c r="C868" t="s">
        <v>83</v>
      </c>
      <c r="D868" t="s">
        <v>46</v>
      </c>
      <c r="E868" t="s">
        <v>30</v>
      </c>
      <c r="F868">
        <v>59</v>
      </c>
      <c r="G868" t="s">
        <v>44</v>
      </c>
      <c r="H868" t="s">
        <v>30</v>
      </c>
      <c r="I868">
        <v>58</v>
      </c>
      <c r="J868">
        <v>0</v>
      </c>
      <c r="K868">
        <v>9</v>
      </c>
      <c r="L868">
        <v>51</v>
      </c>
      <c r="M868" t="s">
        <v>20</v>
      </c>
      <c r="N868" t="s">
        <v>45</v>
      </c>
      <c r="O868">
        <v>12937</v>
      </c>
      <c r="P868">
        <v>174</v>
      </c>
      <c r="Q868" t="s">
        <v>44</v>
      </c>
      <c r="R868" t="str">
        <f t="shared" si="14"/>
        <v>Yes</v>
      </c>
    </row>
    <row r="869" spans="1:18" x14ac:dyDescent="0.35">
      <c r="A869" s="1">
        <v>40337</v>
      </c>
      <c r="B869">
        <v>0</v>
      </c>
      <c r="C869" t="s">
        <v>83</v>
      </c>
      <c r="D869" t="s">
        <v>40</v>
      </c>
      <c r="E869" t="s">
        <v>30</v>
      </c>
      <c r="F869">
        <v>58</v>
      </c>
      <c r="G869" t="s">
        <v>47</v>
      </c>
      <c r="H869" t="s">
        <v>30</v>
      </c>
      <c r="I869">
        <v>58</v>
      </c>
      <c r="J869">
        <v>1</v>
      </c>
      <c r="K869">
        <v>7</v>
      </c>
      <c r="L869">
        <v>51</v>
      </c>
      <c r="M869" t="s">
        <v>20</v>
      </c>
      <c r="N869" t="s">
        <v>48</v>
      </c>
      <c r="O869">
        <v>18774</v>
      </c>
      <c r="P869">
        <v>160</v>
      </c>
      <c r="Q869" t="s">
        <v>47</v>
      </c>
      <c r="R869" t="str">
        <f t="shared" si="14"/>
        <v>Yes</v>
      </c>
    </row>
    <row r="870" spans="1:18" x14ac:dyDescent="0.35">
      <c r="A870" s="1">
        <v>40337</v>
      </c>
      <c r="B870">
        <v>0</v>
      </c>
      <c r="C870" t="s">
        <v>83</v>
      </c>
      <c r="D870" t="s">
        <v>50</v>
      </c>
      <c r="E870" t="s">
        <v>18</v>
      </c>
      <c r="F870">
        <v>59</v>
      </c>
      <c r="G870" t="s">
        <v>60</v>
      </c>
      <c r="H870" t="s">
        <v>18</v>
      </c>
      <c r="I870">
        <v>59</v>
      </c>
      <c r="J870">
        <v>7</v>
      </c>
      <c r="K870">
        <v>5</v>
      </c>
      <c r="L870">
        <v>54</v>
      </c>
      <c r="M870" t="s">
        <v>20</v>
      </c>
      <c r="N870" t="s">
        <v>61</v>
      </c>
      <c r="O870">
        <v>17052</v>
      </c>
      <c r="P870">
        <v>185</v>
      </c>
      <c r="Q870" t="s">
        <v>50</v>
      </c>
      <c r="R870" t="str">
        <f t="shared" si="14"/>
        <v>No</v>
      </c>
    </row>
    <row r="871" spans="1:18" x14ac:dyDescent="0.35">
      <c r="A871" s="1">
        <v>40337</v>
      </c>
      <c r="B871">
        <v>0</v>
      </c>
      <c r="C871" t="s">
        <v>83</v>
      </c>
      <c r="D871" t="s">
        <v>70</v>
      </c>
      <c r="E871" t="s">
        <v>18</v>
      </c>
      <c r="F871">
        <v>57</v>
      </c>
      <c r="G871" t="s">
        <v>53</v>
      </c>
      <c r="H871" t="s">
        <v>18</v>
      </c>
      <c r="I871">
        <v>59</v>
      </c>
      <c r="J871">
        <v>3</v>
      </c>
      <c r="K871">
        <v>0</v>
      </c>
      <c r="L871">
        <v>54</v>
      </c>
      <c r="M871" t="s">
        <v>20</v>
      </c>
      <c r="N871" t="s">
        <v>54</v>
      </c>
      <c r="O871">
        <v>13011</v>
      </c>
      <c r="P871">
        <v>170</v>
      </c>
      <c r="Q871" t="s">
        <v>70</v>
      </c>
      <c r="R871" t="str">
        <f t="shared" si="14"/>
        <v>No</v>
      </c>
    </row>
    <row r="872" spans="1:18" x14ac:dyDescent="0.35">
      <c r="A872" s="1">
        <v>40337</v>
      </c>
      <c r="B872">
        <v>0</v>
      </c>
      <c r="C872" t="s">
        <v>83</v>
      </c>
      <c r="D872" t="s">
        <v>66</v>
      </c>
      <c r="E872" t="s">
        <v>18</v>
      </c>
      <c r="F872">
        <v>59</v>
      </c>
      <c r="G872" t="s">
        <v>63</v>
      </c>
      <c r="H872" t="s">
        <v>18</v>
      </c>
      <c r="I872">
        <v>58</v>
      </c>
      <c r="J872">
        <v>4</v>
      </c>
      <c r="K872">
        <v>3</v>
      </c>
      <c r="L872">
        <v>54</v>
      </c>
      <c r="M872" t="s">
        <v>20</v>
      </c>
      <c r="N872" t="s">
        <v>64</v>
      </c>
      <c r="O872">
        <v>26201</v>
      </c>
      <c r="P872">
        <v>158</v>
      </c>
      <c r="Q872" t="s">
        <v>66</v>
      </c>
      <c r="R872" t="str">
        <f t="shared" si="14"/>
        <v>No</v>
      </c>
    </row>
    <row r="873" spans="1:18" x14ac:dyDescent="0.35">
      <c r="A873" s="1">
        <v>40337</v>
      </c>
      <c r="B873">
        <v>0</v>
      </c>
      <c r="C873" t="s">
        <v>83</v>
      </c>
      <c r="D873" t="s">
        <v>52</v>
      </c>
      <c r="E873" t="s">
        <v>18</v>
      </c>
      <c r="F873">
        <v>59</v>
      </c>
      <c r="G873" t="s">
        <v>22</v>
      </c>
      <c r="H873" t="s">
        <v>18</v>
      </c>
      <c r="I873">
        <v>59</v>
      </c>
      <c r="J873">
        <v>0</v>
      </c>
      <c r="K873">
        <v>1</v>
      </c>
      <c r="L873">
        <v>51</v>
      </c>
      <c r="M873" t="s">
        <v>20</v>
      </c>
      <c r="N873" t="s">
        <v>85</v>
      </c>
      <c r="O873">
        <v>48046</v>
      </c>
      <c r="P873">
        <v>165</v>
      </c>
      <c r="Q873" t="s">
        <v>22</v>
      </c>
      <c r="R873" t="str">
        <f t="shared" si="14"/>
        <v>Yes</v>
      </c>
    </row>
    <row r="874" spans="1:18" x14ac:dyDescent="0.35">
      <c r="A874" s="1">
        <v>40337</v>
      </c>
      <c r="B874">
        <v>0</v>
      </c>
      <c r="C874" t="s">
        <v>83</v>
      </c>
      <c r="D874" t="s">
        <v>49</v>
      </c>
      <c r="E874" t="s">
        <v>18</v>
      </c>
      <c r="F874">
        <v>58</v>
      </c>
      <c r="G874" t="s">
        <v>68</v>
      </c>
      <c r="H874" t="s">
        <v>18</v>
      </c>
      <c r="I874">
        <v>58</v>
      </c>
      <c r="J874">
        <v>2</v>
      </c>
      <c r="K874">
        <v>3</v>
      </c>
      <c r="L874">
        <v>53</v>
      </c>
      <c r="M874" t="s">
        <v>20</v>
      </c>
      <c r="N874" t="s">
        <v>69</v>
      </c>
      <c r="O874">
        <v>30082</v>
      </c>
      <c r="P874">
        <v>152</v>
      </c>
      <c r="Q874" t="s">
        <v>68</v>
      </c>
      <c r="R874" t="str">
        <f t="shared" si="14"/>
        <v>Yes</v>
      </c>
    </row>
    <row r="875" spans="1:18" x14ac:dyDescent="0.35">
      <c r="A875" s="1">
        <v>40337</v>
      </c>
      <c r="B875">
        <v>0</v>
      </c>
      <c r="C875" t="s">
        <v>83</v>
      </c>
      <c r="D875" t="s">
        <v>62</v>
      </c>
      <c r="E875" t="s">
        <v>18</v>
      </c>
      <c r="F875">
        <v>58</v>
      </c>
      <c r="G875" t="s">
        <v>19</v>
      </c>
      <c r="H875" t="s">
        <v>18</v>
      </c>
      <c r="I875">
        <v>58</v>
      </c>
      <c r="J875">
        <v>1</v>
      </c>
      <c r="K875">
        <v>2</v>
      </c>
      <c r="L875">
        <v>63</v>
      </c>
      <c r="M875" t="s">
        <v>20</v>
      </c>
      <c r="N875" t="s">
        <v>21</v>
      </c>
      <c r="O875">
        <v>30086</v>
      </c>
      <c r="P875">
        <v>182</v>
      </c>
      <c r="Q875" t="s">
        <v>19</v>
      </c>
      <c r="R875" t="str">
        <f t="shared" si="14"/>
        <v>Yes</v>
      </c>
    </row>
    <row r="876" spans="1:18" x14ac:dyDescent="0.35">
      <c r="A876" s="1">
        <v>40337</v>
      </c>
      <c r="B876">
        <v>0</v>
      </c>
      <c r="C876" t="s">
        <v>83</v>
      </c>
      <c r="D876" t="s">
        <v>17</v>
      </c>
      <c r="E876" t="s">
        <v>18</v>
      </c>
      <c r="F876">
        <v>59</v>
      </c>
      <c r="G876" t="s">
        <v>25</v>
      </c>
      <c r="H876" t="s">
        <v>18</v>
      </c>
      <c r="I876">
        <v>57</v>
      </c>
      <c r="J876">
        <v>8</v>
      </c>
      <c r="K876">
        <v>10</v>
      </c>
      <c r="L876">
        <v>51</v>
      </c>
      <c r="M876" t="s">
        <v>20</v>
      </c>
      <c r="N876" t="s">
        <v>80</v>
      </c>
      <c r="O876">
        <v>44098</v>
      </c>
      <c r="P876">
        <v>194</v>
      </c>
      <c r="Q876" t="s">
        <v>25</v>
      </c>
      <c r="R876" t="str">
        <f t="shared" si="14"/>
        <v>Yes</v>
      </c>
    </row>
    <row r="877" spans="1:18" x14ac:dyDescent="0.35">
      <c r="A877" s="1">
        <v>40337</v>
      </c>
      <c r="B877">
        <v>0</v>
      </c>
      <c r="C877" t="s">
        <v>83</v>
      </c>
      <c r="D877" t="s">
        <v>23</v>
      </c>
      <c r="E877" t="s">
        <v>18</v>
      </c>
      <c r="F877">
        <v>58</v>
      </c>
      <c r="G877" t="s">
        <v>26</v>
      </c>
      <c r="H877" t="s">
        <v>18</v>
      </c>
      <c r="I877">
        <v>59</v>
      </c>
      <c r="J877">
        <v>2</v>
      </c>
      <c r="K877">
        <v>5</v>
      </c>
      <c r="L877">
        <v>51</v>
      </c>
      <c r="M877" t="s">
        <v>20</v>
      </c>
      <c r="N877" t="s">
        <v>27</v>
      </c>
      <c r="O877">
        <v>40315</v>
      </c>
      <c r="P877">
        <v>139</v>
      </c>
      <c r="Q877" t="s">
        <v>26</v>
      </c>
      <c r="R877" t="str">
        <f t="shared" si="14"/>
        <v>Yes</v>
      </c>
    </row>
    <row r="878" spans="1:18" x14ac:dyDescent="0.35">
      <c r="A878" s="1">
        <v>40338</v>
      </c>
      <c r="B878">
        <v>0</v>
      </c>
      <c r="C878" t="s">
        <v>16</v>
      </c>
      <c r="D878" t="s">
        <v>59</v>
      </c>
      <c r="E878" t="s">
        <v>30</v>
      </c>
      <c r="F878">
        <v>59</v>
      </c>
      <c r="G878" t="s">
        <v>43</v>
      </c>
      <c r="H878" t="s">
        <v>30</v>
      </c>
      <c r="I878">
        <v>59</v>
      </c>
      <c r="J878">
        <v>4</v>
      </c>
      <c r="K878">
        <v>2</v>
      </c>
      <c r="L878">
        <v>54</v>
      </c>
      <c r="M878" t="s">
        <v>20</v>
      </c>
      <c r="N878" t="s">
        <v>56</v>
      </c>
      <c r="O878">
        <v>16451</v>
      </c>
      <c r="P878">
        <v>198</v>
      </c>
      <c r="Q878" t="s">
        <v>59</v>
      </c>
      <c r="R878" t="str">
        <f t="shared" si="14"/>
        <v>No</v>
      </c>
    </row>
    <row r="879" spans="1:18" x14ac:dyDescent="0.35">
      <c r="A879" s="1">
        <v>40338</v>
      </c>
      <c r="B879">
        <v>0</v>
      </c>
      <c r="C879" t="s">
        <v>16</v>
      </c>
      <c r="D879" t="s">
        <v>36</v>
      </c>
      <c r="E879" t="s">
        <v>30</v>
      </c>
      <c r="F879">
        <v>58</v>
      </c>
      <c r="G879" t="s">
        <v>34</v>
      </c>
      <c r="H879" t="s">
        <v>30</v>
      </c>
      <c r="I879">
        <v>58</v>
      </c>
      <c r="J879">
        <v>3</v>
      </c>
      <c r="K879">
        <v>15</v>
      </c>
      <c r="L879">
        <v>51</v>
      </c>
      <c r="M879" t="s">
        <v>20</v>
      </c>
      <c r="N879" t="s">
        <v>35</v>
      </c>
      <c r="O879">
        <v>21959</v>
      </c>
      <c r="P879">
        <v>152</v>
      </c>
      <c r="Q879" t="s">
        <v>34</v>
      </c>
      <c r="R879" t="str">
        <f t="shared" si="14"/>
        <v>Yes</v>
      </c>
    </row>
    <row r="880" spans="1:18" x14ac:dyDescent="0.35">
      <c r="A880" s="1">
        <v>40338</v>
      </c>
      <c r="B880">
        <v>0</v>
      </c>
      <c r="C880" t="s">
        <v>16</v>
      </c>
      <c r="D880" t="s">
        <v>58</v>
      </c>
      <c r="E880" t="s">
        <v>30</v>
      </c>
      <c r="F880">
        <v>61</v>
      </c>
      <c r="G880" t="s">
        <v>33</v>
      </c>
      <c r="H880" t="s">
        <v>30</v>
      </c>
      <c r="I880">
        <v>58</v>
      </c>
      <c r="J880">
        <v>0</v>
      </c>
      <c r="K880">
        <v>11</v>
      </c>
      <c r="L880">
        <v>51</v>
      </c>
      <c r="M880" t="s">
        <v>20</v>
      </c>
      <c r="N880" t="s">
        <v>75</v>
      </c>
      <c r="O880">
        <v>14022</v>
      </c>
      <c r="P880">
        <v>162</v>
      </c>
      <c r="Q880" t="s">
        <v>33</v>
      </c>
      <c r="R880" t="str">
        <f t="shared" si="14"/>
        <v>Yes</v>
      </c>
    </row>
    <row r="881" spans="1:18" x14ac:dyDescent="0.35">
      <c r="A881" s="1">
        <v>40338</v>
      </c>
      <c r="B881">
        <v>0</v>
      </c>
      <c r="C881" t="s">
        <v>16</v>
      </c>
      <c r="D881" t="s">
        <v>37</v>
      </c>
      <c r="E881" t="s">
        <v>30</v>
      </c>
      <c r="F881">
        <v>60</v>
      </c>
      <c r="G881" t="s">
        <v>29</v>
      </c>
      <c r="H881" t="s">
        <v>30</v>
      </c>
      <c r="I881">
        <v>59</v>
      </c>
      <c r="J881">
        <v>2</v>
      </c>
      <c r="K881">
        <v>6</v>
      </c>
      <c r="L881">
        <v>51</v>
      </c>
      <c r="M881" t="s">
        <v>20</v>
      </c>
      <c r="N881" t="s">
        <v>76</v>
      </c>
      <c r="O881">
        <v>40323</v>
      </c>
      <c r="P881">
        <v>147</v>
      </c>
      <c r="Q881" t="s">
        <v>29</v>
      </c>
      <c r="R881" t="str">
        <f t="shared" si="14"/>
        <v>Yes</v>
      </c>
    </row>
    <row r="882" spans="1:18" x14ac:dyDescent="0.35">
      <c r="A882" s="1">
        <v>40338</v>
      </c>
      <c r="B882">
        <v>0</v>
      </c>
      <c r="C882" t="s">
        <v>16</v>
      </c>
      <c r="D882" t="s">
        <v>31</v>
      </c>
      <c r="E882" t="s">
        <v>30</v>
      </c>
      <c r="F882">
        <v>62</v>
      </c>
      <c r="G882" t="s">
        <v>41</v>
      </c>
      <c r="H882" t="s">
        <v>30</v>
      </c>
      <c r="I882">
        <v>61</v>
      </c>
      <c r="J882">
        <v>7</v>
      </c>
      <c r="K882">
        <v>1</v>
      </c>
      <c r="L882">
        <v>54</v>
      </c>
      <c r="M882" t="s">
        <v>20</v>
      </c>
      <c r="N882" t="s">
        <v>42</v>
      </c>
      <c r="O882">
        <v>18285</v>
      </c>
      <c r="P882">
        <v>146</v>
      </c>
      <c r="Q882" t="s">
        <v>31</v>
      </c>
      <c r="R882" t="str">
        <f t="shared" si="14"/>
        <v>No</v>
      </c>
    </row>
    <row r="883" spans="1:18" x14ac:dyDescent="0.35">
      <c r="A883" s="1">
        <v>40338</v>
      </c>
      <c r="B883">
        <v>0</v>
      </c>
      <c r="C883" t="s">
        <v>16</v>
      </c>
      <c r="D883" t="s">
        <v>46</v>
      </c>
      <c r="E883" t="s">
        <v>30</v>
      </c>
      <c r="F883">
        <v>60</v>
      </c>
      <c r="G883" t="s">
        <v>44</v>
      </c>
      <c r="H883" t="s">
        <v>30</v>
      </c>
      <c r="I883">
        <v>59</v>
      </c>
      <c r="J883">
        <v>1</v>
      </c>
      <c r="K883">
        <v>10</v>
      </c>
      <c r="L883">
        <v>51</v>
      </c>
      <c r="M883" t="s">
        <v>20</v>
      </c>
      <c r="N883" t="s">
        <v>45</v>
      </c>
      <c r="O883">
        <v>15886</v>
      </c>
      <c r="P883">
        <v>169</v>
      </c>
      <c r="Q883" t="s">
        <v>44</v>
      </c>
      <c r="R883" t="str">
        <f t="shared" si="14"/>
        <v>Yes</v>
      </c>
    </row>
    <row r="884" spans="1:18" x14ac:dyDescent="0.35">
      <c r="A884" s="1">
        <v>40338</v>
      </c>
      <c r="B884">
        <v>0</v>
      </c>
      <c r="C884" t="s">
        <v>16</v>
      </c>
      <c r="D884" t="s">
        <v>40</v>
      </c>
      <c r="E884" t="s">
        <v>30</v>
      </c>
      <c r="F884">
        <v>59</v>
      </c>
      <c r="G884" t="s">
        <v>47</v>
      </c>
      <c r="H884" t="s">
        <v>30</v>
      </c>
      <c r="I884">
        <v>59</v>
      </c>
      <c r="J884">
        <v>2</v>
      </c>
      <c r="K884">
        <v>12</v>
      </c>
      <c r="L884">
        <v>51</v>
      </c>
      <c r="M884" t="s">
        <v>20</v>
      </c>
      <c r="N884" t="s">
        <v>48</v>
      </c>
      <c r="O884">
        <v>26432</v>
      </c>
      <c r="P884">
        <v>170</v>
      </c>
      <c r="Q884" t="s">
        <v>47</v>
      </c>
      <c r="R884" t="str">
        <f t="shared" si="14"/>
        <v>Yes</v>
      </c>
    </row>
    <row r="885" spans="1:18" x14ac:dyDescent="0.35">
      <c r="A885" s="1">
        <v>40338</v>
      </c>
      <c r="B885">
        <v>0</v>
      </c>
      <c r="C885" t="s">
        <v>16</v>
      </c>
      <c r="D885" t="s">
        <v>50</v>
      </c>
      <c r="E885" t="s">
        <v>18</v>
      </c>
      <c r="F885">
        <v>60</v>
      </c>
      <c r="G885" t="s">
        <v>60</v>
      </c>
      <c r="H885" t="s">
        <v>18</v>
      </c>
      <c r="I885">
        <v>60</v>
      </c>
      <c r="J885">
        <v>1</v>
      </c>
      <c r="K885">
        <v>2</v>
      </c>
      <c r="L885">
        <v>51</v>
      </c>
      <c r="M885" t="s">
        <v>20</v>
      </c>
      <c r="N885" t="s">
        <v>61</v>
      </c>
      <c r="O885">
        <v>19138</v>
      </c>
      <c r="P885">
        <v>185</v>
      </c>
      <c r="Q885" t="s">
        <v>60</v>
      </c>
      <c r="R885" t="str">
        <f t="shared" si="14"/>
        <v>Yes</v>
      </c>
    </row>
    <row r="886" spans="1:18" x14ac:dyDescent="0.35">
      <c r="A886" s="1">
        <v>40338</v>
      </c>
      <c r="B886">
        <v>0</v>
      </c>
      <c r="C886" t="s">
        <v>16</v>
      </c>
      <c r="D886" t="s">
        <v>70</v>
      </c>
      <c r="E886" t="s">
        <v>18</v>
      </c>
      <c r="F886">
        <v>58</v>
      </c>
      <c r="G886" t="s">
        <v>53</v>
      </c>
      <c r="H886" t="s">
        <v>18</v>
      </c>
      <c r="I886">
        <v>60</v>
      </c>
      <c r="J886">
        <v>3</v>
      </c>
      <c r="K886">
        <v>6</v>
      </c>
      <c r="L886">
        <v>51</v>
      </c>
      <c r="M886" t="s">
        <v>20</v>
      </c>
      <c r="N886" t="s">
        <v>54</v>
      </c>
      <c r="O886">
        <v>14700</v>
      </c>
      <c r="P886">
        <v>160</v>
      </c>
      <c r="Q886" t="s">
        <v>53</v>
      </c>
      <c r="R886" t="str">
        <f t="shared" si="14"/>
        <v>Yes</v>
      </c>
    </row>
    <row r="887" spans="1:18" x14ac:dyDescent="0.35">
      <c r="A887" s="1">
        <v>40338</v>
      </c>
      <c r="B887">
        <v>0</v>
      </c>
      <c r="C887" t="s">
        <v>16</v>
      </c>
      <c r="D887" t="s">
        <v>66</v>
      </c>
      <c r="E887" t="s">
        <v>18</v>
      </c>
      <c r="F887">
        <v>60</v>
      </c>
      <c r="G887" t="s">
        <v>63</v>
      </c>
      <c r="H887" t="s">
        <v>18</v>
      </c>
      <c r="I887">
        <v>59</v>
      </c>
      <c r="J887">
        <v>6</v>
      </c>
      <c r="K887">
        <v>2</v>
      </c>
      <c r="L887">
        <v>60</v>
      </c>
      <c r="M887" t="s">
        <v>20</v>
      </c>
      <c r="N887" t="s">
        <v>64</v>
      </c>
      <c r="O887">
        <v>27114</v>
      </c>
      <c r="P887">
        <v>175</v>
      </c>
      <c r="Q887" t="s">
        <v>66</v>
      </c>
      <c r="R887" t="str">
        <f t="shared" si="14"/>
        <v>No</v>
      </c>
    </row>
    <row r="888" spans="1:18" x14ac:dyDescent="0.35">
      <c r="A888" s="1">
        <v>40338</v>
      </c>
      <c r="B888">
        <v>0</v>
      </c>
      <c r="C888" t="s">
        <v>16</v>
      </c>
      <c r="D888" t="s">
        <v>52</v>
      </c>
      <c r="E888" t="s">
        <v>18</v>
      </c>
      <c r="F888">
        <v>60</v>
      </c>
      <c r="G888" t="s">
        <v>22</v>
      </c>
      <c r="H888" t="s">
        <v>18</v>
      </c>
      <c r="I888">
        <v>60</v>
      </c>
      <c r="J888">
        <v>3</v>
      </c>
      <c r="K888">
        <v>4</v>
      </c>
      <c r="L888">
        <v>51</v>
      </c>
      <c r="M888" t="s">
        <v>20</v>
      </c>
      <c r="N888" t="s">
        <v>85</v>
      </c>
      <c r="O888">
        <v>43299</v>
      </c>
      <c r="P888">
        <v>165</v>
      </c>
      <c r="Q888" t="s">
        <v>22</v>
      </c>
      <c r="R888" t="str">
        <f t="shared" si="14"/>
        <v>Yes</v>
      </c>
    </row>
    <row r="889" spans="1:18" x14ac:dyDescent="0.35">
      <c r="A889" s="1">
        <v>40338</v>
      </c>
      <c r="B889">
        <v>0</v>
      </c>
      <c r="C889" t="s">
        <v>16</v>
      </c>
      <c r="D889" t="s">
        <v>49</v>
      </c>
      <c r="E889" t="s">
        <v>18</v>
      </c>
      <c r="F889">
        <v>59</v>
      </c>
      <c r="G889" t="s">
        <v>68</v>
      </c>
      <c r="H889" t="s">
        <v>18</v>
      </c>
      <c r="I889">
        <v>59</v>
      </c>
      <c r="J889">
        <v>9</v>
      </c>
      <c r="K889">
        <v>4</v>
      </c>
      <c r="L889">
        <v>54</v>
      </c>
      <c r="M889" t="s">
        <v>20</v>
      </c>
      <c r="N889" t="s">
        <v>69</v>
      </c>
      <c r="O889">
        <v>30326</v>
      </c>
      <c r="P889">
        <v>176</v>
      </c>
      <c r="Q889" t="s">
        <v>49</v>
      </c>
      <c r="R889" t="str">
        <f t="shared" si="14"/>
        <v>No</v>
      </c>
    </row>
    <row r="890" spans="1:18" x14ac:dyDescent="0.35">
      <c r="A890" s="1">
        <v>40338</v>
      </c>
      <c r="B890">
        <v>0</v>
      </c>
      <c r="C890" t="s">
        <v>16</v>
      </c>
      <c r="D890" t="s">
        <v>23</v>
      </c>
      <c r="E890" t="s">
        <v>18</v>
      </c>
      <c r="F890">
        <v>59</v>
      </c>
      <c r="G890" t="s">
        <v>26</v>
      </c>
      <c r="H890" t="s">
        <v>18</v>
      </c>
      <c r="I890">
        <v>60</v>
      </c>
      <c r="J890">
        <v>5</v>
      </c>
      <c r="K890">
        <v>7</v>
      </c>
      <c r="L890">
        <v>51</v>
      </c>
      <c r="M890" t="s">
        <v>20</v>
      </c>
      <c r="N890" t="s">
        <v>27</v>
      </c>
      <c r="O890">
        <v>18876</v>
      </c>
      <c r="P890">
        <v>175</v>
      </c>
      <c r="Q890" t="s">
        <v>26</v>
      </c>
      <c r="R890" t="str">
        <f t="shared" si="14"/>
        <v>Yes</v>
      </c>
    </row>
    <row r="891" spans="1:18" x14ac:dyDescent="0.35">
      <c r="A891" s="1">
        <v>40339</v>
      </c>
      <c r="B891">
        <v>0</v>
      </c>
      <c r="C891" t="s">
        <v>28</v>
      </c>
      <c r="D891" t="s">
        <v>59</v>
      </c>
      <c r="E891" t="s">
        <v>30</v>
      </c>
      <c r="F891">
        <v>60</v>
      </c>
      <c r="G891" t="s">
        <v>43</v>
      </c>
      <c r="H891" t="s">
        <v>30</v>
      </c>
      <c r="I891">
        <v>60</v>
      </c>
      <c r="J891">
        <v>3</v>
      </c>
      <c r="K891">
        <v>4</v>
      </c>
      <c r="L891">
        <v>51</v>
      </c>
      <c r="M891" t="s">
        <v>20</v>
      </c>
      <c r="N891" t="s">
        <v>56</v>
      </c>
      <c r="O891">
        <v>27064</v>
      </c>
      <c r="P891">
        <v>167</v>
      </c>
      <c r="Q891" t="s">
        <v>43</v>
      </c>
      <c r="R891" t="str">
        <f t="shared" si="14"/>
        <v>Yes</v>
      </c>
    </row>
    <row r="892" spans="1:18" x14ac:dyDescent="0.35">
      <c r="A892" s="1">
        <v>40339</v>
      </c>
      <c r="B892">
        <v>0</v>
      </c>
      <c r="C892" t="s">
        <v>28</v>
      </c>
      <c r="D892" t="s">
        <v>36</v>
      </c>
      <c r="E892" t="s">
        <v>30</v>
      </c>
      <c r="F892">
        <v>59</v>
      </c>
      <c r="G892" t="s">
        <v>34</v>
      </c>
      <c r="H892" t="s">
        <v>30</v>
      </c>
      <c r="I892">
        <v>59</v>
      </c>
      <c r="J892">
        <v>0</v>
      </c>
      <c r="K892">
        <v>3</v>
      </c>
      <c r="L892">
        <v>51</v>
      </c>
      <c r="M892" t="s">
        <v>38</v>
      </c>
      <c r="N892" t="s">
        <v>35</v>
      </c>
      <c r="O892">
        <v>26004</v>
      </c>
      <c r="P892">
        <v>135</v>
      </c>
      <c r="Q892" t="s">
        <v>34</v>
      </c>
      <c r="R892" t="str">
        <f t="shared" si="14"/>
        <v>Yes</v>
      </c>
    </row>
    <row r="893" spans="1:18" x14ac:dyDescent="0.35">
      <c r="A893" s="1">
        <v>40339</v>
      </c>
      <c r="B893">
        <v>0</v>
      </c>
      <c r="C893" t="s">
        <v>28</v>
      </c>
      <c r="D893" t="s">
        <v>58</v>
      </c>
      <c r="E893" t="s">
        <v>30</v>
      </c>
      <c r="F893">
        <v>62</v>
      </c>
      <c r="G893" t="s">
        <v>33</v>
      </c>
      <c r="H893" t="s">
        <v>30</v>
      </c>
      <c r="I893">
        <v>59</v>
      </c>
      <c r="J893">
        <v>7</v>
      </c>
      <c r="K893">
        <v>8</v>
      </c>
      <c r="L893">
        <v>53</v>
      </c>
      <c r="M893" t="s">
        <v>20</v>
      </c>
      <c r="N893" t="s">
        <v>75</v>
      </c>
      <c r="O893">
        <v>20446</v>
      </c>
      <c r="P893">
        <v>228</v>
      </c>
      <c r="Q893" t="s">
        <v>33</v>
      </c>
      <c r="R893" t="str">
        <f t="shared" si="14"/>
        <v>Yes</v>
      </c>
    </row>
    <row r="894" spans="1:18" x14ac:dyDescent="0.35">
      <c r="A894" s="1">
        <v>40339</v>
      </c>
      <c r="B894">
        <v>0</v>
      </c>
      <c r="C894" t="s">
        <v>28</v>
      </c>
      <c r="D894" t="s">
        <v>37</v>
      </c>
      <c r="E894" t="s">
        <v>30</v>
      </c>
      <c r="F894">
        <v>61</v>
      </c>
      <c r="G894" t="s">
        <v>29</v>
      </c>
      <c r="H894" t="s">
        <v>30</v>
      </c>
      <c r="I894">
        <v>60</v>
      </c>
      <c r="J894">
        <v>9</v>
      </c>
      <c r="K894">
        <v>8</v>
      </c>
      <c r="L894">
        <v>54</v>
      </c>
      <c r="M894" t="s">
        <v>20</v>
      </c>
      <c r="N894" t="s">
        <v>76</v>
      </c>
      <c r="O894">
        <v>39022</v>
      </c>
      <c r="P894">
        <v>185</v>
      </c>
      <c r="Q894" t="s">
        <v>37</v>
      </c>
      <c r="R894" t="str">
        <f t="shared" si="14"/>
        <v>No</v>
      </c>
    </row>
    <row r="895" spans="1:18" x14ac:dyDescent="0.35">
      <c r="A895" s="1">
        <v>40339</v>
      </c>
      <c r="B895">
        <v>0</v>
      </c>
      <c r="C895" t="s">
        <v>28</v>
      </c>
      <c r="D895" t="s">
        <v>31</v>
      </c>
      <c r="E895" t="s">
        <v>30</v>
      </c>
      <c r="F895">
        <v>63</v>
      </c>
      <c r="G895" t="s">
        <v>41</v>
      </c>
      <c r="H895" t="s">
        <v>30</v>
      </c>
      <c r="I895">
        <v>62</v>
      </c>
      <c r="J895">
        <v>1</v>
      </c>
      <c r="K895">
        <v>6</v>
      </c>
      <c r="L895">
        <v>51</v>
      </c>
      <c r="M895" t="s">
        <v>38</v>
      </c>
      <c r="N895" t="s">
        <v>42</v>
      </c>
      <c r="O895">
        <v>12328</v>
      </c>
      <c r="P895">
        <v>147</v>
      </c>
      <c r="Q895" t="s">
        <v>41</v>
      </c>
      <c r="R895" t="str">
        <f t="shared" si="14"/>
        <v>Yes</v>
      </c>
    </row>
    <row r="896" spans="1:18" x14ac:dyDescent="0.35">
      <c r="A896" s="1">
        <v>40339</v>
      </c>
      <c r="B896">
        <v>0</v>
      </c>
      <c r="C896" t="s">
        <v>28</v>
      </c>
      <c r="D896" t="s">
        <v>46</v>
      </c>
      <c r="E896" t="s">
        <v>30</v>
      </c>
      <c r="F896">
        <v>61</v>
      </c>
      <c r="G896" t="s">
        <v>44</v>
      </c>
      <c r="H896" t="s">
        <v>30</v>
      </c>
      <c r="I896">
        <v>60</v>
      </c>
      <c r="J896">
        <v>3</v>
      </c>
      <c r="K896">
        <v>2</v>
      </c>
      <c r="L896">
        <v>54</v>
      </c>
      <c r="M896" t="s">
        <v>20</v>
      </c>
      <c r="N896" t="s">
        <v>45</v>
      </c>
      <c r="O896">
        <v>13675</v>
      </c>
      <c r="P896">
        <v>178</v>
      </c>
      <c r="Q896" t="s">
        <v>46</v>
      </c>
      <c r="R896" t="str">
        <f t="shared" si="14"/>
        <v>No</v>
      </c>
    </row>
    <row r="897" spans="1:18" x14ac:dyDescent="0.35">
      <c r="A897" s="1">
        <v>40339</v>
      </c>
      <c r="B897">
        <v>0</v>
      </c>
      <c r="C897" t="s">
        <v>28</v>
      </c>
      <c r="D897" t="s">
        <v>40</v>
      </c>
      <c r="E897" t="s">
        <v>30</v>
      </c>
      <c r="F897">
        <v>60</v>
      </c>
      <c r="G897" t="s">
        <v>47</v>
      </c>
      <c r="H897" t="s">
        <v>30</v>
      </c>
      <c r="I897">
        <v>60</v>
      </c>
      <c r="J897">
        <v>3</v>
      </c>
      <c r="K897">
        <v>12</v>
      </c>
      <c r="L897">
        <v>51</v>
      </c>
      <c r="M897" t="s">
        <v>20</v>
      </c>
      <c r="N897" t="s">
        <v>48</v>
      </c>
      <c r="O897">
        <v>19674</v>
      </c>
      <c r="P897">
        <v>149</v>
      </c>
      <c r="Q897" t="s">
        <v>47</v>
      </c>
      <c r="R897" t="str">
        <f t="shared" si="14"/>
        <v>Yes</v>
      </c>
    </row>
    <row r="898" spans="1:18" x14ac:dyDescent="0.35">
      <c r="A898" s="1">
        <v>40339</v>
      </c>
      <c r="B898">
        <v>0</v>
      </c>
      <c r="C898" t="s">
        <v>28</v>
      </c>
      <c r="D898" t="s">
        <v>50</v>
      </c>
      <c r="E898" t="s">
        <v>18</v>
      </c>
      <c r="F898">
        <v>61</v>
      </c>
      <c r="G898" t="s">
        <v>60</v>
      </c>
      <c r="H898" t="s">
        <v>18</v>
      </c>
      <c r="I898">
        <v>61</v>
      </c>
      <c r="J898">
        <v>11</v>
      </c>
      <c r="K898">
        <v>7</v>
      </c>
      <c r="L898">
        <v>54</v>
      </c>
      <c r="M898" t="s">
        <v>38</v>
      </c>
      <c r="N898" t="s">
        <v>61</v>
      </c>
      <c r="O898">
        <v>26969</v>
      </c>
      <c r="P898">
        <v>233</v>
      </c>
      <c r="Q898" t="s">
        <v>50</v>
      </c>
      <c r="R898" t="str">
        <f t="shared" si="14"/>
        <v>No</v>
      </c>
    </row>
    <row r="899" spans="1:18" x14ac:dyDescent="0.35">
      <c r="A899" s="1">
        <v>40339</v>
      </c>
      <c r="B899">
        <v>0</v>
      </c>
      <c r="C899" t="s">
        <v>28</v>
      </c>
      <c r="D899" t="s">
        <v>70</v>
      </c>
      <c r="E899" t="s">
        <v>18</v>
      </c>
      <c r="F899">
        <v>59</v>
      </c>
      <c r="G899" t="s">
        <v>53</v>
      </c>
      <c r="H899" t="s">
        <v>18</v>
      </c>
      <c r="I899">
        <v>61</v>
      </c>
      <c r="J899">
        <v>6</v>
      </c>
      <c r="K899">
        <v>7</v>
      </c>
      <c r="L899">
        <v>51</v>
      </c>
      <c r="M899" t="s">
        <v>38</v>
      </c>
      <c r="N899" t="s">
        <v>54</v>
      </c>
      <c r="O899">
        <v>19241</v>
      </c>
      <c r="P899">
        <v>208</v>
      </c>
      <c r="Q899" t="s">
        <v>53</v>
      </c>
      <c r="R899" t="str">
        <f t="shared" ref="R899:R962" si="15">IF(K899&gt;J899,"Yes","No")</f>
        <v>Yes</v>
      </c>
    </row>
    <row r="900" spans="1:18" x14ac:dyDescent="0.35">
      <c r="A900" s="1">
        <v>40339</v>
      </c>
      <c r="B900">
        <v>0</v>
      </c>
      <c r="C900" t="s">
        <v>28</v>
      </c>
      <c r="D900" t="s">
        <v>66</v>
      </c>
      <c r="E900" t="s">
        <v>18</v>
      </c>
      <c r="F900">
        <v>61</v>
      </c>
      <c r="G900" t="s">
        <v>63</v>
      </c>
      <c r="H900" t="s">
        <v>18</v>
      </c>
      <c r="I900">
        <v>60</v>
      </c>
      <c r="J900">
        <v>5</v>
      </c>
      <c r="K900">
        <v>4</v>
      </c>
      <c r="L900">
        <v>54</v>
      </c>
      <c r="M900" t="s">
        <v>38</v>
      </c>
      <c r="N900" t="s">
        <v>64</v>
      </c>
      <c r="O900">
        <v>28329</v>
      </c>
      <c r="P900">
        <v>162</v>
      </c>
      <c r="Q900" t="s">
        <v>66</v>
      </c>
      <c r="R900" t="str">
        <f t="shared" si="15"/>
        <v>No</v>
      </c>
    </row>
    <row r="901" spans="1:18" x14ac:dyDescent="0.35">
      <c r="A901" s="1">
        <v>40339</v>
      </c>
      <c r="B901">
        <v>0</v>
      </c>
      <c r="C901" t="s">
        <v>28</v>
      </c>
      <c r="D901" t="s">
        <v>49</v>
      </c>
      <c r="E901" t="s">
        <v>18</v>
      </c>
      <c r="F901">
        <v>60</v>
      </c>
      <c r="G901" t="s">
        <v>68</v>
      </c>
      <c r="H901" t="s">
        <v>18</v>
      </c>
      <c r="I901">
        <v>60</v>
      </c>
      <c r="J901">
        <v>4</v>
      </c>
      <c r="K901">
        <v>5</v>
      </c>
      <c r="L901">
        <v>58</v>
      </c>
      <c r="M901" t="s">
        <v>38</v>
      </c>
      <c r="N901" t="s">
        <v>69</v>
      </c>
      <c r="O901">
        <v>36363</v>
      </c>
      <c r="P901">
        <v>236</v>
      </c>
      <c r="Q901" t="s">
        <v>68</v>
      </c>
      <c r="R901" t="str">
        <f t="shared" si="15"/>
        <v>Yes</v>
      </c>
    </row>
    <row r="902" spans="1:18" x14ac:dyDescent="0.35">
      <c r="A902" s="1">
        <v>40339</v>
      </c>
      <c r="B902">
        <v>1</v>
      </c>
      <c r="C902" t="s">
        <v>28</v>
      </c>
      <c r="D902" t="s">
        <v>62</v>
      </c>
      <c r="E902" t="s">
        <v>18</v>
      </c>
      <c r="F902">
        <v>59</v>
      </c>
      <c r="G902" t="s">
        <v>19</v>
      </c>
      <c r="H902" t="s">
        <v>18</v>
      </c>
      <c r="I902">
        <v>59</v>
      </c>
      <c r="J902">
        <v>4</v>
      </c>
      <c r="K902">
        <v>2</v>
      </c>
      <c r="L902">
        <v>54</v>
      </c>
      <c r="M902" t="s">
        <v>38</v>
      </c>
      <c r="N902" t="s">
        <v>21</v>
      </c>
      <c r="O902">
        <v>32365</v>
      </c>
      <c r="P902">
        <v>167</v>
      </c>
      <c r="Q902" t="s">
        <v>62</v>
      </c>
      <c r="R902" t="str">
        <f t="shared" si="15"/>
        <v>No</v>
      </c>
    </row>
    <row r="903" spans="1:18" x14ac:dyDescent="0.35">
      <c r="A903" s="1">
        <v>40339</v>
      </c>
      <c r="B903">
        <v>2</v>
      </c>
      <c r="C903" t="s">
        <v>28</v>
      </c>
      <c r="D903" t="s">
        <v>62</v>
      </c>
      <c r="E903" t="s">
        <v>18</v>
      </c>
      <c r="F903">
        <v>60</v>
      </c>
      <c r="G903" t="s">
        <v>19</v>
      </c>
      <c r="H903" t="s">
        <v>18</v>
      </c>
      <c r="I903">
        <v>60</v>
      </c>
      <c r="J903">
        <v>0</v>
      </c>
      <c r="K903">
        <v>3</v>
      </c>
      <c r="L903">
        <v>51</v>
      </c>
      <c r="M903" t="s">
        <v>20</v>
      </c>
      <c r="N903" t="s">
        <v>21</v>
      </c>
      <c r="O903">
        <v>28072</v>
      </c>
      <c r="P903">
        <v>138</v>
      </c>
      <c r="Q903" t="s">
        <v>19</v>
      </c>
      <c r="R903" t="str">
        <f t="shared" si="15"/>
        <v>Yes</v>
      </c>
    </row>
    <row r="904" spans="1:18" x14ac:dyDescent="0.35">
      <c r="A904" s="1">
        <v>40339</v>
      </c>
      <c r="B904">
        <v>0</v>
      </c>
      <c r="C904" t="s">
        <v>28</v>
      </c>
      <c r="D904" t="s">
        <v>17</v>
      </c>
      <c r="E904" t="s">
        <v>18</v>
      </c>
      <c r="F904">
        <v>60</v>
      </c>
      <c r="G904" t="s">
        <v>25</v>
      </c>
      <c r="H904" t="s">
        <v>18</v>
      </c>
      <c r="I904">
        <v>58</v>
      </c>
      <c r="J904">
        <v>2</v>
      </c>
      <c r="K904">
        <v>0</v>
      </c>
      <c r="L904">
        <v>54</v>
      </c>
      <c r="M904" t="s">
        <v>20</v>
      </c>
      <c r="N904" t="s">
        <v>80</v>
      </c>
      <c r="O904">
        <v>44479</v>
      </c>
      <c r="P904">
        <v>143</v>
      </c>
      <c r="Q904" t="s">
        <v>17</v>
      </c>
      <c r="R904" t="str">
        <f t="shared" si="15"/>
        <v>No</v>
      </c>
    </row>
    <row r="905" spans="1:18" x14ac:dyDescent="0.35">
      <c r="A905" s="1">
        <v>40339</v>
      </c>
      <c r="B905">
        <v>0</v>
      </c>
      <c r="C905" t="s">
        <v>28</v>
      </c>
      <c r="D905" t="s">
        <v>23</v>
      </c>
      <c r="E905" t="s">
        <v>18</v>
      </c>
      <c r="F905">
        <v>60</v>
      </c>
      <c r="G905" t="s">
        <v>26</v>
      </c>
      <c r="H905" t="s">
        <v>18</v>
      </c>
      <c r="I905">
        <v>61</v>
      </c>
      <c r="J905">
        <v>2</v>
      </c>
      <c r="K905">
        <v>4</v>
      </c>
      <c r="L905">
        <v>51</v>
      </c>
      <c r="M905" t="s">
        <v>20</v>
      </c>
      <c r="N905" t="s">
        <v>27</v>
      </c>
      <c r="O905">
        <v>21767</v>
      </c>
      <c r="P905">
        <v>172</v>
      </c>
      <c r="Q905" t="s">
        <v>26</v>
      </c>
      <c r="R905" t="str">
        <f t="shared" si="15"/>
        <v>Yes</v>
      </c>
    </row>
    <row r="906" spans="1:18" x14ac:dyDescent="0.35">
      <c r="A906" s="1">
        <v>40340</v>
      </c>
      <c r="B906">
        <v>0</v>
      </c>
      <c r="C906" t="s">
        <v>55</v>
      </c>
      <c r="D906" t="s">
        <v>19</v>
      </c>
      <c r="E906" t="s">
        <v>18</v>
      </c>
      <c r="F906">
        <v>61</v>
      </c>
      <c r="G906" t="s">
        <v>43</v>
      </c>
      <c r="H906" t="s">
        <v>30</v>
      </c>
      <c r="I906">
        <v>61</v>
      </c>
      <c r="J906">
        <v>5</v>
      </c>
      <c r="K906">
        <v>1</v>
      </c>
      <c r="L906">
        <v>54</v>
      </c>
      <c r="M906" t="s">
        <v>20</v>
      </c>
      <c r="N906" t="s">
        <v>56</v>
      </c>
      <c r="O906">
        <v>28554</v>
      </c>
      <c r="P906">
        <v>155</v>
      </c>
      <c r="Q906" t="s">
        <v>19</v>
      </c>
      <c r="R906" t="str">
        <f t="shared" si="15"/>
        <v>No</v>
      </c>
    </row>
    <row r="907" spans="1:18" x14ac:dyDescent="0.35">
      <c r="A907" s="1">
        <v>40340</v>
      </c>
      <c r="B907">
        <v>0</v>
      </c>
      <c r="C907" t="s">
        <v>55</v>
      </c>
      <c r="D907" t="s">
        <v>25</v>
      </c>
      <c r="E907" t="s">
        <v>18</v>
      </c>
      <c r="F907">
        <v>59</v>
      </c>
      <c r="G907" t="s">
        <v>58</v>
      </c>
      <c r="H907" t="s">
        <v>30</v>
      </c>
      <c r="I907">
        <v>63</v>
      </c>
      <c r="J907">
        <v>2</v>
      </c>
      <c r="K907">
        <v>12</v>
      </c>
      <c r="L907">
        <v>51</v>
      </c>
      <c r="M907" t="s">
        <v>20</v>
      </c>
      <c r="N907" t="s">
        <v>86</v>
      </c>
      <c r="O907">
        <v>38021</v>
      </c>
      <c r="P907">
        <v>163</v>
      </c>
      <c r="Q907" t="s">
        <v>58</v>
      </c>
      <c r="R907" t="str">
        <f t="shared" si="15"/>
        <v>Yes</v>
      </c>
    </row>
    <row r="908" spans="1:18" x14ac:dyDescent="0.35">
      <c r="A908" s="1">
        <v>40340</v>
      </c>
      <c r="B908">
        <v>0</v>
      </c>
      <c r="C908" t="s">
        <v>55</v>
      </c>
      <c r="D908" t="s">
        <v>26</v>
      </c>
      <c r="E908" t="s">
        <v>18</v>
      </c>
      <c r="F908">
        <v>62</v>
      </c>
      <c r="G908" t="s">
        <v>33</v>
      </c>
      <c r="H908" t="s">
        <v>30</v>
      </c>
      <c r="I908">
        <v>60</v>
      </c>
      <c r="J908">
        <v>2</v>
      </c>
      <c r="K908">
        <v>7</v>
      </c>
      <c r="L908">
        <v>51</v>
      </c>
      <c r="M908" t="s">
        <v>20</v>
      </c>
      <c r="N908" t="s">
        <v>75</v>
      </c>
      <c r="O908">
        <v>22041</v>
      </c>
      <c r="P908">
        <v>164</v>
      </c>
      <c r="Q908" t="s">
        <v>33</v>
      </c>
      <c r="R908" t="str">
        <f t="shared" si="15"/>
        <v>Yes</v>
      </c>
    </row>
    <row r="909" spans="1:18" x14ac:dyDescent="0.35">
      <c r="A909" s="1">
        <v>40340</v>
      </c>
      <c r="B909">
        <v>0</v>
      </c>
      <c r="C909" t="s">
        <v>55</v>
      </c>
      <c r="D909" t="s">
        <v>23</v>
      </c>
      <c r="E909" t="s">
        <v>18</v>
      </c>
      <c r="F909">
        <v>61</v>
      </c>
      <c r="G909" t="s">
        <v>36</v>
      </c>
      <c r="H909" t="s">
        <v>30</v>
      </c>
      <c r="I909">
        <v>60</v>
      </c>
      <c r="J909">
        <v>2</v>
      </c>
      <c r="K909">
        <v>6</v>
      </c>
      <c r="L909">
        <v>51</v>
      </c>
      <c r="M909" t="s">
        <v>20</v>
      </c>
      <c r="N909" t="s">
        <v>57</v>
      </c>
      <c r="O909">
        <v>33236</v>
      </c>
      <c r="P909">
        <v>163</v>
      </c>
      <c r="Q909" t="s">
        <v>36</v>
      </c>
      <c r="R909" t="str">
        <f t="shared" si="15"/>
        <v>Yes</v>
      </c>
    </row>
    <row r="910" spans="1:18" x14ac:dyDescent="0.35">
      <c r="A910" s="1">
        <v>40340</v>
      </c>
      <c r="B910">
        <v>0</v>
      </c>
      <c r="C910" t="s">
        <v>55</v>
      </c>
      <c r="D910" t="s">
        <v>50</v>
      </c>
      <c r="E910" t="s">
        <v>18</v>
      </c>
      <c r="F910">
        <v>62</v>
      </c>
      <c r="G910" t="s">
        <v>29</v>
      </c>
      <c r="H910" t="s">
        <v>30</v>
      </c>
      <c r="I910">
        <v>61</v>
      </c>
      <c r="J910">
        <v>1</v>
      </c>
      <c r="K910">
        <v>2</v>
      </c>
      <c r="L910">
        <v>51</v>
      </c>
      <c r="M910" t="s">
        <v>20</v>
      </c>
      <c r="N910" t="s">
        <v>76</v>
      </c>
      <c r="O910">
        <v>39428</v>
      </c>
      <c r="P910">
        <v>126</v>
      </c>
      <c r="Q910" t="s">
        <v>29</v>
      </c>
      <c r="R910" t="str">
        <f t="shared" si="15"/>
        <v>Yes</v>
      </c>
    </row>
    <row r="911" spans="1:18" x14ac:dyDescent="0.35">
      <c r="A911" s="1">
        <v>40340</v>
      </c>
      <c r="B911">
        <v>0</v>
      </c>
      <c r="C911" t="s">
        <v>55</v>
      </c>
      <c r="D911" t="s">
        <v>66</v>
      </c>
      <c r="E911" t="s">
        <v>18</v>
      </c>
      <c r="F911">
        <v>62</v>
      </c>
      <c r="G911" t="s">
        <v>59</v>
      </c>
      <c r="H911" t="s">
        <v>30</v>
      </c>
      <c r="I911">
        <v>61</v>
      </c>
      <c r="J911">
        <v>3</v>
      </c>
      <c r="K911">
        <v>4</v>
      </c>
      <c r="L911">
        <v>51</v>
      </c>
      <c r="M911" t="s">
        <v>20</v>
      </c>
      <c r="N911" t="s">
        <v>84</v>
      </c>
      <c r="O911">
        <v>46883</v>
      </c>
      <c r="P911">
        <v>139</v>
      </c>
      <c r="Q911" t="s">
        <v>59</v>
      </c>
      <c r="R911" t="str">
        <f t="shared" si="15"/>
        <v>Yes</v>
      </c>
    </row>
    <row r="912" spans="1:18" x14ac:dyDescent="0.35">
      <c r="A912" s="1">
        <v>40340</v>
      </c>
      <c r="B912">
        <v>0</v>
      </c>
      <c r="C912" t="s">
        <v>55</v>
      </c>
      <c r="D912" t="s">
        <v>17</v>
      </c>
      <c r="E912" t="s">
        <v>18</v>
      </c>
      <c r="F912">
        <v>61</v>
      </c>
      <c r="G912" t="s">
        <v>44</v>
      </c>
      <c r="H912" t="s">
        <v>30</v>
      </c>
      <c r="I912">
        <v>61</v>
      </c>
      <c r="J912">
        <v>14</v>
      </c>
      <c r="K912">
        <v>9</v>
      </c>
      <c r="L912">
        <v>54</v>
      </c>
      <c r="M912" t="s">
        <v>20</v>
      </c>
      <c r="N912" t="s">
        <v>45</v>
      </c>
      <c r="O912">
        <v>19338</v>
      </c>
      <c r="P912">
        <v>195</v>
      </c>
      <c r="Q912" t="s">
        <v>17</v>
      </c>
      <c r="R912" t="str">
        <f t="shared" si="15"/>
        <v>No</v>
      </c>
    </row>
    <row r="913" spans="1:18" x14ac:dyDescent="0.35">
      <c r="A913" s="1">
        <v>40340</v>
      </c>
      <c r="B913">
        <v>0</v>
      </c>
      <c r="C913" t="s">
        <v>55</v>
      </c>
      <c r="D913" t="s">
        <v>52</v>
      </c>
      <c r="E913" t="s">
        <v>18</v>
      </c>
      <c r="F913">
        <v>61</v>
      </c>
      <c r="G913" t="s">
        <v>60</v>
      </c>
      <c r="H913" t="s">
        <v>18</v>
      </c>
      <c r="I913">
        <v>62</v>
      </c>
      <c r="J913">
        <v>5</v>
      </c>
      <c r="K913">
        <v>2</v>
      </c>
      <c r="L913">
        <v>54</v>
      </c>
      <c r="M913" t="s">
        <v>20</v>
      </c>
      <c r="N913" t="s">
        <v>61</v>
      </c>
      <c r="O913">
        <v>20629</v>
      </c>
      <c r="P913">
        <v>185</v>
      </c>
      <c r="Q913" t="s">
        <v>52</v>
      </c>
      <c r="R913" t="str">
        <f t="shared" si="15"/>
        <v>No</v>
      </c>
    </row>
    <row r="914" spans="1:18" x14ac:dyDescent="0.35">
      <c r="A914" s="1">
        <v>40340</v>
      </c>
      <c r="B914">
        <v>0</v>
      </c>
      <c r="C914" t="s">
        <v>55</v>
      </c>
      <c r="D914" t="s">
        <v>34</v>
      </c>
      <c r="E914" t="s">
        <v>30</v>
      </c>
      <c r="F914">
        <v>60</v>
      </c>
      <c r="G914" t="s">
        <v>49</v>
      </c>
      <c r="H914" t="s">
        <v>18</v>
      </c>
      <c r="I914">
        <v>61</v>
      </c>
      <c r="J914">
        <v>10</v>
      </c>
      <c r="K914">
        <v>5</v>
      </c>
      <c r="L914">
        <v>54</v>
      </c>
      <c r="M914" t="s">
        <v>38</v>
      </c>
      <c r="N914" t="s">
        <v>79</v>
      </c>
      <c r="O914">
        <v>41129</v>
      </c>
      <c r="P914">
        <v>188</v>
      </c>
      <c r="Q914" t="s">
        <v>34</v>
      </c>
      <c r="R914" t="str">
        <f t="shared" si="15"/>
        <v>No</v>
      </c>
    </row>
    <row r="915" spans="1:18" x14ac:dyDescent="0.35">
      <c r="A915" s="1">
        <v>40340</v>
      </c>
      <c r="B915">
        <v>0</v>
      </c>
      <c r="C915" t="s">
        <v>55</v>
      </c>
      <c r="D915" t="s">
        <v>37</v>
      </c>
      <c r="E915" t="s">
        <v>30</v>
      </c>
      <c r="F915">
        <v>62</v>
      </c>
      <c r="G915" t="s">
        <v>53</v>
      </c>
      <c r="H915" t="s">
        <v>18</v>
      </c>
      <c r="I915">
        <v>62</v>
      </c>
      <c r="J915">
        <v>6</v>
      </c>
      <c r="K915">
        <v>5</v>
      </c>
      <c r="L915">
        <v>66</v>
      </c>
      <c r="M915" t="s">
        <v>20</v>
      </c>
      <c r="N915" t="s">
        <v>54</v>
      </c>
      <c r="O915">
        <v>25847</v>
      </c>
      <c r="P915">
        <v>209</v>
      </c>
      <c r="Q915" t="s">
        <v>37</v>
      </c>
      <c r="R915" t="str">
        <f t="shared" si="15"/>
        <v>No</v>
      </c>
    </row>
    <row r="916" spans="1:18" x14ac:dyDescent="0.35">
      <c r="A916" s="1">
        <v>40340</v>
      </c>
      <c r="B916">
        <v>0</v>
      </c>
      <c r="C916" t="s">
        <v>55</v>
      </c>
      <c r="D916" t="s">
        <v>46</v>
      </c>
      <c r="E916" t="s">
        <v>30</v>
      </c>
      <c r="F916">
        <v>62</v>
      </c>
      <c r="G916" t="s">
        <v>63</v>
      </c>
      <c r="H916" t="s">
        <v>18</v>
      </c>
      <c r="I916">
        <v>61</v>
      </c>
      <c r="J916">
        <v>3</v>
      </c>
      <c r="K916">
        <v>5</v>
      </c>
      <c r="L916">
        <v>36</v>
      </c>
      <c r="M916" t="s">
        <v>20</v>
      </c>
      <c r="N916" t="s">
        <v>64</v>
      </c>
      <c r="O916">
        <v>31101</v>
      </c>
      <c r="P916">
        <v>115</v>
      </c>
      <c r="Q916" t="s">
        <v>63</v>
      </c>
      <c r="R916" t="str">
        <f t="shared" si="15"/>
        <v>Yes</v>
      </c>
    </row>
    <row r="917" spans="1:18" x14ac:dyDescent="0.35">
      <c r="A917" s="1">
        <v>40340</v>
      </c>
      <c r="B917">
        <v>0</v>
      </c>
      <c r="C917" t="s">
        <v>55</v>
      </c>
      <c r="D917" t="s">
        <v>31</v>
      </c>
      <c r="E917" t="s">
        <v>30</v>
      </c>
      <c r="F917">
        <v>64</v>
      </c>
      <c r="G917" t="s">
        <v>22</v>
      </c>
      <c r="H917" t="s">
        <v>18</v>
      </c>
      <c r="I917">
        <v>61</v>
      </c>
      <c r="J917">
        <v>10</v>
      </c>
      <c r="K917">
        <v>1</v>
      </c>
      <c r="L917">
        <v>54</v>
      </c>
      <c r="M917" t="s">
        <v>20</v>
      </c>
      <c r="N917" t="s">
        <v>85</v>
      </c>
      <c r="O917">
        <v>52407</v>
      </c>
      <c r="P917">
        <v>165</v>
      </c>
      <c r="Q917" t="s">
        <v>31</v>
      </c>
      <c r="R917" t="str">
        <f t="shared" si="15"/>
        <v>No</v>
      </c>
    </row>
    <row r="918" spans="1:18" x14ac:dyDescent="0.35">
      <c r="A918" s="1">
        <v>40340</v>
      </c>
      <c r="B918">
        <v>0</v>
      </c>
      <c r="C918" t="s">
        <v>55</v>
      </c>
      <c r="D918" t="s">
        <v>47</v>
      </c>
      <c r="E918" t="s">
        <v>30</v>
      </c>
      <c r="F918">
        <v>61</v>
      </c>
      <c r="G918" t="s">
        <v>68</v>
      </c>
      <c r="H918" t="s">
        <v>18</v>
      </c>
      <c r="I918">
        <v>61</v>
      </c>
      <c r="J918">
        <v>2</v>
      </c>
      <c r="K918">
        <v>6</v>
      </c>
      <c r="L918">
        <v>51</v>
      </c>
      <c r="M918" t="s">
        <v>20</v>
      </c>
      <c r="N918" t="s">
        <v>69</v>
      </c>
      <c r="O918">
        <v>33099</v>
      </c>
      <c r="P918">
        <v>145</v>
      </c>
      <c r="Q918" t="s">
        <v>68</v>
      </c>
      <c r="R918" t="str">
        <f t="shared" si="15"/>
        <v>Yes</v>
      </c>
    </row>
    <row r="919" spans="1:18" x14ac:dyDescent="0.35">
      <c r="A919" s="1">
        <v>40340</v>
      </c>
      <c r="B919">
        <v>0</v>
      </c>
      <c r="C919" t="s">
        <v>55</v>
      </c>
      <c r="D919" t="s">
        <v>40</v>
      </c>
      <c r="E919" t="s">
        <v>30</v>
      </c>
      <c r="F919">
        <v>61</v>
      </c>
      <c r="G919" t="s">
        <v>62</v>
      </c>
      <c r="H919" t="s">
        <v>18</v>
      </c>
      <c r="I919">
        <v>61</v>
      </c>
      <c r="J919">
        <v>3</v>
      </c>
      <c r="K919">
        <v>4</v>
      </c>
      <c r="L919">
        <v>53</v>
      </c>
      <c r="M919" t="s">
        <v>20</v>
      </c>
      <c r="N919" t="s">
        <v>81</v>
      </c>
      <c r="O919">
        <v>20049</v>
      </c>
      <c r="P919">
        <v>172</v>
      </c>
      <c r="Q919" t="s">
        <v>62</v>
      </c>
      <c r="R919" t="str">
        <f t="shared" si="15"/>
        <v>Yes</v>
      </c>
    </row>
    <row r="920" spans="1:18" x14ac:dyDescent="0.35">
      <c r="A920" s="1">
        <v>40340</v>
      </c>
      <c r="B920">
        <v>0</v>
      </c>
      <c r="C920" t="s">
        <v>55</v>
      </c>
      <c r="D920" t="s">
        <v>41</v>
      </c>
      <c r="E920" t="s">
        <v>30</v>
      </c>
      <c r="F920">
        <v>63</v>
      </c>
      <c r="G920" t="s">
        <v>70</v>
      </c>
      <c r="H920" t="s">
        <v>18</v>
      </c>
      <c r="I920">
        <v>60</v>
      </c>
      <c r="J920">
        <v>2</v>
      </c>
      <c r="K920">
        <v>6</v>
      </c>
      <c r="L920">
        <v>51</v>
      </c>
      <c r="M920" t="s">
        <v>20</v>
      </c>
      <c r="N920" t="s">
        <v>71</v>
      </c>
      <c r="O920">
        <v>41817</v>
      </c>
      <c r="P920">
        <v>141</v>
      </c>
      <c r="Q920" t="s">
        <v>70</v>
      </c>
      <c r="R920" t="str">
        <f t="shared" si="15"/>
        <v>Yes</v>
      </c>
    </row>
    <row r="921" spans="1:18" x14ac:dyDescent="0.35">
      <c r="A921" s="1">
        <v>40341</v>
      </c>
      <c r="B921">
        <v>0</v>
      </c>
      <c r="C921" t="s">
        <v>72</v>
      </c>
      <c r="D921" t="s">
        <v>19</v>
      </c>
      <c r="E921" t="s">
        <v>18</v>
      </c>
      <c r="F921">
        <v>62</v>
      </c>
      <c r="G921" t="s">
        <v>43</v>
      </c>
      <c r="H921" t="s">
        <v>30</v>
      </c>
      <c r="I921">
        <v>62</v>
      </c>
      <c r="J921">
        <v>3</v>
      </c>
      <c r="K921">
        <v>1</v>
      </c>
      <c r="L921">
        <v>54</v>
      </c>
      <c r="M921" t="s">
        <v>20</v>
      </c>
      <c r="N921" t="s">
        <v>56</v>
      </c>
      <c r="O921">
        <v>42248</v>
      </c>
      <c r="P921">
        <v>151</v>
      </c>
      <c r="Q921" t="s">
        <v>19</v>
      </c>
      <c r="R921" t="str">
        <f t="shared" si="15"/>
        <v>No</v>
      </c>
    </row>
    <row r="922" spans="1:18" x14ac:dyDescent="0.35">
      <c r="A922" s="1">
        <v>40341</v>
      </c>
      <c r="B922">
        <v>0</v>
      </c>
      <c r="C922" t="s">
        <v>72</v>
      </c>
      <c r="D922" t="s">
        <v>25</v>
      </c>
      <c r="E922" t="s">
        <v>18</v>
      </c>
      <c r="F922">
        <v>60</v>
      </c>
      <c r="G922" t="s">
        <v>58</v>
      </c>
      <c r="H922" t="s">
        <v>30</v>
      </c>
      <c r="I922">
        <v>64</v>
      </c>
      <c r="J922">
        <v>2</v>
      </c>
      <c r="K922">
        <v>10</v>
      </c>
      <c r="L922">
        <v>51</v>
      </c>
      <c r="M922" t="s">
        <v>38</v>
      </c>
      <c r="N922" t="s">
        <v>86</v>
      </c>
      <c r="O922">
        <v>37061</v>
      </c>
      <c r="P922">
        <v>200</v>
      </c>
      <c r="Q922" t="s">
        <v>58</v>
      </c>
      <c r="R922" t="str">
        <f t="shared" si="15"/>
        <v>Yes</v>
      </c>
    </row>
    <row r="923" spans="1:18" x14ac:dyDescent="0.35">
      <c r="A923" s="1">
        <v>40341</v>
      </c>
      <c r="B923">
        <v>0</v>
      </c>
      <c r="C923" t="s">
        <v>72</v>
      </c>
      <c r="D923" t="s">
        <v>26</v>
      </c>
      <c r="E923" t="s">
        <v>18</v>
      </c>
      <c r="F923">
        <v>63</v>
      </c>
      <c r="G923" t="s">
        <v>33</v>
      </c>
      <c r="H923" t="s">
        <v>30</v>
      </c>
      <c r="I923">
        <v>61</v>
      </c>
      <c r="J923">
        <v>1</v>
      </c>
      <c r="K923">
        <v>7</v>
      </c>
      <c r="L923">
        <v>51</v>
      </c>
      <c r="M923" t="s">
        <v>20</v>
      </c>
      <c r="N923" t="s">
        <v>75</v>
      </c>
      <c r="O923">
        <v>19484</v>
      </c>
      <c r="P923">
        <v>123</v>
      </c>
      <c r="Q923" t="s">
        <v>33</v>
      </c>
      <c r="R923" t="str">
        <f t="shared" si="15"/>
        <v>Yes</v>
      </c>
    </row>
    <row r="924" spans="1:18" x14ac:dyDescent="0.35">
      <c r="A924" s="1">
        <v>40341</v>
      </c>
      <c r="B924">
        <v>0</v>
      </c>
      <c r="C924" t="s">
        <v>72</v>
      </c>
      <c r="D924" t="s">
        <v>23</v>
      </c>
      <c r="E924" t="s">
        <v>18</v>
      </c>
      <c r="F924">
        <v>62</v>
      </c>
      <c r="G924" t="s">
        <v>36</v>
      </c>
      <c r="H924" t="s">
        <v>30</v>
      </c>
      <c r="I924">
        <v>61</v>
      </c>
      <c r="J924">
        <v>3</v>
      </c>
      <c r="K924">
        <v>4</v>
      </c>
      <c r="L924">
        <v>57</v>
      </c>
      <c r="M924" t="s">
        <v>20</v>
      </c>
      <c r="N924" t="s">
        <v>57</v>
      </c>
      <c r="O924">
        <v>34501</v>
      </c>
      <c r="P924">
        <v>207</v>
      </c>
      <c r="Q924" t="s">
        <v>36</v>
      </c>
      <c r="R924" t="str">
        <f t="shared" si="15"/>
        <v>Yes</v>
      </c>
    </row>
    <row r="925" spans="1:18" x14ac:dyDescent="0.35">
      <c r="A925" s="1">
        <v>40341</v>
      </c>
      <c r="B925">
        <v>0</v>
      </c>
      <c r="C925" t="s">
        <v>72</v>
      </c>
      <c r="D925" t="s">
        <v>50</v>
      </c>
      <c r="E925" t="s">
        <v>18</v>
      </c>
      <c r="F925">
        <v>63</v>
      </c>
      <c r="G925" t="s">
        <v>29</v>
      </c>
      <c r="H925" t="s">
        <v>30</v>
      </c>
      <c r="I925">
        <v>62</v>
      </c>
      <c r="J925">
        <v>3</v>
      </c>
      <c r="K925">
        <v>2</v>
      </c>
      <c r="L925">
        <v>54</v>
      </c>
      <c r="M925" t="s">
        <v>20</v>
      </c>
      <c r="N925" t="s">
        <v>76</v>
      </c>
      <c r="O925">
        <v>40001</v>
      </c>
      <c r="P925">
        <v>165</v>
      </c>
      <c r="Q925" t="s">
        <v>50</v>
      </c>
      <c r="R925" t="str">
        <f t="shared" si="15"/>
        <v>No</v>
      </c>
    </row>
    <row r="926" spans="1:18" x14ac:dyDescent="0.35">
      <c r="A926" s="1">
        <v>40341</v>
      </c>
      <c r="B926">
        <v>0</v>
      </c>
      <c r="C926" t="s">
        <v>72</v>
      </c>
      <c r="D926" t="s">
        <v>66</v>
      </c>
      <c r="E926" t="s">
        <v>18</v>
      </c>
      <c r="F926">
        <v>63</v>
      </c>
      <c r="G926" t="s">
        <v>59</v>
      </c>
      <c r="H926" t="s">
        <v>30</v>
      </c>
      <c r="I926">
        <v>62</v>
      </c>
      <c r="J926">
        <v>3</v>
      </c>
      <c r="K926">
        <v>9</v>
      </c>
      <c r="L926">
        <v>51</v>
      </c>
      <c r="M926" t="s">
        <v>38</v>
      </c>
      <c r="N926" t="s">
        <v>84</v>
      </c>
      <c r="O926">
        <v>46159</v>
      </c>
      <c r="P926">
        <v>153</v>
      </c>
      <c r="Q926" t="s">
        <v>59</v>
      </c>
      <c r="R926" t="str">
        <f t="shared" si="15"/>
        <v>Yes</v>
      </c>
    </row>
    <row r="927" spans="1:18" x14ac:dyDescent="0.35">
      <c r="A927" s="1">
        <v>40341</v>
      </c>
      <c r="B927">
        <v>0</v>
      </c>
      <c r="C927" t="s">
        <v>72</v>
      </c>
      <c r="D927" t="s">
        <v>17</v>
      </c>
      <c r="E927" t="s">
        <v>18</v>
      </c>
      <c r="F927">
        <v>62</v>
      </c>
      <c r="G927" t="s">
        <v>44</v>
      </c>
      <c r="H927" t="s">
        <v>30</v>
      </c>
      <c r="I927">
        <v>62</v>
      </c>
      <c r="J927">
        <v>5</v>
      </c>
      <c r="K927">
        <v>6</v>
      </c>
      <c r="L927">
        <v>51</v>
      </c>
      <c r="M927" t="s">
        <v>20</v>
      </c>
      <c r="N927" t="s">
        <v>45</v>
      </c>
      <c r="O927">
        <v>29963</v>
      </c>
      <c r="P927">
        <v>177</v>
      </c>
      <c r="Q927" t="s">
        <v>44</v>
      </c>
      <c r="R927" t="str">
        <f t="shared" si="15"/>
        <v>Yes</v>
      </c>
    </row>
    <row r="928" spans="1:18" x14ac:dyDescent="0.35">
      <c r="A928" s="1">
        <v>40341</v>
      </c>
      <c r="B928">
        <v>0</v>
      </c>
      <c r="C928" t="s">
        <v>72</v>
      </c>
      <c r="D928" t="s">
        <v>52</v>
      </c>
      <c r="E928" t="s">
        <v>18</v>
      </c>
      <c r="F928">
        <v>62</v>
      </c>
      <c r="G928" t="s">
        <v>60</v>
      </c>
      <c r="H928" t="s">
        <v>18</v>
      </c>
      <c r="I928">
        <v>63</v>
      </c>
      <c r="J928">
        <v>2</v>
      </c>
      <c r="K928">
        <v>7</v>
      </c>
      <c r="L928">
        <v>51</v>
      </c>
      <c r="M928" t="s">
        <v>20</v>
      </c>
      <c r="N928" t="s">
        <v>61</v>
      </c>
      <c r="O928">
        <v>30017</v>
      </c>
      <c r="P928">
        <v>148</v>
      </c>
      <c r="Q928" t="s">
        <v>60</v>
      </c>
      <c r="R928" t="str">
        <f t="shared" si="15"/>
        <v>Yes</v>
      </c>
    </row>
    <row r="929" spans="1:18" x14ac:dyDescent="0.35">
      <c r="A929" s="1">
        <v>40341</v>
      </c>
      <c r="B929">
        <v>0</v>
      </c>
      <c r="C929" t="s">
        <v>72</v>
      </c>
      <c r="D929" t="s">
        <v>34</v>
      </c>
      <c r="E929" t="s">
        <v>30</v>
      </c>
      <c r="F929">
        <v>61</v>
      </c>
      <c r="G929" t="s">
        <v>49</v>
      </c>
      <c r="H929" t="s">
        <v>18</v>
      </c>
      <c r="I929">
        <v>62</v>
      </c>
      <c r="J929">
        <v>2</v>
      </c>
      <c r="K929">
        <v>1</v>
      </c>
      <c r="L929">
        <v>54</v>
      </c>
      <c r="M929" t="s">
        <v>38</v>
      </c>
      <c r="N929" t="s">
        <v>79</v>
      </c>
      <c r="O929">
        <v>40397</v>
      </c>
      <c r="P929">
        <v>174</v>
      </c>
      <c r="Q929" t="s">
        <v>34</v>
      </c>
      <c r="R929" t="str">
        <f t="shared" si="15"/>
        <v>No</v>
      </c>
    </row>
    <row r="930" spans="1:18" x14ac:dyDescent="0.35">
      <c r="A930" s="1">
        <v>40341</v>
      </c>
      <c r="B930">
        <v>0</v>
      </c>
      <c r="C930" t="s">
        <v>72</v>
      </c>
      <c r="D930" t="s">
        <v>37</v>
      </c>
      <c r="E930" t="s">
        <v>30</v>
      </c>
      <c r="F930">
        <v>63</v>
      </c>
      <c r="G930" t="s">
        <v>53</v>
      </c>
      <c r="H930" t="s">
        <v>18</v>
      </c>
      <c r="I930">
        <v>63</v>
      </c>
      <c r="J930">
        <v>5</v>
      </c>
      <c r="K930">
        <v>11</v>
      </c>
      <c r="L930">
        <v>51</v>
      </c>
      <c r="M930" t="s">
        <v>20</v>
      </c>
      <c r="N930" t="s">
        <v>54</v>
      </c>
      <c r="O930">
        <v>34240</v>
      </c>
      <c r="P930">
        <v>178</v>
      </c>
      <c r="Q930" t="s">
        <v>53</v>
      </c>
      <c r="R930" t="str">
        <f t="shared" si="15"/>
        <v>Yes</v>
      </c>
    </row>
    <row r="931" spans="1:18" x14ac:dyDescent="0.35">
      <c r="A931" s="1">
        <v>40341</v>
      </c>
      <c r="B931">
        <v>0</v>
      </c>
      <c r="C931" t="s">
        <v>72</v>
      </c>
      <c r="D931" t="s">
        <v>46</v>
      </c>
      <c r="E931" t="s">
        <v>30</v>
      </c>
      <c r="F931">
        <v>63</v>
      </c>
      <c r="G931" t="s">
        <v>63</v>
      </c>
      <c r="H931" t="s">
        <v>18</v>
      </c>
      <c r="I931">
        <v>62</v>
      </c>
      <c r="J931">
        <v>0</v>
      </c>
      <c r="K931">
        <v>1</v>
      </c>
      <c r="L931">
        <v>51</v>
      </c>
      <c r="M931" t="s">
        <v>20</v>
      </c>
      <c r="N931" t="s">
        <v>64</v>
      </c>
      <c r="O931">
        <v>26304</v>
      </c>
      <c r="P931">
        <v>160</v>
      </c>
      <c r="Q931" t="s">
        <v>63</v>
      </c>
      <c r="R931" t="str">
        <f t="shared" si="15"/>
        <v>Yes</v>
      </c>
    </row>
    <row r="932" spans="1:18" x14ac:dyDescent="0.35">
      <c r="A932" s="1">
        <v>40341</v>
      </c>
      <c r="B932">
        <v>0</v>
      </c>
      <c r="C932" t="s">
        <v>72</v>
      </c>
      <c r="D932" t="s">
        <v>31</v>
      </c>
      <c r="E932" t="s">
        <v>30</v>
      </c>
      <c r="F932">
        <v>65</v>
      </c>
      <c r="G932" t="s">
        <v>22</v>
      </c>
      <c r="H932" t="s">
        <v>18</v>
      </c>
      <c r="I932">
        <v>62</v>
      </c>
      <c r="J932">
        <v>4</v>
      </c>
      <c r="K932">
        <v>2</v>
      </c>
      <c r="L932">
        <v>54</v>
      </c>
      <c r="M932" t="s">
        <v>20</v>
      </c>
      <c r="N932" t="s">
        <v>85</v>
      </c>
      <c r="O932">
        <v>52806</v>
      </c>
      <c r="P932">
        <v>184</v>
      </c>
      <c r="Q932" t="s">
        <v>31</v>
      </c>
      <c r="R932" t="str">
        <f t="shared" si="15"/>
        <v>No</v>
      </c>
    </row>
    <row r="933" spans="1:18" x14ac:dyDescent="0.35">
      <c r="A933" s="1">
        <v>40341</v>
      </c>
      <c r="B933">
        <v>0</v>
      </c>
      <c r="C933" t="s">
        <v>72</v>
      </c>
      <c r="D933" t="s">
        <v>47</v>
      </c>
      <c r="E933" t="s">
        <v>30</v>
      </c>
      <c r="F933">
        <v>62</v>
      </c>
      <c r="G933" t="s">
        <v>68</v>
      </c>
      <c r="H933" t="s">
        <v>18</v>
      </c>
      <c r="I933">
        <v>62</v>
      </c>
      <c r="J933">
        <v>4</v>
      </c>
      <c r="K933">
        <v>3</v>
      </c>
      <c r="L933">
        <v>54</v>
      </c>
      <c r="M933" t="s">
        <v>20</v>
      </c>
      <c r="N933" t="s">
        <v>69</v>
      </c>
      <c r="O933">
        <v>39791</v>
      </c>
      <c r="P933">
        <v>196</v>
      </c>
      <c r="Q933" t="s">
        <v>47</v>
      </c>
      <c r="R933" t="str">
        <f t="shared" si="15"/>
        <v>No</v>
      </c>
    </row>
    <row r="934" spans="1:18" x14ac:dyDescent="0.35">
      <c r="A934" s="1">
        <v>40341</v>
      </c>
      <c r="B934">
        <v>0</v>
      </c>
      <c r="C934" t="s">
        <v>72</v>
      </c>
      <c r="D934" t="s">
        <v>40</v>
      </c>
      <c r="E934" t="s">
        <v>30</v>
      </c>
      <c r="F934">
        <v>62</v>
      </c>
      <c r="G934" t="s">
        <v>62</v>
      </c>
      <c r="H934" t="s">
        <v>18</v>
      </c>
      <c r="I934">
        <v>62</v>
      </c>
      <c r="J934">
        <v>1</v>
      </c>
      <c r="K934">
        <v>7</v>
      </c>
      <c r="L934">
        <v>51</v>
      </c>
      <c r="M934" t="s">
        <v>20</v>
      </c>
      <c r="N934" t="s">
        <v>81</v>
      </c>
      <c r="O934">
        <v>30019</v>
      </c>
      <c r="P934">
        <v>150</v>
      </c>
      <c r="Q934" t="s">
        <v>62</v>
      </c>
      <c r="R934" t="str">
        <f t="shared" si="15"/>
        <v>Yes</v>
      </c>
    </row>
    <row r="935" spans="1:18" x14ac:dyDescent="0.35">
      <c r="A935" s="1">
        <v>40341</v>
      </c>
      <c r="B935">
        <v>0</v>
      </c>
      <c r="C935" t="s">
        <v>72</v>
      </c>
      <c r="D935" t="s">
        <v>41</v>
      </c>
      <c r="E935" t="s">
        <v>30</v>
      </c>
      <c r="F935">
        <v>64</v>
      </c>
      <c r="G935" t="s">
        <v>70</v>
      </c>
      <c r="H935" t="s">
        <v>18</v>
      </c>
      <c r="I935">
        <v>61</v>
      </c>
      <c r="J935">
        <v>4</v>
      </c>
      <c r="K935">
        <v>5</v>
      </c>
      <c r="L935">
        <v>51</v>
      </c>
      <c r="M935" t="s">
        <v>20</v>
      </c>
      <c r="N935" t="s">
        <v>71</v>
      </c>
      <c r="O935">
        <v>36861</v>
      </c>
      <c r="P935">
        <v>165</v>
      </c>
      <c r="Q935" t="s">
        <v>70</v>
      </c>
      <c r="R935" t="str">
        <f t="shared" si="15"/>
        <v>Yes</v>
      </c>
    </row>
    <row r="936" spans="1:18" x14ac:dyDescent="0.35">
      <c r="A936" s="1">
        <v>40342</v>
      </c>
      <c r="B936">
        <v>0</v>
      </c>
      <c r="C936" t="s">
        <v>73</v>
      </c>
      <c r="D936" t="s">
        <v>19</v>
      </c>
      <c r="E936" t="s">
        <v>18</v>
      </c>
      <c r="F936">
        <v>63</v>
      </c>
      <c r="G936" t="s">
        <v>43</v>
      </c>
      <c r="H936" t="s">
        <v>30</v>
      </c>
      <c r="I936">
        <v>63</v>
      </c>
      <c r="J936">
        <v>11</v>
      </c>
      <c r="K936">
        <v>4</v>
      </c>
      <c r="L936">
        <v>54</v>
      </c>
      <c r="M936" t="s">
        <v>38</v>
      </c>
      <c r="N936" t="s">
        <v>56</v>
      </c>
      <c r="O936">
        <v>24848</v>
      </c>
      <c r="P936">
        <v>175</v>
      </c>
      <c r="Q936" t="s">
        <v>19</v>
      </c>
      <c r="R936" t="str">
        <f t="shared" si="15"/>
        <v>No</v>
      </c>
    </row>
    <row r="937" spans="1:18" x14ac:dyDescent="0.35">
      <c r="A937" s="1">
        <v>40342</v>
      </c>
      <c r="B937">
        <v>0</v>
      </c>
      <c r="C937" t="s">
        <v>73</v>
      </c>
      <c r="D937" t="s">
        <v>25</v>
      </c>
      <c r="E937" t="s">
        <v>18</v>
      </c>
      <c r="F937">
        <v>61</v>
      </c>
      <c r="G937" t="s">
        <v>58</v>
      </c>
      <c r="H937" t="s">
        <v>30</v>
      </c>
      <c r="I937">
        <v>65</v>
      </c>
      <c r="J937">
        <v>5</v>
      </c>
      <c r="K937">
        <v>3</v>
      </c>
      <c r="L937">
        <v>54</v>
      </c>
      <c r="M937" t="s">
        <v>38</v>
      </c>
      <c r="N937" t="s">
        <v>86</v>
      </c>
      <c r="O937">
        <v>37230</v>
      </c>
      <c r="P937">
        <v>177</v>
      </c>
      <c r="Q937" t="s">
        <v>25</v>
      </c>
      <c r="R937" t="str">
        <f t="shared" si="15"/>
        <v>No</v>
      </c>
    </row>
    <row r="938" spans="1:18" x14ac:dyDescent="0.35">
      <c r="A938" s="1">
        <v>40342</v>
      </c>
      <c r="B938">
        <v>0</v>
      </c>
      <c r="C938" t="s">
        <v>73</v>
      </c>
      <c r="D938" t="s">
        <v>26</v>
      </c>
      <c r="E938" t="s">
        <v>18</v>
      </c>
      <c r="F938">
        <v>64</v>
      </c>
      <c r="G938" t="s">
        <v>33</v>
      </c>
      <c r="H938" t="s">
        <v>30</v>
      </c>
      <c r="I938">
        <v>62</v>
      </c>
      <c r="J938">
        <v>9</v>
      </c>
      <c r="K938">
        <v>4</v>
      </c>
      <c r="L938">
        <v>54</v>
      </c>
      <c r="M938" t="s">
        <v>38</v>
      </c>
      <c r="N938" t="s">
        <v>75</v>
      </c>
      <c r="O938">
        <v>32876</v>
      </c>
      <c r="P938">
        <v>204</v>
      </c>
      <c r="Q938" t="s">
        <v>26</v>
      </c>
      <c r="R938" t="str">
        <f t="shared" si="15"/>
        <v>No</v>
      </c>
    </row>
    <row r="939" spans="1:18" x14ac:dyDescent="0.35">
      <c r="A939" s="1">
        <v>40342</v>
      </c>
      <c r="B939">
        <v>0</v>
      </c>
      <c r="C939" t="s">
        <v>73</v>
      </c>
      <c r="D939" t="s">
        <v>23</v>
      </c>
      <c r="E939" t="s">
        <v>18</v>
      </c>
      <c r="F939">
        <v>63</v>
      </c>
      <c r="G939" t="s">
        <v>36</v>
      </c>
      <c r="H939" t="s">
        <v>30</v>
      </c>
      <c r="I939">
        <v>62</v>
      </c>
      <c r="J939">
        <v>3</v>
      </c>
      <c r="K939">
        <v>4</v>
      </c>
      <c r="L939">
        <v>51</v>
      </c>
      <c r="M939" t="s">
        <v>38</v>
      </c>
      <c r="N939" t="s">
        <v>57</v>
      </c>
      <c r="O939">
        <v>31243</v>
      </c>
      <c r="P939">
        <v>153</v>
      </c>
      <c r="Q939" t="s">
        <v>36</v>
      </c>
      <c r="R939" t="str">
        <f t="shared" si="15"/>
        <v>Yes</v>
      </c>
    </row>
    <row r="940" spans="1:18" x14ac:dyDescent="0.35">
      <c r="A940" s="1">
        <v>40342</v>
      </c>
      <c r="B940">
        <v>0</v>
      </c>
      <c r="C940" t="s">
        <v>73</v>
      </c>
      <c r="D940" t="s">
        <v>50</v>
      </c>
      <c r="E940" t="s">
        <v>18</v>
      </c>
      <c r="F940">
        <v>64</v>
      </c>
      <c r="G940" t="s">
        <v>29</v>
      </c>
      <c r="H940" t="s">
        <v>30</v>
      </c>
      <c r="I940">
        <v>63</v>
      </c>
      <c r="J940">
        <v>7</v>
      </c>
      <c r="K940">
        <v>3</v>
      </c>
      <c r="L940">
        <v>54</v>
      </c>
      <c r="M940" t="s">
        <v>38</v>
      </c>
      <c r="N940" t="s">
        <v>76</v>
      </c>
      <c r="O940">
        <v>39772</v>
      </c>
      <c r="P940">
        <v>167</v>
      </c>
      <c r="Q940" t="s">
        <v>50</v>
      </c>
      <c r="R940" t="str">
        <f t="shared" si="15"/>
        <v>No</v>
      </c>
    </row>
    <row r="941" spans="1:18" x14ac:dyDescent="0.35">
      <c r="A941" s="1">
        <v>40342</v>
      </c>
      <c r="B941">
        <v>0</v>
      </c>
      <c r="C941" t="s">
        <v>73</v>
      </c>
      <c r="D941" t="s">
        <v>66</v>
      </c>
      <c r="E941" t="s">
        <v>18</v>
      </c>
      <c r="F941">
        <v>64</v>
      </c>
      <c r="G941" t="s">
        <v>59</v>
      </c>
      <c r="H941" t="s">
        <v>30</v>
      </c>
      <c r="I941">
        <v>63</v>
      </c>
      <c r="J941">
        <v>5</v>
      </c>
      <c r="K941">
        <v>9</v>
      </c>
      <c r="L941">
        <v>51</v>
      </c>
      <c r="M941" t="s">
        <v>38</v>
      </c>
      <c r="N941" t="s">
        <v>84</v>
      </c>
      <c r="O941">
        <v>46832</v>
      </c>
      <c r="P941">
        <v>218</v>
      </c>
      <c r="Q941" t="s">
        <v>59</v>
      </c>
      <c r="R941" t="str">
        <f t="shared" si="15"/>
        <v>Yes</v>
      </c>
    </row>
    <row r="942" spans="1:18" x14ac:dyDescent="0.35">
      <c r="A942" s="1">
        <v>40342</v>
      </c>
      <c r="B942">
        <v>0</v>
      </c>
      <c r="C942" t="s">
        <v>73</v>
      </c>
      <c r="D942" t="s">
        <v>17</v>
      </c>
      <c r="E942" t="s">
        <v>18</v>
      </c>
      <c r="F942">
        <v>63</v>
      </c>
      <c r="G942" t="s">
        <v>44</v>
      </c>
      <c r="H942" t="s">
        <v>30</v>
      </c>
      <c r="I942">
        <v>63</v>
      </c>
      <c r="J942">
        <v>6</v>
      </c>
      <c r="K942">
        <v>1</v>
      </c>
      <c r="L942">
        <v>54</v>
      </c>
      <c r="M942" t="s">
        <v>38</v>
      </c>
      <c r="N942" t="s">
        <v>45</v>
      </c>
      <c r="O942">
        <v>25442</v>
      </c>
      <c r="P942">
        <v>203</v>
      </c>
      <c r="Q942" t="s">
        <v>17</v>
      </c>
      <c r="R942" t="str">
        <f t="shared" si="15"/>
        <v>No</v>
      </c>
    </row>
    <row r="943" spans="1:18" x14ac:dyDescent="0.35">
      <c r="A943" s="1">
        <v>40342</v>
      </c>
      <c r="B943">
        <v>0</v>
      </c>
      <c r="C943" t="s">
        <v>73</v>
      </c>
      <c r="D943" t="s">
        <v>52</v>
      </c>
      <c r="E943" t="s">
        <v>18</v>
      </c>
      <c r="F943">
        <v>63</v>
      </c>
      <c r="G943" t="s">
        <v>60</v>
      </c>
      <c r="H943" t="s">
        <v>18</v>
      </c>
      <c r="I943">
        <v>64</v>
      </c>
      <c r="J943">
        <v>5</v>
      </c>
      <c r="K943">
        <v>7</v>
      </c>
      <c r="L943">
        <v>53</v>
      </c>
      <c r="M943" t="s">
        <v>38</v>
      </c>
      <c r="N943" t="s">
        <v>61</v>
      </c>
      <c r="O943">
        <v>23922</v>
      </c>
      <c r="P943">
        <v>195</v>
      </c>
      <c r="Q943" t="s">
        <v>60</v>
      </c>
      <c r="R943" t="str">
        <f t="shared" si="15"/>
        <v>Yes</v>
      </c>
    </row>
    <row r="944" spans="1:18" x14ac:dyDescent="0.35">
      <c r="A944" s="1">
        <v>40342</v>
      </c>
      <c r="B944">
        <v>0</v>
      </c>
      <c r="C944" t="s">
        <v>73</v>
      </c>
      <c r="D944" t="s">
        <v>34</v>
      </c>
      <c r="E944" t="s">
        <v>30</v>
      </c>
      <c r="F944">
        <v>62</v>
      </c>
      <c r="G944" t="s">
        <v>49</v>
      </c>
      <c r="H944" t="s">
        <v>18</v>
      </c>
      <c r="I944">
        <v>63</v>
      </c>
      <c r="J944">
        <v>0</v>
      </c>
      <c r="K944">
        <v>1</v>
      </c>
      <c r="L944">
        <v>51</v>
      </c>
      <c r="M944" t="s">
        <v>20</v>
      </c>
      <c r="N944" t="s">
        <v>79</v>
      </c>
      <c r="O944">
        <v>40456</v>
      </c>
      <c r="P944">
        <v>140</v>
      </c>
      <c r="Q944" t="s">
        <v>49</v>
      </c>
      <c r="R944" t="str">
        <f t="shared" si="15"/>
        <v>Yes</v>
      </c>
    </row>
    <row r="945" spans="1:18" x14ac:dyDescent="0.35">
      <c r="A945" s="1">
        <v>40342</v>
      </c>
      <c r="B945">
        <v>0</v>
      </c>
      <c r="C945" t="s">
        <v>73</v>
      </c>
      <c r="D945" t="s">
        <v>37</v>
      </c>
      <c r="E945" t="s">
        <v>30</v>
      </c>
      <c r="F945">
        <v>64</v>
      </c>
      <c r="G945" t="s">
        <v>53</v>
      </c>
      <c r="H945" t="s">
        <v>18</v>
      </c>
      <c r="I945">
        <v>64</v>
      </c>
      <c r="J945">
        <v>7</v>
      </c>
      <c r="K945">
        <v>3</v>
      </c>
      <c r="L945">
        <v>54</v>
      </c>
      <c r="M945" t="s">
        <v>38</v>
      </c>
      <c r="N945" t="s">
        <v>54</v>
      </c>
      <c r="O945">
        <v>23747</v>
      </c>
      <c r="P945">
        <v>146</v>
      </c>
      <c r="Q945" t="s">
        <v>37</v>
      </c>
      <c r="R945" t="str">
        <f t="shared" si="15"/>
        <v>No</v>
      </c>
    </row>
    <row r="946" spans="1:18" x14ac:dyDescent="0.35">
      <c r="A946" s="1">
        <v>40342</v>
      </c>
      <c r="B946">
        <v>0</v>
      </c>
      <c r="C946" t="s">
        <v>73</v>
      </c>
      <c r="D946" t="s">
        <v>46</v>
      </c>
      <c r="E946" t="s">
        <v>30</v>
      </c>
      <c r="F946">
        <v>64</v>
      </c>
      <c r="G946" t="s">
        <v>63</v>
      </c>
      <c r="H946" t="s">
        <v>18</v>
      </c>
      <c r="I946">
        <v>63</v>
      </c>
      <c r="J946">
        <v>3</v>
      </c>
      <c r="K946">
        <v>10</v>
      </c>
      <c r="L946">
        <v>51</v>
      </c>
      <c r="M946" t="s">
        <v>38</v>
      </c>
      <c r="N946" t="s">
        <v>64</v>
      </c>
      <c r="O946">
        <v>32084</v>
      </c>
      <c r="P946">
        <v>180</v>
      </c>
      <c r="Q946" t="s">
        <v>63</v>
      </c>
      <c r="R946" t="str">
        <f t="shared" si="15"/>
        <v>Yes</v>
      </c>
    </row>
    <row r="947" spans="1:18" x14ac:dyDescent="0.35">
      <c r="A947" s="1">
        <v>40342</v>
      </c>
      <c r="B947">
        <v>0</v>
      </c>
      <c r="C947" t="s">
        <v>73</v>
      </c>
      <c r="D947" t="s">
        <v>31</v>
      </c>
      <c r="E947" t="s">
        <v>30</v>
      </c>
      <c r="F947">
        <v>66</v>
      </c>
      <c r="G947" t="s">
        <v>22</v>
      </c>
      <c r="H947" t="s">
        <v>18</v>
      </c>
      <c r="I947">
        <v>63</v>
      </c>
      <c r="J947">
        <v>6</v>
      </c>
      <c r="K947">
        <v>5</v>
      </c>
      <c r="L947">
        <v>54</v>
      </c>
      <c r="M947" t="s">
        <v>38</v>
      </c>
      <c r="N947" t="s">
        <v>85</v>
      </c>
      <c r="O947">
        <v>52776</v>
      </c>
      <c r="P947">
        <v>205</v>
      </c>
      <c r="Q947" t="s">
        <v>31</v>
      </c>
      <c r="R947" t="str">
        <f t="shared" si="15"/>
        <v>No</v>
      </c>
    </row>
    <row r="948" spans="1:18" x14ac:dyDescent="0.35">
      <c r="A948" s="1">
        <v>40342</v>
      </c>
      <c r="B948">
        <v>0</v>
      </c>
      <c r="C948" t="s">
        <v>73</v>
      </c>
      <c r="D948" t="s">
        <v>47</v>
      </c>
      <c r="E948" t="s">
        <v>30</v>
      </c>
      <c r="F948">
        <v>63</v>
      </c>
      <c r="G948" t="s">
        <v>68</v>
      </c>
      <c r="H948" t="s">
        <v>18</v>
      </c>
      <c r="I948">
        <v>63</v>
      </c>
      <c r="J948">
        <v>7</v>
      </c>
      <c r="K948">
        <v>2</v>
      </c>
      <c r="L948">
        <v>54</v>
      </c>
      <c r="M948" t="s">
        <v>38</v>
      </c>
      <c r="N948" t="s">
        <v>69</v>
      </c>
      <c r="O948">
        <v>36059</v>
      </c>
      <c r="P948">
        <v>178</v>
      </c>
      <c r="Q948" t="s">
        <v>47</v>
      </c>
      <c r="R948" t="str">
        <f t="shared" si="15"/>
        <v>No</v>
      </c>
    </row>
    <row r="949" spans="1:18" x14ac:dyDescent="0.35">
      <c r="A949" s="1">
        <v>40342</v>
      </c>
      <c r="B949">
        <v>0</v>
      </c>
      <c r="C949" t="s">
        <v>73</v>
      </c>
      <c r="D949" t="s">
        <v>40</v>
      </c>
      <c r="E949" t="s">
        <v>30</v>
      </c>
      <c r="F949">
        <v>63</v>
      </c>
      <c r="G949" t="s">
        <v>62</v>
      </c>
      <c r="H949" t="s">
        <v>18</v>
      </c>
      <c r="I949">
        <v>63</v>
      </c>
      <c r="J949">
        <v>4</v>
      </c>
      <c r="K949">
        <v>2</v>
      </c>
      <c r="L949">
        <v>54</v>
      </c>
      <c r="M949" t="s">
        <v>38</v>
      </c>
      <c r="N949" t="s">
        <v>81</v>
      </c>
      <c r="O949">
        <v>23429</v>
      </c>
      <c r="P949">
        <v>151</v>
      </c>
      <c r="Q949" t="s">
        <v>40</v>
      </c>
      <c r="R949" t="str">
        <f t="shared" si="15"/>
        <v>No</v>
      </c>
    </row>
    <row r="950" spans="1:18" x14ac:dyDescent="0.35">
      <c r="A950" s="1">
        <v>40342</v>
      </c>
      <c r="B950">
        <v>0</v>
      </c>
      <c r="C950" t="s">
        <v>73</v>
      </c>
      <c r="D950" t="s">
        <v>41</v>
      </c>
      <c r="E950" t="s">
        <v>30</v>
      </c>
      <c r="F950">
        <v>65</v>
      </c>
      <c r="G950" t="s">
        <v>70</v>
      </c>
      <c r="H950" t="s">
        <v>18</v>
      </c>
      <c r="I950">
        <v>62</v>
      </c>
      <c r="J950">
        <v>2</v>
      </c>
      <c r="K950">
        <v>6</v>
      </c>
      <c r="L950">
        <v>51</v>
      </c>
      <c r="M950" t="s">
        <v>38</v>
      </c>
      <c r="N950" t="s">
        <v>71</v>
      </c>
      <c r="O950">
        <v>39187</v>
      </c>
      <c r="P950">
        <v>168</v>
      </c>
      <c r="Q950" t="s">
        <v>70</v>
      </c>
      <c r="R950" t="str">
        <f t="shared" si="15"/>
        <v>Yes</v>
      </c>
    </row>
    <row r="951" spans="1:18" x14ac:dyDescent="0.35">
      <c r="A951" s="1">
        <v>40343</v>
      </c>
      <c r="B951">
        <v>0</v>
      </c>
      <c r="C951" t="s">
        <v>74</v>
      </c>
      <c r="D951" t="s">
        <v>68</v>
      </c>
      <c r="E951" t="s">
        <v>18</v>
      </c>
      <c r="F951">
        <v>64</v>
      </c>
      <c r="G951" t="s">
        <v>31</v>
      </c>
      <c r="H951" t="s">
        <v>30</v>
      </c>
      <c r="I951">
        <v>67</v>
      </c>
      <c r="J951">
        <v>12</v>
      </c>
      <c r="K951">
        <v>2</v>
      </c>
      <c r="L951">
        <v>54</v>
      </c>
      <c r="M951" t="s">
        <v>20</v>
      </c>
      <c r="N951" t="s">
        <v>32</v>
      </c>
      <c r="O951">
        <v>39289</v>
      </c>
      <c r="P951">
        <v>183</v>
      </c>
      <c r="Q951" t="s">
        <v>68</v>
      </c>
      <c r="R951" t="str">
        <f t="shared" si="15"/>
        <v>No</v>
      </c>
    </row>
    <row r="952" spans="1:18" x14ac:dyDescent="0.35">
      <c r="A952" s="1">
        <v>40343</v>
      </c>
      <c r="B952">
        <v>0</v>
      </c>
      <c r="C952" t="s">
        <v>74</v>
      </c>
      <c r="D952" t="s">
        <v>46</v>
      </c>
      <c r="E952" t="s">
        <v>30</v>
      </c>
      <c r="F952">
        <v>65</v>
      </c>
      <c r="G952" t="s">
        <v>62</v>
      </c>
      <c r="H952" t="s">
        <v>18</v>
      </c>
      <c r="I952">
        <v>64</v>
      </c>
      <c r="J952">
        <v>6</v>
      </c>
      <c r="K952">
        <v>3</v>
      </c>
      <c r="L952">
        <v>54</v>
      </c>
      <c r="M952" t="s">
        <v>20</v>
      </c>
      <c r="N952" t="s">
        <v>81</v>
      </c>
      <c r="O952">
        <v>16542</v>
      </c>
      <c r="P952">
        <v>168</v>
      </c>
      <c r="Q952" t="s">
        <v>46</v>
      </c>
      <c r="R952" t="str">
        <f t="shared" si="15"/>
        <v>No</v>
      </c>
    </row>
    <row r="953" spans="1:18" x14ac:dyDescent="0.35">
      <c r="A953" s="1">
        <v>40343</v>
      </c>
      <c r="B953">
        <v>0</v>
      </c>
      <c r="C953" t="s">
        <v>74</v>
      </c>
      <c r="D953" t="s">
        <v>43</v>
      </c>
      <c r="E953" t="s">
        <v>30</v>
      </c>
      <c r="F953">
        <v>64</v>
      </c>
      <c r="G953" t="s">
        <v>70</v>
      </c>
      <c r="H953" t="s">
        <v>18</v>
      </c>
      <c r="I953">
        <v>63</v>
      </c>
      <c r="J953">
        <v>2</v>
      </c>
      <c r="K953">
        <v>10</v>
      </c>
      <c r="L953">
        <v>51</v>
      </c>
      <c r="M953" t="s">
        <v>20</v>
      </c>
      <c r="N953" t="s">
        <v>71</v>
      </c>
      <c r="O953">
        <v>33822</v>
      </c>
      <c r="P953">
        <v>158</v>
      </c>
      <c r="Q953" t="s">
        <v>70</v>
      </c>
      <c r="R953" t="str">
        <f t="shared" si="15"/>
        <v>Yes</v>
      </c>
    </row>
    <row r="954" spans="1:18" x14ac:dyDescent="0.35">
      <c r="A954" s="1">
        <v>40343</v>
      </c>
      <c r="B954">
        <v>0</v>
      </c>
      <c r="C954" t="s">
        <v>74</v>
      </c>
      <c r="D954" t="s">
        <v>40</v>
      </c>
      <c r="E954" t="s">
        <v>30</v>
      </c>
      <c r="F954">
        <v>64</v>
      </c>
      <c r="G954" t="s">
        <v>52</v>
      </c>
      <c r="H954" t="s">
        <v>18</v>
      </c>
      <c r="I954">
        <v>64</v>
      </c>
      <c r="J954">
        <v>3</v>
      </c>
      <c r="K954">
        <v>9</v>
      </c>
      <c r="L954">
        <v>51</v>
      </c>
      <c r="M954" t="s">
        <v>20</v>
      </c>
      <c r="N954" t="s">
        <v>82</v>
      </c>
      <c r="O954">
        <v>36113</v>
      </c>
      <c r="P954">
        <v>162</v>
      </c>
      <c r="Q954" t="s">
        <v>52</v>
      </c>
      <c r="R954" t="str">
        <f t="shared" si="15"/>
        <v>Yes</v>
      </c>
    </row>
    <row r="955" spans="1:18" x14ac:dyDescent="0.35">
      <c r="A955" s="1">
        <v>40344</v>
      </c>
      <c r="B955">
        <v>0</v>
      </c>
      <c r="C955" t="s">
        <v>83</v>
      </c>
      <c r="D955" t="s">
        <v>68</v>
      </c>
      <c r="E955" t="s">
        <v>18</v>
      </c>
      <c r="F955">
        <v>65</v>
      </c>
      <c r="G955" t="s">
        <v>31</v>
      </c>
      <c r="H955" t="s">
        <v>30</v>
      </c>
      <c r="I955">
        <v>68</v>
      </c>
      <c r="J955">
        <v>7</v>
      </c>
      <c r="K955">
        <v>1</v>
      </c>
      <c r="L955">
        <v>54</v>
      </c>
      <c r="M955" t="s">
        <v>20</v>
      </c>
      <c r="N955" t="s">
        <v>32</v>
      </c>
      <c r="O955">
        <v>37484</v>
      </c>
      <c r="P955">
        <v>168</v>
      </c>
      <c r="Q955" t="s">
        <v>68</v>
      </c>
      <c r="R955" t="str">
        <f t="shared" si="15"/>
        <v>No</v>
      </c>
    </row>
    <row r="956" spans="1:18" x14ac:dyDescent="0.35">
      <c r="A956" s="1">
        <v>40344</v>
      </c>
      <c r="B956">
        <v>0</v>
      </c>
      <c r="C956" t="s">
        <v>83</v>
      </c>
      <c r="D956" t="s">
        <v>60</v>
      </c>
      <c r="E956" t="s">
        <v>18</v>
      </c>
      <c r="F956">
        <v>65</v>
      </c>
      <c r="G956" t="s">
        <v>58</v>
      </c>
      <c r="H956" t="s">
        <v>30</v>
      </c>
      <c r="I956">
        <v>66</v>
      </c>
      <c r="J956">
        <v>3</v>
      </c>
      <c r="K956">
        <v>6</v>
      </c>
      <c r="L956">
        <v>51</v>
      </c>
      <c r="M956" t="s">
        <v>20</v>
      </c>
      <c r="N956" t="s">
        <v>86</v>
      </c>
      <c r="O956">
        <v>37459</v>
      </c>
      <c r="P956">
        <v>182</v>
      </c>
      <c r="Q956" t="s">
        <v>58</v>
      </c>
      <c r="R956" t="str">
        <f t="shared" si="15"/>
        <v>Yes</v>
      </c>
    </row>
    <row r="957" spans="1:18" x14ac:dyDescent="0.35">
      <c r="A957" s="1">
        <v>40344</v>
      </c>
      <c r="B957">
        <v>0</v>
      </c>
      <c r="C957" t="s">
        <v>83</v>
      </c>
      <c r="D957" t="s">
        <v>19</v>
      </c>
      <c r="E957" t="s">
        <v>18</v>
      </c>
      <c r="F957">
        <v>64</v>
      </c>
      <c r="G957" t="s">
        <v>33</v>
      </c>
      <c r="H957" t="s">
        <v>30</v>
      </c>
      <c r="I957">
        <v>63</v>
      </c>
      <c r="J957">
        <v>7</v>
      </c>
      <c r="K957">
        <v>6</v>
      </c>
      <c r="L957">
        <v>54</v>
      </c>
      <c r="M957" t="s">
        <v>20</v>
      </c>
      <c r="N957" t="s">
        <v>75</v>
      </c>
      <c r="O957">
        <v>12882</v>
      </c>
      <c r="P957">
        <v>161</v>
      </c>
      <c r="Q957" t="s">
        <v>19</v>
      </c>
      <c r="R957" t="str">
        <f t="shared" si="15"/>
        <v>No</v>
      </c>
    </row>
    <row r="958" spans="1:18" x14ac:dyDescent="0.35">
      <c r="A958" s="1">
        <v>40344</v>
      </c>
      <c r="B958">
        <v>0</v>
      </c>
      <c r="C958" t="s">
        <v>83</v>
      </c>
      <c r="D958" t="s">
        <v>26</v>
      </c>
      <c r="E958" t="s">
        <v>18</v>
      </c>
      <c r="F958">
        <v>65</v>
      </c>
      <c r="G958" t="s">
        <v>36</v>
      </c>
      <c r="H958" t="s">
        <v>30</v>
      </c>
      <c r="I958">
        <v>63</v>
      </c>
      <c r="J958">
        <v>4</v>
      </c>
      <c r="K958">
        <v>7</v>
      </c>
      <c r="L958">
        <v>51</v>
      </c>
      <c r="M958" t="s">
        <v>20</v>
      </c>
      <c r="N958" t="s">
        <v>57</v>
      </c>
      <c r="O958">
        <v>24821</v>
      </c>
      <c r="P958">
        <v>177</v>
      </c>
      <c r="Q958" t="s">
        <v>36</v>
      </c>
      <c r="R958" t="str">
        <f t="shared" si="15"/>
        <v>Yes</v>
      </c>
    </row>
    <row r="959" spans="1:18" x14ac:dyDescent="0.35">
      <c r="A959" s="1">
        <v>40344</v>
      </c>
      <c r="B959">
        <v>0</v>
      </c>
      <c r="C959" t="s">
        <v>83</v>
      </c>
      <c r="D959" t="s">
        <v>66</v>
      </c>
      <c r="E959" t="s">
        <v>18</v>
      </c>
      <c r="F959">
        <v>65</v>
      </c>
      <c r="G959" t="s">
        <v>37</v>
      </c>
      <c r="H959" t="s">
        <v>30</v>
      </c>
      <c r="I959">
        <v>65</v>
      </c>
      <c r="J959">
        <v>7</v>
      </c>
      <c r="K959">
        <v>15</v>
      </c>
      <c r="L959">
        <v>51</v>
      </c>
      <c r="M959" t="s">
        <v>20</v>
      </c>
      <c r="N959" t="s">
        <v>39</v>
      </c>
      <c r="O959">
        <v>24862</v>
      </c>
      <c r="P959">
        <v>198</v>
      </c>
      <c r="Q959" t="s">
        <v>37</v>
      </c>
      <c r="R959" t="str">
        <f t="shared" si="15"/>
        <v>Yes</v>
      </c>
    </row>
    <row r="960" spans="1:18" x14ac:dyDescent="0.35">
      <c r="A960" s="1">
        <v>40344</v>
      </c>
      <c r="B960">
        <v>0</v>
      </c>
      <c r="C960" t="s">
        <v>83</v>
      </c>
      <c r="D960" t="s">
        <v>63</v>
      </c>
      <c r="E960" t="s">
        <v>18</v>
      </c>
      <c r="F960">
        <v>64</v>
      </c>
      <c r="G960" t="s">
        <v>29</v>
      </c>
      <c r="H960" t="s">
        <v>30</v>
      </c>
      <c r="I960">
        <v>64</v>
      </c>
      <c r="J960">
        <v>3</v>
      </c>
      <c r="K960">
        <v>9</v>
      </c>
      <c r="L960">
        <v>51</v>
      </c>
      <c r="M960" t="s">
        <v>20</v>
      </c>
      <c r="N960" t="s">
        <v>76</v>
      </c>
      <c r="O960">
        <v>39812</v>
      </c>
      <c r="P960">
        <v>161</v>
      </c>
      <c r="Q960" t="s">
        <v>29</v>
      </c>
      <c r="R960" t="str">
        <f t="shared" si="15"/>
        <v>Yes</v>
      </c>
    </row>
    <row r="961" spans="1:18" x14ac:dyDescent="0.35">
      <c r="A961" s="1">
        <v>40344</v>
      </c>
      <c r="B961">
        <v>0</v>
      </c>
      <c r="C961" t="s">
        <v>83</v>
      </c>
      <c r="D961" t="s">
        <v>25</v>
      </c>
      <c r="E961" t="s">
        <v>18</v>
      </c>
      <c r="F961">
        <v>62</v>
      </c>
      <c r="G961" t="s">
        <v>59</v>
      </c>
      <c r="H961" t="s">
        <v>30</v>
      </c>
      <c r="I961">
        <v>64</v>
      </c>
      <c r="J961">
        <v>3</v>
      </c>
      <c r="K961">
        <v>8</v>
      </c>
      <c r="L961">
        <v>51</v>
      </c>
      <c r="M961" t="s">
        <v>20</v>
      </c>
      <c r="N961" t="s">
        <v>84</v>
      </c>
      <c r="O961">
        <v>47135</v>
      </c>
      <c r="P961">
        <v>165</v>
      </c>
      <c r="Q961" t="s">
        <v>59</v>
      </c>
      <c r="R961" t="str">
        <f t="shared" si="15"/>
        <v>Yes</v>
      </c>
    </row>
    <row r="962" spans="1:18" x14ac:dyDescent="0.35">
      <c r="A962" s="1">
        <v>40344</v>
      </c>
      <c r="B962">
        <v>0</v>
      </c>
      <c r="C962" t="s">
        <v>83</v>
      </c>
      <c r="D962" t="s">
        <v>44</v>
      </c>
      <c r="E962" t="s">
        <v>30</v>
      </c>
      <c r="F962">
        <v>64</v>
      </c>
      <c r="G962" t="s">
        <v>50</v>
      </c>
      <c r="H962" t="s">
        <v>18</v>
      </c>
      <c r="I962">
        <v>65</v>
      </c>
      <c r="J962">
        <v>10</v>
      </c>
      <c r="K962">
        <v>4</v>
      </c>
      <c r="L962">
        <v>54</v>
      </c>
      <c r="M962" t="s">
        <v>20</v>
      </c>
      <c r="N962" t="s">
        <v>51</v>
      </c>
      <c r="O962">
        <v>30448</v>
      </c>
      <c r="P962">
        <v>210</v>
      </c>
      <c r="Q962" t="s">
        <v>44</v>
      </c>
      <c r="R962" t="str">
        <f t="shared" si="15"/>
        <v>No</v>
      </c>
    </row>
    <row r="963" spans="1:18" x14ac:dyDescent="0.35">
      <c r="A963" s="1">
        <v>40344</v>
      </c>
      <c r="B963">
        <v>0</v>
      </c>
      <c r="C963" t="s">
        <v>83</v>
      </c>
      <c r="D963" t="s">
        <v>41</v>
      </c>
      <c r="E963" t="s">
        <v>30</v>
      </c>
      <c r="F963">
        <v>66</v>
      </c>
      <c r="G963" t="s">
        <v>49</v>
      </c>
      <c r="H963" t="s">
        <v>18</v>
      </c>
      <c r="I963">
        <v>64</v>
      </c>
      <c r="J963">
        <v>9</v>
      </c>
      <c r="K963">
        <v>5</v>
      </c>
      <c r="L963">
        <v>54</v>
      </c>
      <c r="M963" t="s">
        <v>20</v>
      </c>
      <c r="N963" t="s">
        <v>79</v>
      </c>
      <c r="O963">
        <v>34390</v>
      </c>
      <c r="P963">
        <v>164</v>
      </c>
      <c r="Q963" t="s">
        <v>41</v>
      </c>
      <c r="R963" t="str">
        <f t="shared" ref="R963:R1026" si="16">IF(K963&gt;J963,"Yes","No")</f>
        <v>No</v>
      </c>
    </row>
    <row r="964" spans="1:18" x14ac:dyDescent="0.35">
      <c r="A964" s="1">
        <v>40344</v>
      </c>
      <c r="B964">
        <v>0</v>
      </c>
      <c r="C964" t="s">
        <v>83</v>
      </c>
      <c r="D964" t="s">
        <v>22</v>
      </c>
      <c r="E964" t="s">
        <v>18</v>
      </c>
      <c r="F964">
        <v>64</v>
      </c>
      <c r="G964" t="s">
        <v>53</v>
      </c>
      <c r="H964" t="s">
        <v>18</v>
      </c>
      <c r="I964">
        <v>65</v>
      </c>
      <c r="J964">
        <v>12</v>
      </c>
      <c r="K964">
        <v>0</v>
      </c>
      <c r="L964">
        <v>54</v>
      </c>
      <c r="M964" t="s">
        <v>20</v>
      </c>
      <c r="N964" t="s">
        <v>54</v>
      </c>
      <c r="O964">
        <v>22639</v>
      </c>
      <c r="P964">
        <v>197</v>
      </c>
      <c r="Q964" t="s">
        <v>22</v>
      </c>
      <c r="R964" t="str">
        <f t="shared" si="16"/>
        <v>No</v>
      </c>
    </row>
    <row r="965" spans="1:18" x14ac:dyDescent="0.35">
      <c r="A965" s="1">
        <v>40344</v>
      </c>
      <c r="B965">
        <v>0</v>
      </c>
      <c r="C965" t="s">
        <v>83</v>
      </c>
      <c r="D965" t="s">
        <v>47</v>
      </c>
      <c r="E965" t="s">
        <v>30</v>
      </c>
      <c r="F965">
        <v>64</v>
      </c>
      <c r="G965" t="s">
        <v>17</v>
      </c>
      <c r="H965" t="s">
        <v>18</v>
      </c>
      <c r="I965">
        <v>64</v>
      </c>
      <c r="J965">
        <v>3</v>
      </c>
      <c r="K965">
        <v>2</v>
      </c>
      <c r="L965">
        <v>54</v>
      </c>
      <c r="M965" t="s">
        <v>20</v>
      </c>
      <c r="N965" t="s">
        <v>65</v>
      </c>
      <c r="O965">
        <v>17130</v>
      </c>
      <c r="P965">
        <v>184</v>
      </c>
      <c r="Q965" t="s">
        <v>47</v>
      </c>
      <c r="R965" t="str">
        <f t="shared" si="16"/>
        <v>No</v>
      </c>
    </row>
    <row r="966" spans="1:18" x14ac:dyDescent="0.35">
      <c r="A966" s="1">
        <v>40344</v>
      </c>
      <c r="B966">
        <v>0</v>
      </c>
      <c r="C966" t="s">
        <v>83</v>
      </c>
      <c r="D966" t="s">
        <v>34</v>
      </c>
      <c r="E966" t="s">
        <v>30</v>
      </c>
      <c r="F966">
        <v>63</v>
      </c>
      <c r="G966" t="s">
        <v>23</v>
      </c>
      <c r="H966" t="s">
        <v>18</v>
      </c>
      <c r="I966">
        <v>64</v>
      </c>
      <c r="J966">
        <v>6</v>
      </c>
      <c r="K966">
        <v>4</v>
      </c>
      <c r="L966">
        <v>54</v>
      </c>
      <c r="M966" t="s">
        <v>20</v>
      </c>
      <c r="N966" t="s">
        <v>24</v>
      </c>
      <c r="O966">
        <v>12693</v>
      </c>
      <c r="P966">
        <v>191</v>
      </c>
      <c r="Q966" t="s">
        <v>34</v>
      </c>
      <c r="R966" t="str">
        <f t="shared" si="16"/>
        <v>No</v>
      </c>
    </row>
    <row r="967" spans="1:18" x14ac:dyDescent="0.35">
      <c r="A967" s="1">
        <v>40344</v>
      </c>
      <c r="B967">
        <v>0</v>
      </c>
      <c r="C967" t="s">
        <v>83</v>
      </c>
      <c r="D967" t="s">
        <v>46</v>
      </c>
      <c r="E967" t="s">
        <v>30</v>
      </c>
      <c r="F967">
        <v>66</v>
      </c>
      <c r="G967" t="s">
        <v>62</v>
      </c>
      <c r="H967" t="s">
        <v>18</v>
      </c>
      <c r="I967">
        <v>65</v>
      </c>
      <c r="J967">
        <v>2</v>
      </c>
      <c r="K967">
        <v>8</v>
      </c>
      <c r="L967">
        <v>51</v>
      </c>
      <c r="M967" t="s">
        <v>20</v>
      </c>
      <c r="N967" t="s">
        <v>81</v>
      </c>
      <c r="O967">
        <v>15266</v>
      </c>
      <c r="P967">
        <v>160</v>
      </c>
      <c r="Q967" t="s">
        <v>62</v>
      </c>
      <c r="R967" t="str">
        <f t="shared" si="16"/>
        <v>Yes</v>
      </c>
    </row>
    <row r="968" spans="1:18" x14ac:dyDescent="0.35">
      <c r="A968" s="1">
        <v>40344</v>
      </c>
      <c r="B968">
        <v>0</v>
      </c>
      <c r="C968" t="s">
        <v>83</v>
      </c>
      <c r="D968" t="s">
        <v>43</v>
      </c>
      <c r="E968" t="s">
        <v>30</v>
      </c>
      <c r="F968">
        <v>65</v>
      </c>
      <c r="G968" t="s">
        <v>70</v>
      </c>
      <c r="H968" t="s">
        <v>18</v>
      </c>
      <c r="I968">
        <v>64</v>
      </c>
      <c r="J968">
        <v>4</v>
      </c>
      <c r="K968">
        <v>1</v>
      </c>
      <c r="L968">
        <v>54</v>
      </c>
      <c r="M968" t="s">
        <v>20</v>
      </c>
      <c r="N968" t="s">
        <v>71</v>
      </c>
      <c r="O968">
        <v>35498</v>
      </c>
      <c r="P968">
        <v>161</v>
      </c>
      <c r="Q968" t="s">
        <v>43</v>
      </c>
      <c r="R968" t="str">
        <f t="shared" si="16"/>
        <v>No</v>
      </c>
    </row>
    <row r="969" spans="1:18" x14ac:dyDescent="0.35">
      <c r="A969" s="1">
        <v>40344</v>
      </c>
      <c r="B969">
        <v>0</v>
      </c>
      <c r="C969" t="s">
        <v>83</v>
      </c>
      <c r="D969" t="s">
        <v>40</v>
      </c>
      <c r="E969" t="s">
        <v>30</v>
      </c>
      <c r="F969">
        <v>65</v>
      </c>
      <c r="G969" t="s">
        <v>52</v>
      </c>
      <c r="H969" t="s">
        <v>18</v>
      </c>
      <c r="I969">
        <v>65</v>
      </c>
      <c r="J969">
        <v>2</v>
      </c>
      <c r="K969">
        <v>4</v>
      </c>
      <c r="L969">
        <v>51</v>
      </c>
      <c r="M969" t="s">
        <v>20</v>
      </c>
      <c r="N969" t="s">
        <v>82</v>
      </c>
      <c r="O969">
        <v>40269</v>
      </c>
      <c r="P969">
        <v>167</v>
      </c>
      <c r="Q969" t="s">
        <v>52</v>
      </c>
      <c r="R969" t="str">
        <f t="shared" si="16"/>
        <v>Yes</v>
      </c>
    </row>
    <row r="970" spans="1:18" x14ac:dyDescent="0.35">
      <c r="A970" s="1">
        <v>40345</v>
      </c>
      <c r="B970">
        <v>0</v>
      </c>
      <c r="C970" t="s">
        <v>16</v>
      </c>
      <c r="D970" t="s">
        <v>68</v>
      </c>
      <c r="E970" t="s">
        <v>18</v>
      </c>
      <c r="F970">
        <v>66</v>
      </c>
      <c r="G970" t="s">
        <v>31</v>
      </c>
      <c r="H970" t="s">
        <v>30</v>
      </c>
      <c r="I970">
        <v>69</v>
      </c>
      <c r="J970">
        <v>1</v>
      </c>
      <c r="K970">
        <v>5</v>
      </c>
      <c r="L970">
        <v>51</v>
      </c>
      <c r="M970" t="s">
        <v>38</v>
      </c>
      <c r="N970" t="s">
        <v>32</v>
      </c>
      <c r="O970">
        <v>37416</v>
      </c>
      <c r="P970">
        <v>152</v>
      </c>
      <c r="Q970" t="s">
        <v>31</v>
      </c>
      <c r="R970" t="str">
        <f t="shared" si="16"/>
        <v>Yes</v>
      </c>
    </row>
    <row r="971" spans="1:18" x14ac:dyDescent="0.35">
      <c r="A971" s="1">
        <v>40345</v>
      </c>
      <c r="B971">
        <v>0</v>
      </c>
      <c r="C971" t="s">
        <v>16</v>
      </c>
      <c r="D971" t="s">
        <v>60</v>
      </c>
      <c r="E971" t="s">
        <v>18</v>
      </c>
      <c r="F971">
        <v>66</v>
      </c>
      <c r="G971" t="s">
        <v>58</v>
      </c>
      <c r="H971" t="s">
        <v>30</v>
      </c>
      <c r="I971">
        <v>67</v>
      </c>
      <c r="J971">
        <v>2</v>
      </c>
      <c r="K971">
        <v>6</v>
      </c>
      <c r="L971">
        <v>51</v>
      </c>
      <c r="M971" t="s">
        <v>20</v>
      </c>
      <c r="N971" t="s">
        <v>86</v>
      </c>
      <c r="O971">
        <v>37452</v>
      </c>
      <c r="P971">
        <v>168</v>
      </c>
      <c r="Q971" t="s">
        <v>58</v>
      </c>
      <c r="R971" t="str">
        <f t="shared" si="16"/>
        <v>Yes</v>
      </c>
    </row>
    <row r="972" spans="1:18" x14ac:dyDescent="0.35">
      <c r="A972" s="1">
        <v>40345</v>
      </c>
      <c r="B972">
        <v>0</v>
      </c>
      <c r="C972" t="s">
        <v>16</v>
      </c>
      <c r="D972" t="s">
        <v>19</v>
      </c>
      <c r="E972" t="s">
        <v>18</v>
      </c>
      <c r="F972">
        <v>65</v>
      </c>
      <c r="G972" t="s">
        <v>33</v>
      </c>
      <c r="H972" t="s">
        <v>30</v>
      </c>
      <c r="I972">
        <v>64</v>
      </c>
      <c r="J972">
        <v>8</v>
      </c>
      <c r="K972">
        <v>4</v>
      </c>
      <c r="L972">
        <v>54</v>
      </c>
      <c r="M972" t="s">
        <v>20</v>
      </c>
      <c r="N972" t="s">
        <v>75</v>
      </c>
      <c r="O972">
        <v>14246</v>
      </c>
      <c r="P972">
        <v>170</v>
      </c>
      <c r="Q972" t="s">
        <v>19</v>
      </c>
      <c r="R972" t="str">
        <f t="shared" si="16"/>
        <v>No</v>
      </c>
    </row>
    <row r="973" spans="1:18" x14ac:dyDescent="0.35">
      <c r="A973" s="1">
        <v>40345</v>
      </c>
      <c r="B973">
        <v>0</v>
      </c>
      <c r="C973" t="s">
        <v>16</v>
      </c>
      <c r="D973" t="s">
        <v>26</v>
      </c>
      <c r="E973" t="s">
        <v>18</v>
      </c>
      <c r="F973">
        <v>66</v>
      </c>
      <c r="G973" t="s">
        <v>36</v>
      </c>
      <c r="H973" t="s">
        <v>30</v>
      </c>
      <c r="I973">
        <v>64</v>
      </c>
      <c r="J973">
        <v>3</v>
      </c>
      <c r="K973">
        <v>8</v>
      </c>
      <c r="L973">
        <v>51</v>
      </c>
      <c r="M973" t="s">
        <v>20</v>
      </c>
      <c r="N973" t="s">
        <v>57</v>
      </c>
      <c r="O973">
        <v>24767</v>
      </c>
      <c r="P973">
        <v>146</v>
      </c>
      <c r="Q973" t="s">
        <v>36</v>
      </c>
      <c r="R973" t="str">
        <f t="shared" si="16"/>
        <v>Yes</v>
      </c>
    </row>
    <row r="974" spans="1:18" x14ac:dyDescent="0.35">
      <c r="A974" s="1">
        <v>40345</v>
      </c>
      <c r="B974">
        <v>0</v>
      </c>
      <c r="C974" t="s">
        <v>16</v>
      </c>
      <c r="D974" t="s">
        <v>66</v>
      </c>
      <c r="E974" t="s">
        <v>18</v>
      </c>
      <c r="F974">
        <v>66</v>
      </c>
      <c r="G974" t="s">
        <v>37</v>
      </c>
      <c r="H974" t="s">
        <v>30</v>
      </c>
      <c r="I974">
        <v>66</v>
      </c>
      <c r="J974">
        <v>4</v>
      </c>
      <c r="K974">
        <v>2</v>
      </c>
      <c r="L974">
        <v>54</v>
      </c>
      <c r="M974" t="s">
        <v>20</v>
      </c>
      <c r="N974" t="s">
        <v>39</v>
      </c>
      <c r="O974">
        <v>17675</v>
      </c>
      <c r="P974">
        <v>145</v>
      </c>
      <c r="Q974" t="s">
        <v>66</v>
      </c>
      <c r="R974" t="str">
        <f t="shared" si="16"/>
        <v>No</v>
      </c>
    </row>
    <row r="975" spans="1:18" x14ac:dyDescent="0.35">
      <c r="A975" s="1">
        <v>40345</v>
      </c>
      <c r="B975">
        <v>0</v>
      </c>
      <c r="C975" t="s">
        <v>16</v>
      </c>
      <c r="D975" t="s">
        <v>63</v>
      </c>
      <c r="E975" t="s">
        <v>18</v>
      </c>
      <c r="F975">
        <v>65</v>
      </c>
      <c r="G975" t="s">
        <v>29</v>
      </c>
      <c r="H975" t="s">
        <v>30</v>
      </c>
      <c r="I975">
        <v>65</v>
      </c>
      <c r="J975">
        <v>1</v>
      </c>
      <c r="K975">
        <v>2</v>
      </c>
      <c r="L975">
        <v>51</v>
      </c>
      <c r="M975" t="s">
        <v>20</v>
      </c>
      <c r="N975" t="s">
        <v>76</v>
      </c>
      <c r="O975">
        <v>40814</v>
      </c>
      <c r="P975">
        <v>167</v>
      </c>
      <c r="Q975" t="s">
        <v>29</v>
      </c>
      <c r="R975" t="str">
        <f t="shared" si="16"/>
        <v>Yes</v>
      </c>
    </row>
    <row r="976" spans="1:18" x14ac:dyDescent="0.35">
      <c r="A976" s="1">
        <v>40345</v>
      </c>
      <c r="B976">
        <v>0</v>
      </c>
      <c r="C976" t="s">
        <v>16</v>
      </c>
      <c r="D976" t="s">
        <v>25</v>
      </c>
      <c r="E976" t="s">
        <v>18</v>
      </c>
      <c r="F976">
        <v>63</v>
      </c>
      <c r="G976" t="s">
        <v>59</v>
      </c>
      <c r="H976" t="s">
        <v>30</v>
      </c>
      <c r="I976">
        <v>65</v>
      </c>
      <c r="J976">
        <v>6</v>
      </c>
      <c r="K976">
        <v>3</v>
      </c>
      <c r="L976">
        <v>54</v>
      </c>
      <c r="M976" t="s">
        <v>20</v>
      </c>
      <c r="N976" t="s">
        <v>84</v>
      </c>
      <c r="O976">
        <v>47414</v>
      </c>
      <c r="P976">
        <v>171</v>
      </c>
      <c r="Q976" t="s">
        <v>25</v>
      </c>
      <c r="R976" t="str">
        <f t="shared" si="16"/>
        <v>No</v>
      </c>
    </row>
    <row r="977" spans="1:18" x14ac:dyDescent="0.35">
      <c r="A977" s="1">
        <v>40345</v>
      </c>
      <c r="B977">
        <v>0</v>
      </c>
      <c r="C977" t="s">
        <v>16</v>
      </c>
      <c r="D977" t="s">
        <v>44</v>
      </c>
      <c r="E977" t="s">
        <v>30</v>
      </c>
      <c r="F977">
        <v>65</v>
      </c>
      <c r="G977" t="s">
        <v>50</v>
      </c>
      <c r="H977" t="s">
        <v>18</v>
      </c>
      <c r="I977">
        <v>66</v>
      </c>
      <c r="J977">
        <v>2</v>
      </c>
      <c r="K977">
        <v>6</v>
      </c>
      <c r="L977">
        <v>51</v>
      </c>
      <c r="M977" t="s">
        <v>20</v>
      </c>
      <c r="N977" t="s">
        <v>51</v>
      </c>
      <c r="O977">
        <v>26807</v>
      </c>
      <c r="P977">
        <v>167</v>
      </c>
      <c r="Q977" t="s">
        <v>50</v>
      </c>
      <c r="R977" t="str">
        <f t="shared" si="16"/>
        <v>Yes</v>
      </c>
    </row>
    <row r="978" spans="1:18" x14ac:dyDescent="0.35">
      <c r="A978" s="1">
        <v>40345</v>
      </c>
      <c r="B978">
        <v>0</v>
      </c>
      <c r="C978" t="s">
        <v>16</v>
      </c>
      <c r="D978" t="s">
        <v>41</v>
      </c>
      <c r="E978" t="s">
        <v>30</v>
      </c>
      <c r="F978">
        <v>67</v>
      </c>
      <c r="G978" t="s">
        <v>49</v>
      </c>
      <c r="H978" t="s">
        <v>18</v>
      </c>
      <c r="I978">
        <v>65</v>
      </c>
      <c r="J978">
        <v>2</v>
      </c>
      <c r="K978">
        <v>6</v>
      </c>
      <c r="L978">
        <v>51</v>
      </c>
      <c r="M978" t="s">
        <v>20</v>
      </c>
      <c r="N978" t="s">
        <v>79</v>
      </c>
      <c r="O978">
        <v>36244</v>
      </c>
      <c r="P978">
        <v>153</v>
      </c>
      <c r="Q978" t="s">
        <v>49</v>
      </c>
      <c r="R978" t="str">
        <f t="shared" si="16"/>
        <v>Yes</v>
      </c>
    </row>
    <row r="979" spans="1:18" x14ac:dyDescent="0.35">
      <c r="A979" s="1">
        <v>40345</v>
      </c>
      <c r="B979">
        <v>0</v>
      </c>
      <c r="C979" t="s">
        <v>16</v>
      </c>
      <c r="D979" t="s">
        <v>22</v>
      </c>
      <c r="E979" t="s">
        <v>18</v>
      </c>
      <c r="F979">
        <v>65</v>
      </c>
      <c r="G979" t="s">
        <v>53</v>
      </c>
      <c r="H979" t="s">
        <v>18</v>
      </c>
      <c r="I979">
        <v>66</v>
      </c>
      <c r="J979">
        <v>6</v>
      </c>
      <c r="K979">
        <v>2</v>
      </c>
      <c r="L979">
        <v>54</v>
      </c>
      <c r="M979" t="s">
        <v>20</v>
      </c>
      <c r="N979" t="s">
        <v>54</v>
      </c>
      <c r="O979">
        <v>23083</v>
      </c>
      <c r="P979">
        <v>171</v>
      </c>
      <c r="Q979" t="s">
        <v>22</v>
      </c>
      <c r="R979" t="str">
        <f t="shared" si="16"/>
        <v>No</v>
      </c>
    </row>
    <row r="980" spans="1:18" x14ac:dyDescent="0.35">
      <c r="A980" s="1">
        <v>40345</v>
      </c>
      <c r="B980">
        <v>0</v>
      </c>
      <c r="C980" t="s">
        <v>16</v>
      </c>
      <c r="D980" t="s">
        <v>47</v>
      </c>
      <c r="E980" t="s">
        <v>30</v>
      </c>
      <c r="F980">
        <v>65</v>
      </c>
      <c r="G980" t="s">
        <v>17</v>
      </c>
      <c r="H980" t="s">
        <v>18</v>
      </c>
      <c r="I980">
        <v>65</v>
      </c>
      <c r="J980">
        <v>6</v>
      </c>
      <c r="K980">
        <v>3</v>
      </c>
      <c r="L980">
        <v>54</v>
      </c>
      <c r="M980" t="s">
        <v>20</v>
      </c>
      <c r="N980" t="s">
        <v>65</v>
      </c>
      <c r="O980">
        <v>17014</v>
      </c>
      <c r="P980">
        <v>170</v>
      </c>
      <c r="Q980" t="s">
        <v>47</v>
      </c>
      <c r="R980" t="str">
        <f t="shared" si="16"/>
        <v>No</v>
      </c>
    </row>
    <row r="981" spans="1:18" x14ac:dyDescent="0.35">
      <c r="A981" s="1">
        <v>40345</v>
      </c>
      <c r="B981">
        <v>0</v>
      </c>
      <c r="C981" t="s">
        <v>16</v>
      </c>
      <c r="D981" t="s">
        <v>34</v>
      </c>
      <c r="E981" t="s">
        <v>30</v>
      </c>
      <c r="F981">
        <v>64</v>
      </c>
      <c r="G981" t="s">
        <v>23</v>
      </c>
      <c r="H981" t="s">
        <v>18</v>
      </c>
      <c r="I981">
        <v>65</v>
      </c>
      <c r="J981">
        <v>7</v>
      </c>
      <c r="K981">
        <v>2</v>
      </c>
      <c r="L981">
        <v>54</v>
      </c>
      <c r="M981" t="s">
        <v>20</v>
      </c>
      <c r="N981" t="s">
        <v>24</v>
      </c>
      <c r="O981">
        <v>15218</v>
      </c>
      <c r="P981">
        <v>146</v>
      </c>
      <c r="Q981" t="s">
        <v>34</v>
      </c>
      <c r="R981" t="str">
        <f t="shared" si="16"/>
        <v>No</v>
      </c>
    </row>
    <row r="982" spans="1:18" x14ac:dyDescent="0.35">
      <c r="A982" s="1">
        <v>40345</v>
      </c>
      <c r="B982">
        <v>0</v>
      </c>
      <c r="C982" t="s">
        <v>16</v>
      </c>
      <c r="D982" t="s">
        <v>46</v>
      </c>
      <c r="E982" t="s">
        <v>30</v>
      </c>
      <c r="F982">
        <v>67</v>
      </c>
      <c r="G982" t="s">
        <v>62</v>
      </c>
      <c r="H982" t="s">
        <v>18</v>
      </c>
      <c r="I982">
        <v>66</v>
      </c>
      <c r="J982">
        <v>7</v>
      </c>
      <c r="K982">
        <v>1</v>
      </c>
      <c r="L982">
        <v>54</v>
      </c>
      <c r="M982" t="s">
        <v>38</v>
      </c>
      <c r="N982" t="s">
        <v>81</v>
      </c>
      <c r="O982">
        <v>16050</v>
      </c>
      <c r="P982">
        <v>170</v>
      </c>
      <c r="Q982" t="s">
        <v>46</v>
      </c>
      <c r="R982" t="str">
        <f t="shared" si="16"/>
        <v>No</v>
      </c>
    </row>
    <row r="983" spans="1:18" x14ac:dyDescent="0.35">
      <c r="A983" s="1">
        <v>40345</v>
      </c>
      <c r="B983">
        <v>0</v>
      </c>
      <c r="C983" t="s">
        <v>16</v>
      </c>
      <c r="D983" t="s">
        <v>43</v>
      </c>
      <c r="E983" t="s">
        <v>30</v>
      </c>
      <c r="F983">
        <v>66</v>
      </c>
      <c r="G983" t="s">
        <v>70</v>
      </c>
      <c r="H983" t="s">
        <v>18</v>
      </c>
      <c r="I983">
        <v>65</v>
      </c>
      <c r="J983">
        <v>3</v>
      </c>
      <c r="K983">
        <v>6</v>
      </c>
      <c r="L983">
        <v>51</v>
      </c>
      <c r="M983" t="s">
        <v>38</v>
      </c>
      <c r="N983" t="s">
        <v>71</v>
      </c>
      <c r="O983">
        <v>38485</v>
      </c>
      <c r="P983">
        <v>181</v>
      </c>
      <c r="Q983" t="s">
        <v>70</v>
      </c>
      <c r="R983" t="str">
        <f t="shared" si="16"/>
        <v>Yes</v>
      </c>
    </row>
    <row r="984" spans="1:18" x14ac:dyDescent="0.35">
      <c r="A984" s="1">
        <v>40345</v>
      </c>
      <c r="B984">
        <v>0</v>
      </c>
      <c r="C984" t="s">
        <v>16</v>
      </c>
      <c r="D984" t="s">
        <v>40</v>
      </c>
      <c r="E984" t="s">
        <v>30</v>
      </c>
      <c r="F984">
        <v>66</v>
      </c>
      <c r="G984" t="s">
        <v>52</v>
      </c>
      <c r="H984" t="s">
        <v>18</v>
      </c>
      <c r="I984">
        <v>66</v>
      </c>
      <c r="J984">
        <v>2</v>
      </c>
      <c r="K984">
        <v>1</v>
      </c>
      <c r="L984">
        <v>54</v>
      </c>
      <c r="M984" t="s">
        <v>20</v>
      </c>
      <c r="N984" t="s">
        <v>82</v>
      </c>
      <c r="O984">
        <v>40020</v>
      </c>
      <c r="P984">
        <v>167</v>
      </c>
      <c r="Q984" t="s">
        <v>40</v>
      </c>
      <c r="R984" t="str">
        <f t="shared" si="16"/>
        <v>No</v>
      </c>
    </row>
    <row r="985" spans="1:18" x14ac:dyDescent="0.35">
      <c r="A985" s="1">
        <v>40346</v>
      </c>
      <c r="B985">
        <v>0</v>
      </c>
      <c r="C985" t="s">
        <v>28</v>
      </c>
      <c r="D985" t="s">
        <v>60</v>
      </c>
      <c r="E985" t="s">
        <v>18</v>
      </c>
      <c r="F985">
        <v>67</v>
      </c>
      <c r="G985" t="s">
        <v>58</v>
      </c>
      <c r="H985" t="s">
        <v>30</v>
      </c>
      <c r="I985">
        <v>68</v>
      </c>
      <c r="J985">
        <v>5</v>
      </c>
      <c r="K985">
        <v>8</v>
      </c>
      <c r="L985">
        <v>51</v>
      </c>
      <c r="M985" t="s">
        <v>20</v>
      </c>
      <c r="N985" t="s">
        <v>86</v>
      </c>
      <c r="O985">
        <v>37544</v>
      </c>
      <c r="P985">
        <v>204</v>
      </c>
      <c r="Q985" t="s">
        <v>58</v>
      </c>
      <c r="R985" t="str">
        <f t="shared" si="16"/>
        <v>Yes</v>
      </c>
    </row>
    <row r="986" spans="1:18" x14ac:dyDescent="0.35">
      <c r="A986" s="1">
        <v>40346</v>
      </c>
      <c r="B986">
        <v>0</v>
      </c>
      <c r="C986" t="s">
        <v>28</v>
      </c>
      <c r="D986" t="s">
        <v>19</v>
      </c>
      <c r="E986" t="s">
        <v>18</v>
      </c>
      <c r="F986">
        <v>66</v>
      </c>
      <c r="G986" t="s">
        <v>33</v>
      </c>
      <c r="H986" t="s">
        <v>30</v>
      </c>
      <c r="I986">
        <v>65</v>
      </c>
      <c r="J986">
        <v>6</v>
      </c>
      <c r="K986">
        <v>4</v>
      </c>
      <c r="L986">
        <v>54</v>
      </c>
      <c r="M986" t="s">
        <v>20</v>
      </c>
      <c r="N986" t="s">
        <v>75</v>
      </c>
      <c r="O986">
        <v>14339</v>
      </c>
      <c r="P986">
        <v>169</v>
      </c>
      <c r="Q986" t="s">
        <v>19</v>
      </c>
      <c r="R986" t="str">
        <f t="shared" si="16"/>
        <v>No</v>
      </c>
    </row>
    <row r="987" spans="1:18" x14ac:dyDescent="0.35">
      <c r="A987" s="1">
        <v>40346</v>
      </c>
      <c r="B987">
        <v>0</v>
      </c>
      <c r="C987" t="s">
        <v>28</v>
      </c>
      <c r="D987" t="s">
        <v>26</v>
      </c>
      <c r="E987" t="s">
        <v>18</v>
      </c>
      <c r="F987">
        <v>67</v>
      </c>
      <c r="G987" t="s">
        <v>36</v>
      </c>
      <c r="H987" t="s">
        <v>30</v>
      </c>
      <c r="I987">
        <v>65</v>
      </c>
      <c r="J987">
        <v>3</v>
      </c>
      <c r="K987">
        <v>8</v>
      </c>
      <c r="L987">
        <v>51</v>
      </c>
      <c r="M987" t="s">
        <v>38</v>
      </c>
      <c r="N987" t="s">
        <v>57</v>
      </c>
      <c r="O987">
        <v>33630</v>
      </c>
      <c r="P987">
        <v>164</v>
      </c>
      <c r="Q987" t="s">
        <v>36</v>
      </c>
      <c r="R987" t="str">
        <f t="shared" si="16"/>
        <v>Yes</v>
      </c>
    </row>
    <row r="988" spans="1:18" x14ac:dyDescent="0.35">
      <c r="A988" s="1">
        <v>40346</v>
      </c>
      <c r="B988">
        <v>0</v>
      </c>
      <c r="C988" t="s">
        <v>28</v>
      </c>
      <c r="D988" t="s">
        <v>66</v>
      </c>
      <c r="E988" t="s">
        <v>18</v>
      </c>
      <c r="F988">
        <v>67</v>
      </c>
      <c r="G988" t="s">
        <v>37</v>
      </c>
      <c r="H988" t="s">
        <v>30</v>
      </c>
      <c r="I988">
        <v>67</v>
      </c>
      <c r="J988">
        <v>2</v>
      </c>
      <c r="K988">
        <v>5</v>
      </c>
      <c r="L988">
        <v>51</v>
      </c>
      <c r="M988" t="s">
        <v>20</v>
      </c>
      <c r="N988" t="s">
        <v>39</v>
      </c>
      <c r="O988">
        <v>16255</v>
      </c>
      <c r="P988">
        <v>152</v>
      </c>
      <c r="Q988" t="s">
        <v>37</v>
      </c>
      <c r="R988" t="str">
        <f t="shared" si="16"/>
        <v>Yes</v>
      </c>
    </row>
    <row r="989" spans="1:18" x14ac:dyDescent="0.35">
      <c r="A989" s="1">
        <v>40346</v>
      </c>
      <c r="B989">
        <v>0</v>
      </c>
      <c r="C989" t="s">
        <v>28</v>
      </c>
      <c r="D989" t="s">
        <v>63</v>
      </c>
      <c r="E989" t="s">
        <v>18</v>
      </c>
      <c r="F989">
        <v>66</v>
      </c>
      <c r="G989" t="s">
        <v>29</v>
      </c>
      <c r="H989" t="s">
        <v>30</v>
      </c>
      <c r="I989">
        <v>66</v>
      </c>
      <c r="J989">
        <v>5</v>
      </c>
      <c r="K989">
        <v>1</v>
      </c>
      <c r="L989">
        <v>54</v>
      </c>
      <c r="M989" t="s">
        <v>38</v>
      </c>
      <c r="N989" t="s">
        <v>76</v>
      </c>
      <c r="O989">
        <v>40741</v>
      </c>
      <c r="P989">
        <v>142</v>
      </c>
      <c r="Q989" t="s">
        <v>63</v>
      </c>
      <c r="R989" t="str">
        <f t="shared" si="16"/>
        <v>No</v>
      </c>
    </row>
    <row r="990" spans="1:18" x14ac:dyDescent="0.35">
      <c r="A990" s="1">
        <v>40346</v>
      </c>
      <c r="B990">
        <v>0</v>
      </c>
      <c r="C990" t="s">
        <v>28</v>
      </c>
      <c r="D990" t="s">
        <v>25</v>
      </c>
      <c r="E990" t="s">
        <v>18</v>
      </c>
      <c r="F990">
        <v>64</v>
      </c>
      <c r="G990" t="s">
        <v>59</v>
      </c>
      <c r="H990" t="s">
        <v>30</v>
      </c>
      <c r="I990">
        <v>66</v>
      </c>
      <c r="J990">
        <v>7</v>
      </c>
      <c r="K990">
        <v>1</v>
      </c>
      <c r="L990">
        <v>54</v>
      </c>
      <c r="M990" t="s">
        <v>20</v>
      </c>
      <c r="N990" t="s">
        <v>84</v>
      </c>
      <c r="O990">
        <v>47204</v>
      </c>
      <c r="P990">
        <v>195</v>
      </c>
      <c r="Q990" t="s">
        <v>25</v>
      </c>
      <c r="R990" t="str">
        <f t="shared" si="16"/>
        <v>No</v>
      </c>
    </row>
    <row r="991" spans="1:18" x14ac:dyDescent="0.35">
      <c r="A991" s="1">
        <v>40346</v>
      </c>
      <c r="B991">
        <v>0</v>
      </c>
      <c r="C991" t="s">
        <v>28</v>
      </c>
      <c r="D991" t="s">
        <v>44</v>
      </c>
      <c r="E991" t="s">
        <v>30</v>
      </c>
      <c r="F991">
        <v>66</v>
      </c>
      <c r="G991" t="s">
        <v>50</v>
      </c>
      <c r="H991" t="s">
        <v>18</v>
      </c>
      <c r="I991">
        <v>67</v>
      </c>
      <c r="J991">
        <v>1</v>
      </c>
      <c r="K991">
        <v>3</v>
      </c>
      <c r="L991">
        <v>51</v>
      </c>
      <c r="M991" t="s">
        <v>20</v>
      </c>
      <c r="N991" t="s">
        <v>51</v>
      </c>
      <c r="O991">
        <v>30427</v>
      </c>
      <c r="P991">
        <v>144</v>
      </c>
      <c r="Q991" t="s">
        <v>50</v>
      </c>
      <c r="R991" t="str">
        <f t="shared" si="16"/>
        <v>Yes</v>
      </c>
    </row>
    <row r="992" spans="1:18" x14ac:dyDescent="0.35">
      <c r="A992" s="1">
        <v>40346</v>
      </c>
      <c r="B992">
        <v>0</v>
      </c>
      <c r="C992" t="s">
        <v>28</v>
      </c>
      <c r="D992" t="s">
        <v>41</v>
      </c>
      <c r="E992" t="s">
        <v>30</v>
      </c>
      <c r="F992">
        <v>68</v>
      </c>
      <c r="G992" t="s">
        <v>49</v>
      </c>
      <c r="H992" t="s">
        <v>18</v>
      </c>
      <c r="I992">
        <v>66</v>
      </c>
      <c r="J992">
        <v>2</v>
      </c>
      <c r="K992">
        <v>3</v>
      </c>
      <c r="L992">
        <v>52</v>
      </c>
      <c r="M992" t="s">
        <v>38</v>
      </c>
      <c r="N992" t="s">
        <v>79</v>
      </c>
      <c r="O992">
        <v>36942</v>
      </c>
      <c r="P992">
        <v>170</v>
      </c>
      <c r="Q992" t="s">
        <v>49</v>
      </c>
      <c r="R992" t="str">
        <f t="shared" si="16"/>
        <v>Yes</v>
      </c>
    </row>
    <row r="993" spans="1:18" x14ac:dyDescent="0.35">
      <c r="A993" s="1">
        <v>40346</v>
      </c>
      <c r="B993">
        <v>0</v>
      </c>
      <c r="C993" t="s">
        <v>28</v>
      </c>
      <c r="D993" t="s">
        <v>22</v>
      </c>
      <c r="E993" t="s">
        <v>18</v>
      </c>
      <c r="F993">
        <v>66</v>
      </c>
      <c r="G993" t="s">
        <v>53</v>
      </c>
      <c r="H993" t="s">
        <v>18</v>
      </c>
      <c r="I993">
        <v>67</v>
      </c>
      <c r="J993">
        <v>1</v>
      </c>
      <c r="K993">
        <v>7</v>
      </c>
      <c r="L993">
        <v>51</v>
      </c>
      <c r="M993" t="s">
        <v>38</v>
      </c>
      <c r="N993" t="s">
        <v>54</v>
      </c>
      <c r="O993">
        <v>25585</v>
      </c>
      <c r="P993">
        <v>146</v>
      </c>
      <c r="Q993" t="s">
        <v>53</v>
      </c>
      <c r="R993" t="str">
        <f t="shared" si="16"/>
        <v>Yes</v>
      </c>
    </row>
    <row r="994" spans="1:18" x14ac:dyDescent="0.35">
      <c r="A994" s="1">
        <v>40346</v>
      </c>
      <c r="B994">
        <v>0</v>
      </c>
      <c r="C994" t="s">
        <v>28</v>
      </c>
      <c r="D994" t="s">
        <v>47</v>
      </c>
      <c r="E994" t="s">
        <v>30</v>
      </c>
      <c r="F994">
        <v>66</v>
      </c>
      <c r="G994" t="s">
        <v>17</v>
      </c>
      <c r="H994" t="s">
        <v>18</v>
      </c>
      <c r="I994">
        <v>66</v>
      </c>
      <c r="J994">
        <v>6</v>
      </c>
      <c r="K994">
        <v>4</v>
      </c>
      <c r="L994">
        <v>54</v>
      </c>
      <c r="M994" t="s">
        <v>20</v>
      </c>
      <c r="N994" t="s">
        <v>65</v>
      </c>
      <c r="O994">
        <v>11683</v>
      </c>
      <c r="P994">
        <v>177</v>
      </c>
      <c r="Q994" t="s">
        <v>47</v>
      </c>
      <c r="R994" t="str">
        <f t="shared" si="16"/>
        <v>No</v>
      </c>
    </row>
    <row r="995" spans="1:18" x14ac:dyDescent="0.35">
      <c r="A995" s="1">
        <v>40346</v>
      </c>
      <c r="B995">
        <v>0</v>
      </c>
      <c r="C995" t="s">
        <v>28</v>
      </c>
      <c r="D995" t="s">
        <v>34</v>
      </c>
      <c r="E995" t="s">
        <v>30</v>
      </c>
      <c r="F995">
        <v>65</v>
      </c>
      <c r="G995" t="s">
        <v>23</v>
      </c>
      <c r="H995" t="s">
        <v>18</v>
      </c>
      <c r="I995">
        <v>66</v>
      </c>
      <c r="J995">
        <v>5</v>
      </c>
      <c r="K995">
        <v>4</v>
      </c>
      <c r="L995">
        <v>54</v>
      </c>
      <c r="M995" t="s">
        <v>20</v>
      </c>
      <c r="N995" t="s">
        <v>24</v>
      </c>
      <c r="O995">
        <v>23170</v>
      </c>
      <c r="P995">
        <v>158</v>
      </c>
      <c r="Q995" t="s">
        <v>34</v>
      </c>
      <c r="R995" t="str">
        <f t="shared" si="16"/>
        <v>No</v>
      </c>
    </row>
    <row r="996" spans="1:18" x14ac:dyDescent="0.35">
      <c r="A996" s="1">
        <v>40347</v>
      </c>
      <c r="B996">
        <v>0</v>
      </c>
      <c r="C996" t="s">
        <v>55</v>
      </c>
      <c r="D996" t="s">
        <v>22</v>
      </c>
      <c r="E996" t="s">
        <v>18</v>
      </c>
      <c r="F996">
        <v>67</v>
      </c>
      <c r="G996" t="s">
        <v>58</v>
      </c>
      <c r="H996" t="s">
        <v>30</v>
      </c>
      <c r="I996">
        <v>69</v>
      </c>
      <c r="J996">
        <v>6</v>
      </c>
      <c r="K996">
        <v>10</v>
      </c>
      <c r="L996">
        <v>51</v>
      </c>
      <c r="M996" t="s">
        <v>20</v>
      </c>
      <c r="N996" t="s">
        <v>86</v>
      </c>
      <c r="O996">
        <v>37723</v>
      </c>
      <c r="P996">
        <v>198</v>
      </c>
      <c r="Q996" t="s">
        <v>58</v>
      </c>
      <c r="R996" t="str">
        <f t="shared" si="16"/>
        <v>Yes</v>
      </c>
    </row>
    <row r="997" spans="1:18" x14ac:dyDescent="0.35">
      <c r="A997" s="1">
        <v>40347</v>
      </c>
      <c r="B997">
        <v>0</v>
      </c>
      <c r="C997" t="s">
        <v>55</v>
      </c>
      <c r="D997" t="s">
        <v>60</v>
      </c>
      <c r="E997" t="s">
        <v>18</v>
      </c>
      <c r="F997">
        <v>68</v>
      </c>
      <c r="G997" t="s">
        <v>36</v>
      </c>
      <c r="H997" t="s">
        <v>30</v>
      </c>
      <c r="I997">
        <v>66</v>
      </c>
      <c r="J997">
        <v>5</v>
      </c>
      <c r="K997">
        <v>7</v>
      </c>
      <c r="L997">
        <v>51</v>
      </c>
      <c r="M997" t="s">
        <v>20</v>
      </c>
      <c r="N997" t="s">
        <v>57</v>
      </c>
      <c r="O997">
        <v>37438</v>
      </c>
      <c r="P997">
        <v>178</v>
      </c>
      <c r="Q997" t="s">
        <v>36</v>
      </c>
      <c r="R997" t="str">
        <f t="shared" si="16"/>
        <v>Yes</v>
      </c>
    </row>
    <row r="998" spans="1:18" x14ac:dyDescent="0.35">
      <c r="A998" s="1">
        <v>40347</v>
      </c>
      <c r="B998">
        <v>0</v>
      </c>
      <c r="C998" t="s">
        <v>55</v>
      </c>
      <c r="D998" t="s">
        <v>19</v>
      </c>
      <c r="E998" t="s">
        <v>18</v>
      </c>
      <c r="F998">
        <v>67</v>
      </c>
      <c r="G998" t="s">
        <v>59</v>
      </c>
      <c r="H998" t="s">
        <v>30</v>
      </c>
      <c r="I998">
        <v>67</v>
      </c>
      <c r="J998">
        <v>4</v>
      </c>
      <c r="K998">
        <v>0</v>
      </c>
      <c r="L998">
        <v>54</v>
      </c>
      <c r="M998" t="s">
        <v>20</v>
      </c>
      <c r="N998" t="s">
        <v>84</v>
      </c>
      <c r="O998">
        <v>49220</v>
      </c>
      <c r="P998">
        <v>221</v>
      </c>
      <c r="Q998" t="s">
        <v>19</v>
      </c>
      <c r="R998" t="str">
        <f t="shared" si="16"/>
        <v>No</v>
      </c>
    </row>
    <row r="999" spans="1:18" x14ac:dyDescent="0.35">
      <c r="A999" s="1">
        <v>40347</v>
      </c>
      <c r="B999">
        <v>0</v>
      </c>
      <c r="C999" t="s">
        <v>55</v>
      </c>
      <c r="D999" t="s">
        <v>53</v>
      </c>
      <c r="E999" t="s">
        <v>18</v>
      </c>
      <c r="F999">
        <v>68</v>
      </c>
      <c r="G999" t="s">
        <v>40</v>
      </c>
      <c r="H999" t="s">
        <v>30</v>
      </c>
      <c r="I999">
        <v>67</v>
      </c>
      <c r="J999">
        <v>0</v>
      </c>
      <c r="K999">
        <v>1</v>
      </c>
      <c r="L999">
        <v>51</v>
      </c>
      <c r="M999" t="s">
        <v>20</v>
      </c>
      <c r="N999" t="s">
        <v>77</v>
      </c>
      <c r="O999">
        <v>43362</v>
      </c>
      <c r="P999">
        <v>136</v>
      </c>
      <c r="Q999" t="s">
        <v>40</v>
      </c>
      <c r="R999" t="str">
        <f t="shared" si="16"/>
        <v>Yes</v>
      </c>
    </row>
    <row r="1000" spans="1:18" x14ac:dyDescent="0.35">
      <c r="A1000" s="1">
        <v>40347</v>
      </c>
      <c r="B1000">
        <v>0</v>
      </c>
      <c r="C1000" t="s">
        <v>55</v>
      </c>
      <c r="D1000" t="s">
        <v>70</v>
      </c>
      <c r="E1000" t="s">
        <v>18</v>
      </c>
      <c r="F1000">
        <v>66</v>
      </c>
      <c r="G1000" t="s">
        <v>46</v>
      </c>
      <c r="H1000" t="s">
        <v>30</v>
      </c>
      <c r="I1000">
        <v>68</v>
      </c>
      <c r="J1000">
        <v>2</v>
      </c>
      <c r="K1000">
        <v>3</v>
      </c>
      <c r="L1000">
        <v>51</v>
      </c>
      <c r="M1000" t="s">
        <v>20</v>
      </c>
      <c r="N1000" t="s">
        <v>78</v>
      </c>
      <c r="O1000">
        <v>18667</v>
      </c>
      <c r="P1000">
        <v>137</v>
      </c>
      <c r="Q1000" t="s">
        <v>46</v>
      </c>
      <c r="R1000" t="str">
        <f t="shared" si="16"/>
        <v>Yes</v>
      </c>
    </row>
    <row r="1001" spans="1:18" x14ac:dyDescent="0.35">
      <c r="A1001" s="1">
        <v>40347</v>
      </c>
      <c r="B1001">
        <v>0</v>
      </c>
      <c r="C1001" t="s">
        <v>55</v>
      </c>
      <c r="D1001" t="s">
        <v>37</v>
      </c>
      <c r="E1001" t="s">
        <v>30</v>
      </c>
      <c r="F1001">
        <v>68</v>
      </c>
      <c r="G1001" t="s">
        <v>50</v>
      </c>
      <c r="H1001" t="s">
        <v>18</v>
      </c>
      <c r="I1001">
        <v>68</v>
      </c>
      <c r="J1001">
        <v>4</v>
      </c>
      <c r="K1001">
        <v>6</v>
      </c>
      <c r="L1001">
        <v>51</v>
      </c>
      <c r="M1001" t="s">
        <v>20</v>
      </c>
      <c r="N1001" t="s">
        <v>51</v>
      </c>
      <c r="O1001">
        <v>29808</v>
      </c>
      <c r="P1001">
        <v>162</v>
      </c>
      <c r="Q1001" t="s">
        <v>50</v>
      </c>
      <c r="R1001" t="str">
        <f t="shared" si="16"/>
        <v>Yes</v>
      </c>
    </row>
    <row r="1002" spans="1:18" x14ac:dyDescent="0.35">
      <c r="A1002" s="1">
        <v>40347</v>
      </c>
      <c r="B1002">
        <v>0</v>
      </c>
      <c r="C1002" t="s">
        <v>55</v>
      </c>
      <c r="D1002" t="s">
        <v>31</v>
      </c>
      <c r="E1002" t="s">
        <v>30</v>
      </c>
      <c r="F1002">
        <v>70</v>
      </c>
      <c r="G1002" t="s">
        <v>49</v>
      </c>
      <c r="H1002" t="s">
        <v>18</v>
      </c>
      <c r="I1002">
        <v>67</v>
      </c>
      <c r="J1002">
        <v>7</v>
      </c>
      <c r="K1002">
        <v>6</v>
      </c>
      <c r="L1002">
        <v>54</v>
      </c>
      <c r="M1002" t="s">
        <v>38</v>
      </c>
      <c r="N1002" t="s">
        <v>79</v>
      </c>
      <c r="O1002">
        <v>39729</v>
      </c>
      <c r="P1002">
        <v>168</v>
      </c>
      <c r="Q1002" t="s">
        <v>31</v>
      </c>
      <c r="R1002" t="str">
        <f t="shared" si="16"/>
        <v>No</v>
      </c>
    </row>
    <row r="1003" spans="1:18" x14ac:dyDescent="0.35">
      <c r="A1003" s="1">
        <v>40347</v>
      </c>
      <c r="B1003">
        <v>0</v>
      </c>
      <c r="C1003" t="s">
        <v>55</v>
      </c>
      <c r="D1003" t="s">
        <v>68</v>
      </c>
      <c r="E1003" t="s">
        <v>18</v>
      </c>
      <c r="F1003">
        <v>67</v>
      </c>
      <c r="G1003" t="s">
        <v>63</v>
      </c>
      <c r="H1003" t="s">
        <v>18</v>
      </c>
      <c r="I1003">
        <v>67</v>
      </c>
      <c r="J1003">
        <v>0</v>
      </c>
      <c r="K1003">
        <v>2</v>
      </c>
      <c r="L1003">
        <v>51</v>
      </c>
      <c r="M1003" t="s">
        <v>20</v>
      </c>
      <c r="N1003" t="s">
        <v>64</v>
      </c>
      <c r="O1003">
        <v>32340</v>
      </c>
      <c r="P1003">
        <v>163</v>
      </c>
      <c r="Q1003" t="s">
        <v>63</v>
      </c>
      <c r="R1003" t="str">
        <f t="shared" si="16"/>
        <v>Yes</v>
      </c>
    </row>
    <row r="1004" spans="1:18" x14ac:dyDescent="0.35">
      <c r="A1004" s="1">
        <v>40347</v>
      </c>
      <c r="B1004">
        <v>0</v>
      </c>
      <c r="C1004" t="s">
        <v>55</v>
      </c>
      <c r="D1004" t="s">
        <v>44</v>
      </c>
      <c r="E1004" t="s">
        <v>30</v>
      </c>
      <c r="F1004">
        <v>67</v>
      </c>
      <c r="G1004" t="s">
        <v>17</v>
      </c>
      <c r="H1004" t="s">
        <v>18</v>
      </c>
      <c r="I1004">
        <v>67</v>
      </c>
      <c r="J1004">
        <v>4</v>
      </c>
      <c r="K1004">
        <v>7</v>
      </c>
      <c r="L1004">
        <v>51</v>
      </c>
      <c r="M1004" t="s">
        <v>20</v>
      </c>
      <c r="N1004" t="s">
        <v>65</v>
      </c>
      <c r="O1004">
        <v>17310</v>
      </c>
      <c r="P1004">
        <v>176</v>
      </c>
      <c r="Q1004" t="s">
        <v>17</v>
      </c>
      <c r="R1004" t="str">
        <f t="shared" si="16"/>
        <v>Yes</v>
      </c>
    </row>
    <row r="1005" spans="1:18" x14ac:dyDescent="0.35">
      <c r="A1005" s="1">
        <v>40347</v>
      </c>
      <c r="B1005">
        <v>0</v>
      </c>
      <c r="C1005" t="s">
        <v>55</v>
      </c>
      <c r="D1005" t="s">
        <v>47</v>
      </c>
      <c r="E1005" t="s">
        <v>30</v>
      </c>
      <c r="F1005">
        <v>67</v>
      </c>
      <c r="G1005" t="s">
        <v>66</v>
      </c>
      <c r="H1005" t="s">
        <v>18</v>
      </c>
      <c r="I1005">
        <v>68</v>
      </c>
      <c r="J1005">
        <v>9</v>
      </c>
      <c r="K1005">
        <v>3</v>
      </c>
      <c r="L1005">
        <v>54</v>
      </c>
      <c r="M1005" t="s">
        <v>20</v>
      </c>
      <c r="N1005" t="s">
        <v>67</v>
      </c>
      <c r="O1005">
        <v>33951</v>
      </c>
      <c r="P1005">
        <v>172</v>
      </c>
      <c r="Q1005" t="s">
        <v>47</v>
      </c>
      <c r="R1005" t="str">
        <f t="shared" si="16"/>
        <v>No</v>
      </c>
    </row>
    <row r="1006" spans="1:18" x14ac:dyDescent="0.35">
      <c r="A1006" s="1">
        <v>40347</v>
      </c>
      <c r="B1006">
        <v>0</v>
      </c>
      <c r="C1006" t="s">
        <v>55</v>
      </c>
      <c r="D1006" t="s">
        <v>29</v>
      </c>
      <c r="E1006" t="s">
        <v>30</v>
      </c>
      <c r="F1006">
        <v>67</v>
      </c>
      <c r="G1006" t="s">
        <v>25</v>
      </c>
      <c r="H1006" t="s">
        <v>18</v>
      </c>
      <c r="I1006">
        <v>65</v>
      </c>
      <c r="J1006">
        <v>5</v>
      </c>
      <c r="K1006">
        <v>9</v>
      </c>
      <c r="L1006">
        <v>51</v>
      </c>
      <c r="M1006" t="s">
        <v>20</v>
      </c>
      <c r="N1006" t="s">
        <v>80</v>
      </c>
      <c r="O1006">
        <v>45120</v>
      </c>
      <c r="P1006">
        <v>169</v>
      </c>
      <c r="Q1006" t="s">
        <v>25</v>
      </c>
      <c r="R1006" t="str">
        <f t="shared" si="16"/>
        <v>Yes</v>
      </c>
    </row>
    <row r="1007" spans="1:18" x14ac:dyDescent="0.35">
      <c r="A1007" s="1">
        <v>40347</v>
      </c>
      <c r="B1007">
        <v>0</v>
      </c>
      <c r="C1007" t="s">
        <v>55</v>
      </c>
      <c r="D1007" t="s">
        <v>33</v>
      </c>
      <c r="E1007" t="s">
        <v>30</v>
      </c>
      <c r="F1007">
        <v>66</v>
      </c>
      <c r="G1007" t="s">
        <v>23</v>
      </c>
      <c r="H1007" t="s">
        <v>18</v>
      </c>
      <c r="I1007">
        <v>67</v>
      </c>
      <c r="J1007">
        <v>4</v>
      </c>
      <c r="K1007">
        <v>3</v>
      </c>
      <c r="L1007">
        <v>54</v>
      </c>
      <c r="M1007" t="s">
        <v>20</v>
      </c>
      <c r="N1007" t="s">
        <v>24</v>
      </c>
      <c r="O1007">
        <v>28478</v>
      </c>
      <c r="P1007">
        <v>159</v>
      </c>
      <c r="Q1007" t="s">
        <v>33</v>
      </c>
      <c r="R1007" t="str">
        <f t="shared" si="16"/>
        <v>No</v>
      </c>
    </row>
    <row r="1008" spans="1:18" x14ac:dyDescent="0.35">
      <c r="A1008" s="1">
        <v>40347</v>
      </c>
      <c r="B1008">
        <v>0</v>
      </c>
      <c r="C1008" t="s">
        <v>55</v>
      </c>
      <c r="D1008" t="s">
        <v>43</v>
      </c>
      <c r="E1008" t="s">
        <v>30</v>
      </c>
      <c r="F1008">
        <v>67</v>
      </c>
      <c r="G1008" t="s">
        <v>62</v>
      </c>
      <c r="H1008" t="s">
        <v>18</v>
      </c>
      <c r="I1008">
        <v>67</v>
      </c>
      <c r="J1008">
        <v>2</v>
      </c>
      <c r="K1008">
        <v>3</v>
      </c>
      <c r="L1008">
        <v>53</v>
      </c>
      <c r="M1008" t="s">
        <v>20</v>
      </c>
      <c r="N1008" t="s">
        <v>81</v>
      </c>
      <c r="O1008">
        <v>25167</v>
      </c>
      <c r="P1008">
        <v>179</v>
      </c>
      <c r="Q1008" t="s">
        <v>62</v>
      </c>
      <c r="R1008" t="str">
        <f t="shared" si="16"/>
        <v>Yes</v>
      </c>
    </row>
    <row r="1009" spans="1:18" x14ac:dyDescent="0.35">
      <c r="A1009" s="1">
        <v>40347</v>
      </c>
      <c r="B1009">
        <v>0</v>
      </c>
      <c r="C1009" t="s">
        <v>55</v>
      </c>
      <c r="D1009" t="s">
        <v>41</v>
      </c>
      <c r="E1009" t="s">
        <v>30</v>
      </c>
      <c r="F1009">
        <v>69</v>
      </c>
      <c r="G1009" t="s">
        <v>52</v>
      </c>
      <c r="H1009" t="s">
        <v>18</v>
      </c>
      <c r="I1009">
        <v>67</v>
      </c>
      <c r="J1009">
        <v>4</v>
      </c>
      <c r="K1009">
        <v>6</v>
      </c>
      <c r="L1009">
        <v>51</v>
      </c>
      <c r="M1009" t="s">
        <v>20</v>
      </c>
      <c r="N1009" t="s">
        <v>82</v>
      </c>
      <c r="O1009">
        <v>40083</v>
      </c>
      <c r="P1009">
        <v>148</v>
      </c>
      <c r="Q1009" t="s">
        <v>52</v>
      </c>
      <c r="R1009" t="str">
        <f t="shared" si="16"/>
        <v>Yes</v>
      </c>
    </row>
    <row r="1010" spans="1:18" x14ac:dyDescent="0.35">
      <c r="A1010" s="1">
        <v>40347</v>
      </c>
      <c r="B1010">
        <v>0</v>
      </c>
      <c r="C1010" t="s">
        <v>55</v>
      </c>
      <c r="D1010" t="s">
        <v>34</v>
      </c>
      <c r="E1010" t="s">
        <v>30</v>
      </c>
      <c r="F1010">
        <v>66</v>
      </c>
      <c r="G1010" t="s">
        <v>26</v>
      </c>
      <c r="H1010" t="s">
        <v>18</v>
      </c>
      <c r="I1010">
        <v>68</v>
      </c>
      <c r="J1010">
        <v>2</v>
      </c>
      <c r="K1010">
        <v>1</v>
      </c>
      <c r="L1010">
        <v>66</v>
      </c>
      <c r="M1010" t="s">
        <v>20</v>
      </c>
      <c r="N1010" t="s">
        <v>27</v>
      </c>
      <c r="O1010">
        <v>40325</v>
      </c>
      <c r="P1010">
        <v>175</v>
      </c>
      <c r="Q1010" t="s">
        <v>34</v>
      </c>
      <c r="R1010" t="str">
        <f t="shared" si="16"/>
        <v>No</v>
      </c>
    </row>
    <row r="1011" spans="1:18" x14ac:dyDescent="0.35">
      <c r="A1011" s="1">
        <v>40348</v>
      </c>
      <c r="B1011">
        <v>0</v>
      </c>
      <c r="C1011" t="s">
        <v>72</v>
      </c>
      <c r="D1011" t="s">
        <v>22</v>
      </c>
      <c r="E1011" t="s">
        <v>18</v>
      </c>
      <c r="F1011">
        <v>68</v>
      </c>
      <c r="G1011" t="s">
        <v>58</v>
      </c>
      <c r="H1011" t="s">
        <v>30</v>
      </c>
      <c r="I1011">
        <v>70</v>
      </c>
      <c r="J1011">
        <v>4</v>
      </c>
      <c r="K1011">
        <v>5</v>
      </c>
      <c r="L1011">
        <v>53</v>
      </c>
      <c r="M1011" t="s">
        <v>38</v>
      </c>
      <c r="N1011" t="s">
        <v>86</v>
      </c>
      <c r="O1011">
        <v>37454</v>
      </c>
      <c r="P1011">
        <v>187</v>
      </c>
      <c r="Q1011" t="s">
        <v>58</v>
      </c>
      <c r="R1011" t="str">
        <f t="shared" si="16"/>
        <v>Yes</v>
      </c>
    </row>
    <row r="1012" spans="1:18" x14ac:dyDescent="0.35">
      <c r="A1012" s="1">
        <v>40348</v>
      </c>
      <c r="B1012">
        <v>0</v>
      </c>
      <c r="C1012" t="s">
        <v>72</v>
      </c>
      <c r="D1012" t="s">
        <v>60</v>
      </c>
      <c r="E1012" t="s">
        <v>18</v>
      </c>
      <c r="F1012">
        <v>69</v>
      </c>
      <c r="G1012" t="s">
        <v>36</v>
      </c>
      <c r="H1012" t="s">
        <v>30</v>
      </c>
      <c r="I1012">
        <v>67</v>
      </c>
      <c r="J1012">
        <v>6</v>
      </c>
      <c r="K1012">
        <v>5</v>
      </c>
      <c r="L1012">
        <v>54</v>
      </c>
      <c r="M1012" t="s">
        <v>20</v>
      </c>
      <c r="N1012" t="s">
        <v>57</v>
      </c>
      <c r="O1012">
        <v>40681</v>
      </c>
      <c r="P1012">
        <v>170</v>
      </c>
      <c r="Q1012" t="s">
        <v>60</v>
      </c>
      <c r="R1012" t="str">
        <f t="shared" si="16"/>
        <v>No</v>
      </c>
    </row>
    <row r="1013" spans="1:18" x14ac:dyDescent="0.35">
      <c r="A1013" s="1">
        <v>40348</v>
      </c>
      <c r="B1013">
        <v>0</v>
      </c>
      <c r="C1013" t="s">
        <v>72</v>
      </c>
      <c r="D1013" t="s">
        <v>19</v>
      </c>
      <c r="E1013" t="s">
        <v>18</v>
      </c>
      <c r="F1013">
        <v>68</v>
      </c>
      <c r="G1013" t="s">
        <v>59</v>
      </c>
      <c r="H1013" t="s">
        <v>30</v>
      </c>
      <c r="I1013">
        <v>68</v>
      </c>
      <c r="J1013">
        <v>3</v>
      </c>
      <c r="K1013">
        <v>5</v>
      </c>
      <c r="L1013">
        <v>51</v>
      </c>
      <c r="M1013" t="s">
        <v>38</v>
      </c>
      <c r="N1013" t="s">
        <v>84</v>
      </c>
      <c r="O1013">
        <v>49073</v>
      </c>
      <c r="P1013">
        <v>159</v>
      </c>
      <c r="Q1013" t="s">
        <v>59</v>
      </c>
      <c r="R1013" t="str">
        <f t="shared" si="16"/>
        <v>Yes</v>
      </c>
    </row>
    <row r="1014" spans="1:18" x14ac:dyDescent="0.35">
      <c r="A1014" s="1">
        <v>40348</v>
      </c>
      <c r="B1014">
        <v>0</v>
      </c>
      <c r="C1014" t="s">
        <v>72</v>
      </c>
      <c r="D1014" t="s">
        <v>53</v>
      </c>
      <c r="E1014" t="s">
        <v>18</v>
      </c>
      <c r="F1014">
        <v>69</v>
      </c>
      <c r="G1014" t="s">
        <v>40</v>
      </c>
      <c r="H1014" t="s">
        <v>30</v>
      </c>
      <c r="I1014">
        <v>68</v>
      </c>
      <c r="J1014">
        <v>1</v>
      </c>
      <c r="K1014">
        <v>5</v>
      </c>
      <c r="L1014">
        <v>51</v>
      </c>
      <c r="M1014" t="s">
        <v>20</v>
      </c>
      <c r="N1014" t="s">
        <v>77</v>
      </c>
      <c r="O1014">
        <v>26468</v>
      </c>
      <c r="P1014">
        <v>140</v>
      </c>
      <c r="Q1014" t="s">
        <v>40</v>
      </c>
      <c r="R1014" t="str">
        <f t="shared" si="16"/>
        <v>Yes</v>
      </c>
    </row>
    <row r="1015" spans="1:18" x14ac:dyDescent="0.35">
      <c r="A1015" s="1">
        <v>40348</v>
      </c>
      <c r="B1015">
        <v>0</v>
      </c>
      <c r="C1015" t="s">
        <v>72</v>
      </c>
      <c r="D1015" t="s">
        <v>70</v>
      </c>
      <c r="E1015" t="s">
        <v>18</v>
      </c>
      <c r="F1015">
        <v>67</v>
      </c>
      <c r="G1015" t="s">
        <v>46</v>
      </c>
      <c r="H1015" t="s">
        <v>30</v>
      </c>
      <c r="I1015">
        <v>69</v>
      </c>
      <c r="J1015">
        <v>0</v>
      </c>
      <c r="K1015">
        <v>3</v>
      </c>
      <c r="L1015">
        <v>51</v>
      </c>
      <c r="M1015" t="s">
        <v>38</v>
      </c>
      <c r="N1015" t="s">
        <v>78</v>
      </c>
      <c r="O1015">
        <v>20666</v>
      </c>
      <c r="P1015">
        <v>135</v>
      </c>
      <c r="Q1015" t="s">
        <v>46</v>
      </c>
      <c r="R1015" t="str">
        <f t="shared" si="16"/>
        <v>Yes</v>
      </c>
    </row>
    <row r="1016" spans="1:18" x14ac:dyDescent="0.35">
      <c r="A1016" s="1">
        <v>40348</v>
      </c>
      <c r="B1016">
        <v>0</v>
      </c>
      <c r="C1016" t="s">
        <v>72</v>
      </c>
      <c r="D1016" t="s">
        <v>37</v>
      </c>
      <c r="E1016" t="s">
        <v>30</v>
      </c>
      <c r="F1016">
        <v>69</v>
      </c>
      <c r="G1016" t="s">
        <v>50</v>
      </c>
      <c r="H1016" t="s">
        <v>18</v>
      </c>
      <c r="I1016">
        <v>69</v>
      </c>
      <c r="J1016">
        <v>4</v>
      </c>
      <c r="K1016">
        <v>5</v>
      </c>
      <c r="L1016">
        <v>51</v>
      </c>
      <c r="M1016" t="s">
        <v>20</v>
      </c>
      <c r="N1016" t="s">
        <v>51</v>
      </c>
      <c r="O1016">
        <v>39109</v>
      </c>
      <c r="P1016">
        <v>154</v>
      </c>
      <c r="Q1016" t="s">
        <v>50</v>
      </c>
      <c r="R1016" t="str">
        <f t="shared" si="16"/>
        <v>Yes</v>
      </c>
    </row>
    <row r="1017" spans="1:18" x14ac:dyDescent="0.35">
      <c r="A1017" s="1">
        <v>40348</v>
      </c>
      <c r="B1017">
        <v>0</v>
      </c>
      <c r="C1017" t="s">
        <v>72</v>
      </c>
      <c r="D1017" t="s">
        <v>31</v>
      </c>
      <c r="E1017" t="s">
        <v>30</v>
      </c>
      <c r="F1017">
        <v>71</v>
      </c>
      <c r="G1017" t="s">
        <v>49</v>
      </c>
      <c r="H1017" t="s">
        <v>18</v>
      </c>
      <c r="I1017">
        <v>68</v>
      </c>
      <c r="J1017">
        <v>12</v>
      </c>
      <c r="K1017">
        <v>0</v>
      </c>
      <c r="L1017">
        <v>54</v>
      </c>
      <c r="M1017" t="s">
        <v>38</v>
      </c>
      <c r="N1017" t="s">
        <v>79</v>
      </c>
      <c r="O1017">
        <v>40008</v>
      </c>
      <c r="P1017">
        <v>180</v>
      </c>
      <c r="Q1017" t="s">
        <v>31</v>
      </c>
      <c r="R1017" t="str">
        <f t="shared" si="16"/>
        <v>No</v>
      </c>
    </row>
    <row r="1018" spans="1:18" x14ac:dyDescent="0.35">
      <c r="A1018" s="1">
        <v>40348</v>
      </c>
      <c r="B1018">
        <v>0</v>
      </c>
      <c r="C1018" t="s">
        <v>72</v>
      </c>
      <c r="D1018" t="s">
        <v>68</v>
      </c>
      <c r="E1018" t="s">
        <v>18</v>
      </c>
      <c r="F1018">
        <v>68</v>
      </c>
      <c r="G1018" t="s">
        <v>63</v>
      </c>
      <c r="H1018" t="s">
        <v>18</v>
      </c>
      <c r="I1018">
        <v>68</v>
      </c>
      <c r="J1018">
        <v>7</v>
      </c>
      <c r="K1018">
        <v>8</v>
      </c>
      <c r="L1018">
        <v>51</v>
      </c>
      <c r="M1018" t="s">
        <v>20</v>
      </c>
      <c r="N1018" t="s">
        <v>64</v>
      </c>
      <c r="O1018">
        <v>39192</v>
      </c>
      <c r="P1018">
        <v>214</v>
      </c>
      <c r="Q1018" t="s">
        <v>63</v>
      </c>
      <c r="R1018" t="str">
        <f t="shared" si="16"/>
        <v>Yes</v>
      </c>
    </row>
    <row r="1019" spans="1:18" x14ac:dyDescent="0.35">
      <c r="A1019" s="1">
        <v>40348</v>
      </c>
      <c r="B1019">
        <v>0</v>
      </c>
      <c r="C1019" t="s">
        <v>72</v>
      </c>
      <c r="D1019" t="s">
        <v>44</v>
      </c>
      <c r="E1019" t="s">
        <v>30</v>
      </c>
      <c r="F1019">
        <v>68</v>
      </c>
      <c r="G1019" t="s">
        <v>17</v>
      </c>
      <c r="H1019" t="s">
        <v>18</v>
      </c>
      <c r="I1019">
        <v>68</v>
      </c>
      <c r="J1019">
        <v>9</v>
      </c>
      <c r="K1019">
        <v>8</v>
      </c>
      <c r="L1019">
        <v>66</v>
      </c>
      <c r="M1019" t="s">
        <v>20</v>
      </c>
      <c r="N1019" t="s">
        <v>65</v>
      </c>
      <c r="O1019">
        <v>23242</v>
      </c>
      <c r="P1019">
        <v>276</v>
      </c>
      <c r="Q1019" t="s">
        <v>44</v>
      </c>
      <c r="R1019" t="str">
        <f t="shared" si="16"/>
        <v>No</v>
      </c>
    </row>
    <row r="1020" spans="1:18" x14ac:dyDescent="0.35">
      <c r="A1020" s="1">
        <v>40348</v>
      </c>
      <c r="B1020">
        <v>0</v>
      </c>
      <c r="C1020" t="s">
        <v>72</v>
      </c>
      <c r="D1020" t="s">
        <v>47</v>
      </c>
      <c r="E1020" t="s">
        <v>30</v>
      </c>
      <c r="F1020">
        <v>68</v>
      </c>
      <c r="G1020" t="s">
        <v>66</v>
      </c>
      <c r="H1020" t="s">
        <v>18</v>
      </c>
      <c r="I1020">
        <v>69</v>
      </c>
      <c r="J1020">
        <v>5</v>
      </c>
      <c r="K1020">
        <v>1</v>
      </c>
      <c r="L1020">
        <v>54</v>
      </c>
      <c r="M1020" t="s">
        <v>20</v>
      </c>
      <c r="N1020" t="s">
        <v>67</v>
      </c>
      <c r="O1020">
        <v>41060</v>
      </c>
      <c r="P1020">
        <v>145</v>
      </c>
      <c r="Q1020" t="s">
        <v>47</v>
      </c>
      <c r="R1020" t="str">
        <f t="shared" si="16"/>
        <v>No</v>
      </c>
    </row>
    <row r="1021" spans="1:18" x14ac:dyDescent="0.35">
      <c r="A1021" s="1">
        <v>40348</v>
      </c>
      <c r="B1021">
        <v>0</v>
      </c>
      <c r="C1021" t="s">
        <v>72</v>
      </c>
      <c r="D1021" t="s">
        <v>29</v>
      </c>
      <c r="E1021" t="s">
        <v>30</v>
      </c>
      <c r="F1021">
        <v>68</v>
      </c>
      <c r="G1021" t="s">
        <v>25</v>
      </c>
      <c r="H1021" t="s">
        <v>18</v>
      </c>
      <c r="I1021">
        <v>66</v>
      </c>
      <c r="J1021">
        <v>13</v>
      </c>
      <c r="K1021">
        <v>10</v>
      </c>
      <c r="L1021">
        <v>66</v>
      </c>
      <c r="M1021" t="s">
        <v>38</v>
      </c>
      <c r="N1021" t="s">
        <v>80</v>
      </c>
      <c r="O1021">
        <v>45254</v>
      </c>
      <c r="P1021">
        <v>233</v>
      </c>
      <c r="Q1021" t="s">
        <v>29</v>
      </c>
      <c r="R1021" t="str">
        <f t="shared" si="16"/>
        <v>No</v>
      </c>
    </row>
    <row r="1022" spans="1:18" x14ac:dyDescent="0.35">
      <c r="A1022" s="1">
        <v>40348</v>
      </c>
      <c r="B1022">
        <v>0</v>
      </c>
      <c r="C1022" t="s">
        <v>72</v>
      </c>
      <c r="D1022" t="s">
        <v>33</v>
      </c>
      <c r="E1022" t="s">
        <v>30</v>
      </c>
      <c r="F1022">
        <v>67</v>
      </c>
      <c r="G1022" t="s">
        <v>23</v>
      </c>
      <c r="H1022" t="s">
        <v>18</v>
      </c>
      <c r="I1022">
        <v>68</v>
      </c>
      <c r="J1022">
        <v>4</v>
      </c>
      <c r="K1022">
        <v>6</v>
      </c>
      <c r="L1022">
        <v>51</v>
      </c>
      <c r="M1022" t="s">
        <v>20</v>
      </c>
      <c r="N1022" t="s">
        <v>24</v>
      </c>
      <c r="O1022">
        <v>38008</v>
      </c>
      <c r="P1022">
        <v>202</v>
      </c>
      <c r="Q1022" t="s">
        <v>23</v>
      </c>
      <c r="R1022" t="str">
        <f t="shared" si="16"/>
        <v>Yes</v>
      </c>
    </row>
    <row r="1023" spans="1:18" x14ac:dyDescent="0.35">
      <c r="A1023" s="1">
        <v>40348</v>
      </c>
      <c r="B1023">
        <v>0</v>
      </c>
      <c r="C1023" t="s">
        <v>72</v>
      </c>
      <c r="D1023" t="s">
        <v>43</v>
      </c>
      <c r="E1023" t="s">
        <v>30</v>
      </c>
      <c r="F1023">
        <v>68</v>
      </c>
      <c r="G1023" t="s">
        <v>62</v>
      </c>
      <c r="H1023" t="s">
        <v>18</v>
      </c>
      <c r="I1023">
        <v>68</v>
      </c>
      <c r="J1023">
        <v>5</v>
      </c>
      <c r="K1023">
        <v>4</v>
      </c>
      <c r="L1023">
        <v>54</v>
      </c>
      <c r="M1023" t="s">
        <v>20</v>
      </c>
      <c r="N1023" t="s">
        <v>81</v>
      </c>
      <c r="O1023">
        <v>28138</v>
      </c>
      <c r="P1023">
        <v>175</v>
      </c>
      <c r="Q1023" t="s">
        <v>43</v>
      </c>
      <c r="R1023" t="str">
        <f t="shared" si="16"/>
        <v>No</v>
      </c>
    </row>
    <row r="1024" spans="1:18" x14ac:dyDescent="0.35">
      <c r="A1024" s="1">
        <v>40348</v>
      </c>
      <c r="B1024">
        <v>0</v>
      </c>
      <c r="C1024" t="s">
        <v>72</v>
      </c>
      <c r="D1024" t="s">
        <v>41</v>
      </c>
      <c r="E1024" t="s">
        <v>30</v>
      </c>
      <c r="F1024">
        <v>70</v>
      </c>
      <c r="G1024" t="s">
        <v>52</v>
      </c>
      <c r="H1024" t="s">
        <v>18</v>
      </c>
      <c r="I1024">
        <v>68</v>
      </c>
      <c r="J1024">
        <v>3</v>
      </c>
      <c r="K1024">
        <v>4</v>
      </c>
      <c r="L1024">
        <v>51</v>
      </c>
      <c r="M1024" t="s">
        <v>20</v>
      </c>
      <c r="N1024" t="s">
        <v>82</v>
      </c>
      <c r="O1024">
        <v>43682</v>
      </c>
      <c r="P1024">
        <v>135</v>
      </c>
      <c r="Q1024" t="s">
        <v>52</v>
      </c>
      <c r="R1024" t="str">
        <f t="shared" si="16"/>
        <v>Yes</v>
      </c>
    </row>
    <row r="1025" spans="1:18" x14ac:dyDescent="0.35">
      <c r="A1025" s="1">
        <v>40348</v>
      </c>
      <c r="B1025">
        <v>0</v>
      </c>
      <c r="C1025" t="s">
        <v>72</v>
      </c>
      <c r="D1025" t="s">
        <v>34</v>
      </c>
      <c r="E1025" t="s">
        <v>30</v>
      </c>
      <c r="F1025">
        <v>67</v>
      </c>
      <c r="G1025" t="s">
        <v>26</v>
      </c>
      <c r="H1025" t="s">
        <v>18</v>
      </c>
      <c r="I1025">
        <v>69</v>
      </c>
      <c r="J1025">
        <v>1</v>
      </c>
      <c r="K1025">
        <v>0</v>
      </c>
      <c r="L1025">
        <v>54</v>
      </c>
      <c r="M1025" t="s">
        <v>38</v>
      </c>
      <c r="N1025" t="s">
        <v>27</v>
      </c>
      <c r="O1025">
        <v>36487</v>
      </c>
      <c r="P1025">
        <v>154</v>
      </c>
      <c r="Q1025" t="s">
        <v>34</v>
      </c>
      <c r="R1025" t="str">
        <f t="shared" si="16"/>
        <v>No</v>
      </c>
    </row>
    <row r="1026" spans="1:18" x14ac:dyDescent="0.35">
      <c r="A1026" s="1">
        <v>40349</v>
      </c>
      <c r="B1026">
        <v>0</v>
      </c>
      <c r="C1026" t="s">
        <v>73</v>
      </c>
      <c r="D1026" t="s">
        <v>22</v>
      </c>
      <c r="E1026" t="s">
        <v>18</v>
      </c>
      <c r="F1026">
        <v>69</v>
      </c>
      <c r="G1026" t="s">
        <v>58</v>
      </c>
      <c r="H1026" t="s">
        <v>30</v>
      </c>
      <c r="I1026">
        <v>71</v>
      </c>
      <c r="J1026">
        <v>0</v>
      </c>
      <c r="K1026">
        <v>2</v>
      </c>
      <c r="L1026">
        <v>51</v>
      </c>
      <c r="M1026" t="s">
        <v>20</v>
      </c>
      <c r="N1026" t="s">
        <v>86</v>
      </c>
      <c r="O1026">
        <v>37430</v>
      </c>
      <c r="P1026">
        <v>189</v>
      </c>
      <c r="Q1026" t="s">
        <v>58</v>
      </c>
      <c r="R1026" t="str">
        <f t="shared" si="16"/>
        <v>Yes</v>
      </c>
    </row>
    <row r="1027" spans="1:18" x14ac:dyDescent="0.35">
      <c r="A1027" s="1">
        <v>40349</v>
      </c>
      <c r="B1027">
        <v>0</v>
      </c>
      <c r="C1027" t="s">
        <v>73</v>
      </c>
      <c r="D1027" t="s">
        <v>60</v>
      </c>
      <c r="E1027" t="s">
        <v>18</v>
      </c>
      <c r="F1027">
        <v>70</v>
      </c>
      <c r="G1027" t="s">
        <v>36</v>
      </c>
      <c r="H1027" t="s">
        <v>30</v>
      </c>
      <c r="I1027">
        <v>68</v>
      </c>
      <c r="J1027">
        <v>1</v>
      </c>
      <c r="K1027">
        <v>3</v>
      </c>
      <c r="L1027">
        <v>51</v>
      </c>
      <c r="M1027" t="s">
        <v>38</v>
      </c>
      <c r="N1027" t="s">
        <v>57</v>
      </c>
      <c r="O1027">
        <v>41417</v>
      </c>
      <c r="P1027">
        <v>155</v>
      </c>
      <c r="Q1027" t="s">
        <v>36</v>
      </c>
      <c r="R1027" t="str">
        <f t="shared" ref="R1027:R1090" si="17">IF(K1027&gt;J1027,"Yes","No")</f>
        <v>Yes</v>
      </c>
    </row>
    <row r="1028" spans="1:18" x14ac:dyDescent="0.35">
      <c r="A1028" s="1">
        <v>40349</v>
      </c>
      <c r="B1028">
        <v>0</v>
      </c>
      <c r="C1028" t="s">
        <v>73</v>
      </c>
      <c r="D1028" t="s">
        <v>19</v>
      </c>
      <c r="E1028" t="s">
        <v>18</v>
      </c>
      <c r="F1028">
        <v>69</v>
      </c>
      <c r="G1028" t="s">
        <v>59</v>
      </c>
      <c r="H1028" t="s">
        <v>30</v>
      </c>
      <c r="I1028">
        <v>69</v>
      </c>
      <c r="J1028">
        <v>0</v>
      </c>
      <c r="K1028">
        <v>4</v>
      </c>
      <c r="L1028">
        <v>51</v>
      </c>
      <c r="M1028" t="s">
        <v>38</v>
      </c>
      <c r="N1028" t="s">
        <v>84</v>
      </c>
      <c r="O1028">
        <v>49240</v>
      </c>
      <c r="P1028">
        <v>161</v>
      </c>
      <c r="Q1028" t="s">
        <v>59</v>
      </c>
      <c r="R1028" t="str">
        <f t="shared" si="17"/>
        <v>Yes</v>
      </c>
    </row>
    <row r="1029" spans="1:18" x14ac:dyDescent="0.35">
      <c r="A1029" s="1">
        <v>40349</v>
      </c>
      <c r="B1029">
        <v>0</v>
      </c>
      <c r="C1029" t="s">
        <v>73</v>
      </c>
      <c r="D1029" t="s">
        <v>53</v>
      </c>
      <c r="E1029" t="s">
        <v>18</v>
      </c>
      <c r="F1029">
        <v>70</v>
      </c>
      <c r="G1029" t="s">
        <v>40</v>
      </c>
      <c r="H1029" t="s">
        <v>30</v>
      </c>
      <c r="I1029">
        <v>69</v>
      </c>
      <c r="J1029">
        <v>0</v>
      </c>
      <c r="K1029">
        <v>1</v>
      </c>
      <c r="L1029">
        <v>51</v>
      </c>
      <c r="M1029" t="s">
        <v>38</v>
      </c>
      <c r="N1029" t="s">
        <v>77</v>
      </c>
      <c r="O1029">
        <v>32712</v>
      </c>
      <c r="P1029">
        <v>156</v>
      </c>
      <c r="Q1029" t="s">
        <v>40</v>
      </c>
      <c r="R1029" t="str">
        <f t="shared" si="17"/>
        <v>Yes</v>
      </c>
    </row>
    <row r="1030" spans="1:18" x14ac:dyDescent="0.35">
      <c r="A1030" s="1">
        <v>40349</v>
      </c>
      <c r="B1030">
        <v>0</v>
      </c>
      <c r="C1030" t="s">
        <v>73</v>
      </c>
      <c r="D1030" t="s">
        <v>70</v>
      </c>
      <c r="E1030" t="s">
        <v>18</v>
      </c>
      <c r="F1030">
        <v>68</v>
      </c>
      <c r="G1030" t="s">
        <v>46</v>
      </c>
      <c r="H1030" t="s">
        <v>30</v>
      </c>
      <c r="I1030">
        <v>70</v>
      </c>
      <c r="J1030">
        <v>9</v>
      </c>
      <c r="K1030">
        <v>6</v>
      </c>
      <c r="L1030">
        <v>54</v>
      </c>
      <c r="M1030" t="s">
        <v>38</v>
      </c>
      <c r="N1030" t="s">
        <v>78</v>
      </c>
      <c r="O1030">
        <v>21431</v>
      </c>
      <c r="P1030">
        <v>207</v>
      </c>
      <c r="Q1030" t="s">
        <v>70</v>
      </c>
      <c r="R1030" t="str">
        <f t="shared" si="17"/>
        <v>No</v>
      </c>
    </row>
    <row r="1031" spans="1:18" x14ac:dyDescent="0.35">
      <c r="A1031" s="1">
        <v>40349</v>
      </c>
      <c r="B1031">
        <v>0</v>
      </c>
      <c r="C1031" t="s">
        <v>73</v>
      </c>
      <c r="D1031" t="s">
        <v>37</v>
      </c>
      <c r="E1031" t="s">
        <v>30</v>
      </c>
      <c r="F1031">
        <v>70</v>
      </c>
      <c r="G1031" t="s">
        <v>50</v>
      </c>
      <c r="H1031" t="s">
        <v>18</v>
      </c>
      <c r="I1031">
        <v>70</v>
      </c>
      <c r="J1031">
        <v>5</v>
      </c>
      <c r="K1031">
        <v>8</v>
      </c>
      <c r="L1031">
        <v>51</v>
      </c>
      <c r="M1031" t="s">
        <v>38</v>
      </c>
      <c r="N1031" t="s">
        <v>51</v>
      </c>
      <c r="O1031">
        <v>30072</v>
      </c>
      <c r="P1031">
        <v>193</v>
      </c>
      <c r="Q1031" t="s">
        <v>50</v>
      </c>
      <c r="R1031" t="str">
        <f t="shared" si="17"/>
        <v>Yes</v>
      </c>
    </row>
    <row r="1032" spans="1:18" x14ac:dyDescent="0.35">
      <c r="A1032" s="1">
        <v>40349</v>
      </c>
      <c r="B1032">
        <v>0</v>
      </c>
      <c r="C1032" t="s">
        <v>73</v>
      </c>
      <c r="D1032" t="s">
        <v>31</v>
      </c>
      <c r="E1032" t="s">
        <v>30</v>
      </c>
      <c r="F1032">
        <v>72</v>
      </c>
      <c r="G1032" t="s">
        <v>49</v>
      </c>
      <c r="H1032" t="s">
        <v>18</v>
      </c>
      <c r="I1032">
        <v>69</v>
      </c>
      <c r="J1032">
        <v>1</v>
      </c>
      <c r="K1032">
        <v>12</v>
      </c>
      <c r="L1032">
        <v>51</v>
      </c>
      <c r="M1032" t="s">
        <v>38</v>
      </c>
      <c r="N1032" t="s">
        <v>79</v>
      </c>
      <c r="O1032">
        <v>39850</v>
      </c>
      <c r="P1032">
        <v>180</v>
      </c>
      <c r="Q1032" t="s">
        <v>49</v>
      </c>
      <c r="R1032" t="str">
        <f t="shared" si="17"/>
        <v>Yes</v>
      </c>
    </row>
    <row r="1033" spans="1:18" x14ac:dyDescent="0.35">
      <c r="A1033" s="1">
        <v>40349</v>
      </c>
      <c r="B1033">
        <v>0</v>
      </c>
      <c r="C1033" t="s">
        <v>73</v>
      </c>
      <c r="D1033" t="s">
        <v>68</v>
      </c>
      <c r="E1033" t="s">
        <v>18</v>
      </c>
      <c r="F1033">
        <v>69</v>
      </c>
      <c r="G1033" t="s">
        <v>63</v>
      </c>
      <c r="H1033" t="s">
        <v>18</v>
      </c>
      <c r="I1033">
        <v>69</v>
      </c>
      <c r="J1033">
        <v>6</v>
      </c>
      <c r="K1033">
        <v>1</v>
      </c>
      <c r="L1033">
        <v>54</v>
      </c>
      <c r="M1033" t="s">
        <v>38</v>
      </c>
      <c r="N1033" t="s">
        <v>64</v>
      </c>
      <c r="O1033">
        <v>46511</v>
      </c>
      <c r="P1033">
        <v>164</v>
      </c>
      <c r="Q1033" t="s">
        <v>68</v>
      </c>
      <c r="R1033" t="str">
        <f t="shared" si="17"/>
        <v>No</v>
      </c>
    </row>
    <row r="1034" spans="1:18" x14ac:dyDescent="0.35">
      <c r="A1034" s="1">
        <v>40349</v>
      </c>
      <c r="B1034">
        <v>0</v>
      </c>
      <c r="C1034" t="s">
        <v>73</v>
      </c>
      <c r="D1034" t="s">
        <v>44</v>
      </c>
      <c r="E1034" t="s">
        <v>30</v>
      </c>
      <c r="F1034">
        <v>69</v>
      </c>
      <c r="G1034" t="s">
        <v>17</v>
      </c>
      <c r="H1034" t="s">
        <v>18</v>
      </c>
      <c r="I1034">
        <v>69</v>
      </c>
      <c r="J1034">
        <v>1</v>
      </c>
      <c r="K1034">
        <v>4</v>
      </c>
      <c r="L1034">
        <v>51</v>
      </c>
      <c r="M1034" t="s">
        <v>38</v>
      </c>
      <c r="N1034" t="s">
        <v>65</v>
      </c>
      <c r="O1034">
        <v>15374</v>
      </c>
      <c r="P1034">
        <v>146</v>
      </c>
      <c r="Q1034" t="s">
        <v>17</v>
      </c>
      <c r="R1034" t="str">
        <f t="shared" si="17"/>
        <v>Yes</v>
      </c>
    </row>
    <row r="1035" spans="1:18" x14ac:dyDescent="0.35">
      <c r="A1035" s="1">
        <v>40349</v>
      </c>
      <c r="B1035">
        <v>0</v>
      </c>
      <c r="C1035" t="s">
        <v>73</v>
      </c>
      <c r="D1035" t="s">
        <v>47</v>
      </c>
      <c r="E1035" t="s">
        <v>30</v>
      </c>
      <c r="F1035">
        <v>69</v>
      </c>
      <c r="G1035" t="s">
        <v>66</v>
      </c>
      <c r="H1035" t="s">
        <v>18</v>
      </c>
      <c r="I1035">
        <v>70</v>
      </c>
      <c r="J1035">
        <v>5</v>
      </c>
      <c r="K1035">
        <v>4</v>
      </c>
      <c r="L1035">
        <v>60</v>
      </c>
      <c r="M1035" t="s">
        <v>38</v>
      </c>
      <c r="N1035" t="s">
        <v>67</v>
      </c>
      <c r="O1035">
        <v>33753</v>
      </c>
      <c r="P1035">
        <v>218</v>
      </c>
      <c r="Q1035" t="s">
        <v>47</v>
      </c>
      <c r="R1035" t="str">
        <f t="shared" si="17"/>
        <v>No</v>
      </c>
    </row>
    <row r="1036" spans="1:18" x14ac:dyDescent="0.35">
      <c r="A1036" s="1">
        <v>40349</v>
      </c>
      <c r="B1036">
        <v>0</v>
      </c>
      <c r="C1036" t="s">
        <v>73</v>
      </c>
      <c r="D1036" t="s">
        <v>29</v>
      </c>
      <c r="E1036" t="s">
        <v>30</v>
      </c>
      <c r="F1036">
        <v>69</v>
      </c>
      <c r="G1036" t="s">
        <v>25</v>
      </c>
      <c r="H1036" t="s">
        <v>18</v>
      </c>
      <c r="I1036">
        <v>67</v>
      </c>
      <c r="J1036">
        <v>4</v>
      </c>
      <c r="K1036">
        <v>1</v>
      </c>
      <c r="L1036">
        <v>54</v>
      </c>
      <c r="M1036" t="s">
        <v>38</v>
      </c>
      <c r="N1036" t="s">
        <v>80</v>
      </c>
      <c r="O1036">
        <v>45202</v>
      </c>
      <c r="P1036">
        <v>137</v>
      </c>
      <c r="Q1036" t="s">
        <v>29</v>
      </c>
      <c r="R1036" t="str">
        <f t="shared" si="17"/>
        <v>No</v>
      </c>
    </row>
    <row r="1037" spans="1:18" x14ac:dyDescent="0.35">
      <c r="A1037" s="1">
        <v>40349</v>
      </c>
      <c r="B1037">
        <v>0</v>
      </c>
      <c r="C1037" t="s">
        <v>73</v>
      </c>
      <c r="D1037" t="s">
        <v>33</v>
      </c>
      <c r="E1037" t="s">
        <v>30</v>
      </c>
      <c r="F1037">
        <v>68</v>
      </c>
      <c r="G1037" t="s">
        <v>23</v>
      </c>
      <c r="H1037" t="s">
        <v>18</v>
      </c>
      <c r="I1037">
        <v>69</v>
      </c>
      <c r="J1037">
        <v>3</v>
      </c>
      <c r="K1037">
        <v>5</v>
      </c>
      <c r="L1037">
        <v>51</v>
      </c>
      <c r="M1037" t="s">
        <v>38</v>
      </c>
      <c r="N1037" t="s">
        <v>24</v>
      </c>
      <c r="O1037">
        <v>29845</v>
      </c>
      <c r="P1037">
        <v>177</v>
      </c>
      <c r="Q1037" t="s">
        <v>23</v>
      </c>
      <c r="R1037" t="str">
        <f t="shared" si="17"/>
        <v>Yes</v>
      </c>
    </row>
    <row r="1038" spans="1:18" x14ac:dyDescent="0.35">
      <c r="A1038" s="1">
        <v>40349</v>
      </c>
      <c r="B1038">
        <v>0</v>
      </c>
      <c r="C1038" t="s">
        <v>73</v>
      </c>
      <c r="D1038" t="s">
        <v>43</v>
      </c>
      <c r="E1038" t="s">
        <v>30</v>
      </c>
      <c r="F1038">
        <v>69</v>
      </c>
      <c r="G1038" t="s">
        <v>62</v>
      </c>
      <c r="H1038" t="s">
        <v>18</v>
      </c>
      <c r="I1038">
        <v>69</v>
      </c>
      <c r="J1038">
        <v>4</v>
      </c>
      <c r="K1038">
        <v>9</v>
      </c>
      <c r="L1038">
        <v>51</v>
      </c>
      <c r="M1038" t="s">
        <v>38</v>
      </c>
      <c r="N1038" t="s">
        <v>81</v>
      </c>
      <c r="O1038">
        <v>28029</v>
      </c>
      <c r="P1038">
        <v>167</v>
      </c>
      <c r="Q1038" t="s">
        <v>62</v>
      </c>
      <c r="R1038" t="str">
        <f t="shared" si="17"/>
        <v>Yes</v>
      </c>
    </row>
    <row r="1039" spans="1:18" x14ac:dyDescent="0.35">
      <c r="A1039" s="1">
        <v>40349</v>
      </c>
      <c r="B1039">
        <v>0</v>
      </c>
      <c r="C1039" t="s">
        <v>73</v>
      </c>
      <c r="D1039" t="s">
        <v>41</v>
      </c>
      <c r="E1039" t="s">
        <v>30</v>
      </c>
      <c r="F1039">
        <v>71</v>
      </c>
      <c r="G1039" t="s">
        <v>52</v>
      </c>
      <c r="H1039" t="s">
        <v>18</v>
      </c>
      <c r="I1039">
        <v>69</v>
      </c>
      <c r="J1039">
        <v>3</v>
      </c>
      <c r="K1039">
        <v>2</v>
      </c>
      <c r="L1039">
        <v>54</v>
      </c>
      <c r="M1039" t="s">
        <v>38</v>
      </c>
      <c r="N1039" t="s">
        <v>82</v>
      </c>
      <c r="O1039">
        <v>42271</v>
      </c>
      <c r="P1039">
        <v>172</v>
      </c>
      <c r="Q1039" t="s">
        <v>41</v>
      </c>
      <c r="R1039" t="str">
        <f t="shared" si="17"/>
        <v>No</v>
      </c>
    </row>
    <row r="1040" spans="1:18" x14ac:dyDescent="0.35">
      <c r="A1040" s="1">
        <v>40349</v>
      </c>
      <c r="B1040">
        <v>0</v>
      </c>
      <c r="C1040" t="s">
        <v>73</v>
      </c>
      <c r="D1040" t="s">
        <v>34</v>
      </c>
      <c r="E1040" t="s">
        <v>30</v>
      </c>
      <c r="F1040">
        <v>68</v>
      </c>
      <c r="G1040" t="s">
        <v>26</v>
      </c>
      <c r="H1040" t="s">
        <v>18</v>
      </c>
      <c r="I1040">
        <v>70</v>
      </c>
      <c r="J1040">
        <v>6</v>
      </c>
      <c r="K1040">
        <v>3</v>
      </c>
      <c r="L1040">
        <v>54</v>
      </c>
      <c r="M1040" t="s">
        <v>38</v>
      </c>
      <c r="N1040" t="s">
        <v>27</v>
      </c>
      <c r="O1040">
        <v>31763</v>
      </c>
      <c r="P1040">
        <v>159</v>
      </c>
      <c r="Q1040" t="s">
        <v>34</v>
      </c>
      <c r="R1040" t="str">
        <f t="shared" si="17"/>
        <v>No</v>
      </c>
    </row>
    <row r="1041" spans="1:18" x14ac:dyDescent="0.35">
      <c r="A1041" s="1">
        <v>40350</v>
      </c>
      <c r="B1041">
        <v>0</v>
      </c>
      <c r="C1041" t="s">
        <v>74</v>
      </c>
      <c r="D1041" t="s">
        <v>53</v>
      </c>
      <c r="E1041" t="s">
        <v>18</v>
      </c>
      <c r="F1041">
        <v>71</v>
      </c>
      <c r="G1041" t="s">
        <v>41</v>
      </c>
      <c r="H1041" t="s">
        <v>30</v>
      </c>
      <c r="I1041">
        <v>72</v>
      </c>
      <c r="J1041">
        <v>6</v>
      </c>
      <c r="K1041">
        <v>4</v>
      </c>
      <c r="L1041">
        <v>60</v>
      </c>
      <c r="M1041" t="s">
        <v>20</v>
      </c>
      <c r="N1041" t="s">
        <v>42</v>
      </c>
      <c r="O1041">
        <v>11088</v>
      </c>
      <c r="P1041">
        <v>185</v>
      </c>
      <c r="Q1041" t="s">
        <v>53</v>
      </c>
      <c r="R1041" t="str">
        <f t="shared" si="17"/>
        <v>No</v>
      </c>
    </row>
    <row r="1042" spans="1:18" x14ac:dyDescent="0.35">
      <c r="A1042" s="1">
        <v>40350</v>
      </c>
      <c r="B1042">
        <v>0</v>
      </c>
      <c r="C1042" t="s">
        <v>74</v>
      </c>
      <c r="D1042" t="s">
        <v>59</v>
      </c>
      <c r="E1042" t="s">
        <v>30</v>
      </c>
      <c r="F1042">
        <v>70</v>
      </c>
      <c r="G1042" t="s">
        <v>60</v>
      </c>
      <c r="H1042" t="s">
        <v>18</v>
      </c>
      <c r="I1042">
        <v>71</v>
      </c>
      <c r="J1042">
        <v>4</v>
      </c>
      <c r="K1042">
        <v>10</v>
      </c>
      <c r="L1042">
        <v>51</v>
      </c>
      <c r="M1042" t="s">
        <v>20</v>
      </c>
      <c r="N1042" t="s">
        <v>61</v>
      </c>
      <c r="O1042">
        <v>47229</v>
      </c>
      <c r="P1042">
        <v>179</v>
      </c>
      <c r="Q1042" t="s">
        <v>60</v>
      </c>
      <c r="R1042" t="str">
        <f t="shared" si="17"/>
        <v>Yes</v>
      </c>
    </row>
    <row r="1043" spans="1:18" x14ac:dyDescent="0.35">
      <c r="A1043" s="1">
        <v>40350</v>
      </c>
      <c r="B1043">
        <v>0</v>
      </c>
      <c r="C1043" t="s">
        <v>74</v>
      </c>
      <c r="D1043" t="s">
        <v>37</v>
      </c>
      <c r="E1043" t="s">
        <v>30</v>
      </c>
      <c r="F1043">
        <v>71</v>
      </c>
      <c r="G1043" t="s">
        <v>26</v>
      </c>
      <c r="H1043" t="s">
        <v>18</v>
      </c>
      <c r="I1043">
        <v>71</v>
      </c>
      <c r="J1043">
        <v>1</v>
      </c>
      <c r="K1043">
        <v>2</v>
      </c>
      <c r="L1043">
        <v>51</v>
      </c>
      <c r="M1043" t="s">
        <v>20</v>
      </c>
      <c r="N1043" t="s">
        <v>27</v>
      </c>
      <c r="O1043">
        <v>13592</v>
      </c>
      <c r="P1043">
        <v>160</v>
      </c>
      <c r="Q1043" t="s">
        <v>26</v>
      </c>
      <c r="R1043" t="str">
        <f t="shared" si="17"/>
        <v>Yes</v>
      </c>
    </row>
    <row r="1044" spans="1:18" x14ac:dyDescent="0.35">
      <c r="A1044" s="1">
        <v>40351</v>
      </c>
      <c r="B1044">
        <v>0</v>
      </c>
      <c r="C1044" t="s">
        <v>83</v>
      </c>
      <c r="D1044" t="s">
        <v>22</v>
      </c>
      <c r="E1044" t="s">
        <v>18</v>
      </c>
      <c r="F1044">
        <v>70</v>
      </c>
      <c r="G1044" t="s">
        <v>31</v>
      </c>
      <c r="H1044" t="s">
        <v>30</v>
      </c>
      <c r="I1044">
        <v>73</v>
      </c>
      <c r="J1044">
        <v>3</v>
      </c>
      <c r="K1044">
        <v>6</v>
      </c>
      <c r="L1044">
        <v>51</v>
      </c>
      <c r="M1044" t="s">
        <v>20</v>
      </c>
      <c r="N1044" t="s">
        <v>32</v>
      </c>
      <c r="O1044">
        <v>41595</v>
      </c>
      <c r="P1044">
        <v>172</v>
      </c>
      <c r="Q1044" t="s">
        <v>31</v>
      </c>
      <c r="R1044" t="str">
        <f t="shared" si="17"/>
        <v>Yes</v>
      </c>
    </row>
    <row r="1045" spans="1:18" x14ac:dyDescent="0.35">
      <c r="A1045" s="1">
        <v>40351</v>
      </c>
      <c r="B1045">
        <v>0</v>
      </c>
      <c r="C1045" t="s">
        <v>83</v>
      </c>
      <c r="D1045" t="s">
        <v>17</v>
      </c>
      <c r="E1045" t="s">
        <v>18</v>
      </c>
      <c r="F1045">
        <v>70</v>
      </c>
      <c r="G1045" t="s">
        <v>43</v>
      </c>
      <c r="H1045" t="s">
        <v>30</v>
      </c>
      <c r="I1045">
        <v>70</v>
      </c>
      <c r="J1045">
        <v>10</v>
      </c>
      <c r="K1045">
        <v>4</v>
      </c>
      <c r="L1045">
        <v>54</v>
      </c>
      <c r="M1045" t="s">
        <v>20</v>
      </c>
      <c r="N1045" t="s">
        <v>56</v>
      </c>
      <c r="O1045">
        <v>14821</v>
      </c>
      <c r="P1045">
        <v>178</v>
      </c>
      <c r="Q1045" t="s">
        <v>17</v>
      </c>
      <c r="R1045" t="str">
        <f t="shared" si="17"/>
        <v>No</v>
      </c>
    </row>
    <row r="1046" spans="1:18" x14ac:dyDescent="0.35">
      <c r="A1046" s="1">
        <v>40351</v>
      </c>
      <c r="B1046">
        <v>0</v>
      </c>
      <c r="C1046" t="s">
        <v>83</v>
      </c>
      <c r="D1046" t="s">
        <v>50</v>
      </c>
      <c r="E1046" t="s">
        <v>18</v>
      </c>
      <c r="F1046">
        <v>71</v>
      </c>
      <c r="G1046" t="s">
        <v>34</v>
      </c>
      <c r="H1046" t="s">
        <v>30</v>
      </c>
      <c r="I1046">
        <v>69</v>
      </c>
      <c r="J1046">
        <v>6</v>
      </c>
      <c r="K1046">
        <v>9</v>
      </c>
      <c r="L1046">
        <v>51</v>
      </c>
      <c r="M1046" t="s">
        <v>20</v>
      </c>
      <c r="N1046" t="s">
        <v>35</v>
      </c>
      <c r="O1046">
        <v>28773</v>
      </c>
      <c r="P1046">
        <v>158</v>
      </c>
      <c r="Q1046" t="s">
        <v>34</v>
      </c>
      <c r="R1046" t="str">
        <f t="shared" si="17"/>
        <v>Yes</v>
      </c>
    </row>
    <row r="1047" spans="1:18" x14ac:dyDescent="0.35">
      <c r="A1047" s="1">
        <v>40351</v>
      </c>
      <c r="B1047">
        <v>0</v>
      </c>
      <c r="C1047" t="s">
        <v>83</v>
      </c>
      <c r="D1047" t="s">
        <v>53</v>
      </c>
      <c r="E1047" t="s">
        <v>18</v>
      </c>
      <c r="F1047">
        <v>72</v>
      </c>
      <c r="G1047" t="s">
        <v>41</v>
      </c>
      <c r="H1047" t="s">
        <v>30</v>
      </c>
      <c r="I1047">
        <v>73</v>
      </c>
      <c r="J1047">
        <v>4</v>
      </c>
      <c r="K1047">
        <v>2</v>
      </c>
      <c r="L1047">
        <v>54</v>
      </c>
      <c r="M1047" t="s">
        <v>20</v>
      </c>
      <c r="N1047" t="s">
        <v>42</v>
      </c>
      <c r="O1047">
        <v>12136</v>
      </c>
      <c r="P1047">
        <v>147</v>
      </c>
      <c r="Q1047" t="s">
        <v>53</v>
      </c>
      <c r="R1047" t="str">
        <f t="shared" si="17"/>
        <v>No</v>
      </c>
    </row>
    <row r="1048" spans="1:18" x14ac:dyDescent="0.35">
      <c r="A1048" s="1">
        <v>40351</v>
      </c>
      <c r="B1048">
        <v>0</v>
      </c>
      <c r="C1048" t="s">
        <v>83</v>
      </c>
      <c r="D1048" t="s">
        <v>49</v>
      </c>
      <c r="E1048" t="s">
        <v>18</v>
      </c>
      <c r="F1048">
        <v>70</v>
      </c>
      <c r="G1048" t="s">
        <v>40</v>
      </c>
      <c r="H1048" t="s">
        <v>30</v>
      </c>
      <c r="I1048">
        <v>70</v>
      </c>
      <c r="J1048">
        <v>0</v>
      </c>
      <c r="K1048">
        <v>2</v>
      </c>
      <c r="L1048">
        <v>51</v>
      </c>
      <c r="M1048" t="s">
        <v>20</v>
      </c>
      <c r="N1048" t="s">
        <v>77</v>
      </c>
      <c r="O1048">
        <v>27975</v>
      </c>
      <c r="P1048">
        <v>133</v>
      </c>
      <c r="Q1048" t="s">
        <v>40</v>
      </c>
      <c r="R1048" t="str">
        <f t="shared" si="17"/>
        <v>Yes</v>
      </c>
    </row>
    <row r="1049" spans="1:18" x14ac:dyDescent="0.35">
      <c r="A1049" s="1">
        <v>40351</v>
      </c>
      <c r="B1049">
        <v>0</v>
      </c>
      <c r="C1049" t="s">
        <v>83</v>
      </c>
      <c r="D1049" t="s">
        <v>62</v>
      </c>
      <c r="E1049" t="s">
        <v>18</v>
      </c>
      <c r="F1049">
        <v>70</v>
      </c>
      <c r="G1049" t="s">
        <v>44</v>
      </c>
      <c r="H1049" t="s">
        <v>30</v>
      </c>
      <c r="I1049">
        <v>70</v>
      </c>
      <c r="J1049">
        <v>2</v>
      </c>
      <c r="K1049">
        <v>1</v>
      </c>
      <c r="L1049">
        <v>54</v>
      </c>
      <c r="M1049" t="s">
        <v>20</v>
      </c>
      <c r="N1049" t="s">
        <v>45</v>
      </c>
      <c r="O1049">
        <v>14650</v>
      </c>
      <c r="P1049">
        <v>177</v>
      </c>
      <c r="Q1049" t="s">
        <v>62</v>
      </c>
      <c r="R1049" t="str">
        <f t="shared" si="17"/>
        <v>No</v>
      </c>
    </row>
    <row r="1050" spans="1:18" x14ac:dyDescent="0.35">
      <c r="A1050" s="1">
        <v>40351</v>
      </c>
      <c r="B1050">
        <v>0</v>
      </c>
      <c r="C1050" t="s">
        <v>83</v>
      </c>
      <c r="D1050" t="s">
        <v>23</v>
      </c>
      <c r="E1050" t="s">
        <v>18</v>
      </c>
      <c r="F1050">
        <v>70</v>
      </c>
      <c r="G1050" t="s">
        <v>47</v>
      </c>
      <c r="H1050" t="s">
        <v>30</v>
      </c>
      <c r="I1050">
        <v>70</v>
      </c>
      <c r="J1050">
        <v>3</v>
      </c>
      <c r="K1050">
        <v>6</v>
      </c>
      <c r="L1050">
        <v>51</v>
      </c>
      <c r="M1050" t="s">
        <v>20</v>
      </c>
      <c r="N1050" t="s">
        <v>48</v>
      </c>
      <c r="O1050">
        <v>23083</v>
      </c>
      <c r="P1050">
        <v>165</v>
      </c>
      <c r="Q1050" t="s">
        <v>47</v>
      </c>
      <c r="R1050" t="str">
        <f t="shared" si="17"/>
        <v>Yes</v>
      </c>
    </row>
    <row r="1051" spans="1:18" x14ac:dyDescent="0.35">
      <c r="A1051" s="1">
        <v>40351</v>
      </c>
      <c r="B1051">
        <v>0</v>
      </c>
      <c r="C1051" t="s">
        <v>83</v>
      </c>
      <c r="D1051" t="s">
        <v>52</v>
      </c>
      <c r="E1051" t="s">
        <v>18</v>
      </c>
      <c r="F1051">
        <v>70</v>
      </c>
      <c r="G1051" t="s">
        <v>46</v>
      </c>
      <c r="H1051" t="s">
        <v>30</v>
      </c>
      <c r="I1051">
        <v>71</v>
      </c>
      <c r="J1051">
        <v>9</v>
      </c>
      <c r="K1051">
        <v>4</v>
      </c>
      <c r="L1051">
        <v>54</v>
      </c>
      <c r="M1051" t="s">
        <v>20</v>
      </c>
      <c r="N1051" t="s">
        <v>78</v>
      </c>
      <c r="O1051">
        <v>16830</v>
      </c>
      <c r="P1051">
        <v>154</v>
      </c>
      <c r="Q1051" t="s">
        <v>52</v>
      </c>
      <c r="R1051" t="str">
        <f t="shared" si="17"/>
        <v>No</v>
      </c>
    </row>
    <row r="1052" spans="1:18" x14ac:dyDescent="0.35">
      <c r="A1052" s="1">
        <v>40351</v>
      </c>
      <c r="B1052">
        <v>0</v>
      </c>
      <c r="C1052" t="s">
        <v>83</v>
      </c>
      <c r="D1052" t="s">
        <v>59</v>
      </c>
      <c r="E1052" t="s">
        <v>30</v>
      </c>
      <c r="F1052">
        <v>71</v>
      </c>
      <c r="G1052" t="s">
        <v>60</v>
      </c>
      <c r="H1052" t="s">
        <v>18</v>
      </c>
      <c r="I1052">
        <v>72</v>
      </c>
      <c r="J1052">
        <v>9</v>
      </c>
      <c r="K1052">
        <v>3</v>
      </c>
      <c r="L1052">
        <v>54</v>
      </c>
      <c r="M1052" t="s">
        <v>20</v>
      </c>
      <c r="N1052" t="s">
        <v>61</v>
      </c>
      <c r="O1052">
        <v>45776</v>
      </c>
      <c r="P1052">
        <v>186</v>
      </c>
      <c r="Q1052" t="s">
        <v>59</v>
      </c>
      <c r="R1052" t="str">
        <f t="shared" si="17"/>
        <v>No</v>
      </c>
    </row>
    <row r="1053" spans="1:18" x14ac:dyDescent="0.35">
      <c r="A1053" s="1">
        <v>40351</v>
      </c>
      <c r="B1053">
        <v>0</v>
      </c>
      <c r="C1053" t="s">
        <v>83</v>
      </c>
      <c r="D1053" t="s">
        <v>58</v>
      </c>
      <c r="E1053" t="s">
        <v>30</v>
      </c>
      <c r="F1053">
        <v>72</v>
      </c>
      <c r="G1053" t="s">
        <v>63</v>
      </c>
      <c r="H1053" t="s">
        <v>18</v>
      </c>
      <c r="I1053">
        <v>70</v>
      </c>
      <c r="J1053">
        <v>1</v>
      </c>
      <c r="K1053">
        <v>2</v>
      </c>
      <c r="L1053">
        <v>51</v>
      </c>
      <c r="M1053" t="s">
        <v>20</v>
      </c>
      <c r="N1053" t="s">
        <v>64</v>
      </c>
      <c r="O1053">
        <v>48112</v>
      </c>
      <c r="P1053">
        <v>170</v>
      </c>
      <c r="Q1053" t="s">
        <v>63</v>
      </c>
      <c r="R1053" t="str">
        <f t="shared" si="17"/>
        <v>Yes</v>
      </c>
    </row>
    <row r="1054" spans="1:18" x14ac:dyDescent="0.35">
      <c r="A1054" s="1">
        <v>40351</v>
      </c>
      <c r="B1054">
        <v>0</v>
      </c>
      <c r="C1054" t="s">
        <v>83</v>
      </c>
      <c r="D1054" t="s">
        <v>70</v>
      </c>
      <c r="E1054" t="s">
        <v>18</v>
      </c>
      <c r="F1054">
        <v>69</v>
      </c>
      <c r="G1054" t="s">
        <v>66</v>
      </c>
      <c r="H1054" t="s">
        <v>18</v>
      </c>
      <c r="I1054">
        <v>71</v>
      </c>
      <c r="J1054">
        <v>3</v>
      </c>
      <c r="K1054">
        <v>1</v>
      </c>
      <c r="L1054">
        <v>54</v>
      </c>
      <c r="M1054" t="s">
        <v>20</v>
      </c>
      <c r="N1054" t="s">
        <v>67</v>
      </c>
      <c r="O1054">
        <v>29777</v>
      </c>
      <c r="P1054">
        <v>153</v>
      </c>
      <c r="Q1054" t="s">
        <v>70</v>
      </c>
      <c r="R1054" t="str">
        <f t="shared" si="17"/>
        <v>No</v>
      </c>
    </row>
    <row r="1055" spans="1:18" x14ac:dyDescent="0.35">
      <c r="A1055" s="1">
        <v>40351</v>
      </c>
      <c r="B1055">
        <v>0</v>
      </c>
      <c r="C1055" t="s">
        <v>83</v>
      </c>
      <c r="D1055" t="s">
        <v>29</v>
      </c>
      <c r="E1055" t="s">
        <v>30</v>
      </c>
      <c r="F1055">
        <v>70</v>
      </c>
      <c r="G1055" t="s">
        <v>68</v>
      </c>
      <c r="H1055" t="s">
        <v>18</v>
      </c>
      <c r="I1055">
        <v>70</v>
      </c>
      <c r="J1055">
        <v>5</v>
      </c>
      <c r="K1055">
        <v>7</v>
      </c>
      <c r="L1055">
        <v>51</v>
      </c>
      <c r="M1055" t="s">
        <v>20</v>
      </c>
      <c r="N1055" t="s">
        <v>69</v>
      </c>
      <c r="O1055">
        <v>36995</v>
      </c>
      <c r="P1055">
        <v>197</v>
      </c>
      <c r="Q1055" t="s">
        <v>68</v>
      </c>
      <c r="R1055" t="str">
        <f t="shared" si="17"/>
        <v>Yes</v>
      </c>
    </row>
    <row r="1056" spans="1:18" x14ac:dyDescent="0.35">
      <c r="A1056" s="1">
        <v>40351</v>
      </c>
      <c r="B1056">
        <v>0</v>
      </c>
      <c r="C1056" t="s">
        <v>83</v>
      </c>
      <c r="D1056" t="s">
        <v>36</v>
      </c>
      <c r="E1056" t="s">
        <v>30</v>
      </c>
      <c r="F1056">
        <v>69</v>
      </c>
      <c r="G1056" t="s">
        <v>19</v>
      </c>
      <c r="H1056" t="s">
        <v>18</v>
      </c>
      <c r="I1056">
        <v>70</v>
      </c>
      <c r="J1056">
        <v>6</v>
      </c>
      <c r="K1056">
        <v>14</v>
      </c>
      <c r="L1056">
        <v>51</v>
      </c>
      <c r="M1056" t="s">
        <v>20</v>
      </c>
      <c r="N1056" t="s">
        <v>21</v>
      </c>
      <c r="O1056">
        <v>32363</v>
      </c>
      <c r="P1056">
        <v>197</v>
      </c>
      <c r="Q1056" t="s">
        <v>19</v>
      </c>
      <c r="R1056" t="str">
        <f t="shared" si="17"/>
        <v>Yes</v>
      </c>
    </row>
    <row r="1057" spans="1:18" x14ac:dyDescent="0.35">
      <c r="A1057" s="1">
        <v>40351</v>
      </c>
      <c r="B1057">
        <v>0</v>
      </c>
      <c r="C1057" t="s">
        <v>83</v>
      </c>
      <c r="D1057" t="s">
        <v>33</v>
      </c>
      <c r="E1057" t="s">
        <v>30</v>
      </c>
      <c r="F1057">
        <v>69</v>
      </c>
      <c r="G1057" t="s">
        <v>25</v>
      </c>
      <c r="H1057" t="s">
        <v>18</v>
      </c>
      <c r="I1057">
        <v>68</v>
      </c>
      <c r="J1057">
        <v>1</v>
      </c>
      <c r="K1057">
        <v>2</v>
      </c>
      <c r="L1057">
        <v>51</v>
      </c>
      <c r="M1057" t="s">
        <v>20</v>
      </c>
      <c r="N1057" t="s">
        <v>80</v>
      </c>
      <c r="O1057">
        <v>44836</v>
      </c>
      <c r="P1057">
        <v>142</v>
      </c>
      <c r="Q1057" t="s">
        <v>25</v>
      </c>
      <c r="R1057" t="str">
        <f t="shared" si="17"/>
        <v>Yes</v>
      </c>
    </row>
    <row r="1058" spans="1:18" x14ac:dyDescent="0.35">
      <c r="A1058" s="1">
        <v>40351</v>
      </c>
      <c r="B1058">
        <v>0</v>
      </c>
      <c r="C1058" t="s">
        <v>83</v>
      </c>
      <c r="D1058" t="s">
        <v>37</v>
      </c>
      <c r="E1058" t="s">
        <v>30</v>
      </c>
      <c r="F1058">
        <v>72</v>
      </c>
      <c r="G1058" t="s">
        <v>26</v>
      </c>
      <c r="H1058" t="s">
        <v>18</v>
      </c>
      <c r="I1058">
        <v>72</v>
      </c>
      <c r="J1058">
        <v>3</v>
      </c>
      <c r="K1058">
        <v>4</v>
      </c>
      <c r="L1058">
        <v>51</v>
      </c>
      <c r="M1058" t="s">
        <v>20</v>
      </c>
      <c r="N1058" t="s">
        <v>27</v>
      </c>
      <c r="O1058">
        <v>21168</v>
      </c>
      <c r="P1058">
        <v>165</v>
      </c>
      <c r="Q1058" t="s">
        <v>26</v>
      </c>
      <c r="R1058" t="str">
        <f t="shared" si="17"/>
        <v>Yes</v>
      </c>
    </row>
    <row r="1059" spans="1:18" x14ac:dyDescent="0.35">
      <c r="A1059" s="1">
        <v>40352</v>
      </c>
      <c r="B1059">
        <v>0</v>
      </c>
      <c r="C1059" t="s">
        <v>16</v>
      </c>
      <c r="D1059" t="s">
        <v>22</v>
      </c>
      <c r="E1059" t="s">
        <v>18</v>
      </c>
      <c r="F1059">
        <v>71</v>
      </c>
      <c r="G1059" t="s">
        <v>31</v>
      </c>
      <c r="H1059" t="s">
        <v>30</v>
      </c>
      <c r="I1059">
        <v>74</v>
      </c>
      <c r="J1059">
        <v>1</v>
      </c>
      <c r="K1059">
        <v>2</v>
      </c>
      <c r="L1059">
        <v>51</v>
      </c>
      <c r="M1059" t="s">
        <v>20</v>
      </c>
      <c r="N1059" t="s">
        <v>32</v>
      </c>
      <c r="O1059">
        <v>41001</v>
      </c>
      <c r="P1059">
        <v>151</v>
      </c>
      <c r="Q1059" t="s">
        <v>31</v>
      </c>
      <c r="R1059" t="str">
        <f t="shared" si="17"/>
        <v>Yes</v>
      </c>
    </row>
    <row r="1060" spans="1:18" x14ac:dyDescent="0.35">
      <c r="A1060" s="1">
        <v>40352</v>
      </c>
      <c r="B1060">
        <v>0</v>
      </c>
      <c r="C1060" t="s">
        <v>16</v>
      </c>
      <c r="D1060" t="s">
        <v>17</v>
      </c>
      <c r="E1060" t="s">
        <v>18</v>
      </c>
      <c r="F1060">
        <v>71</v>
      </c>
      <c r="G1060" t="s">
        <v>43</v>
      </c>
      <c r="H1060" t="s">
        <v>30</v>
      </c>
      <c r="I1060">
        <v>71</v>
      </c>
      <c r="J1060">
        <v>7</v>
      </c>
      <c r="K1060">
        <v>5</v>
      </c>
      <c r="L1060">
        <v>54</v>
      </c>
      <c r="M1060" t="s">
        <v>20</v>
      </c>
      <c r="N1060" t="s">
        <v>56</v>
      </c>
      <c r="O1060">
        <v>13720</v>
      </c>
      <c r="P1060">
        <v>180</v>
      </c>
      <c r="Q1060" t="s">
        <v>17</v>
      </c>
      <c r="R1060" t="str">
        <f t="shared" si="17"/>
        <v>No</v>
      </c>
    </row>
    <row r="1061" spans="1:18" x14ac:dyDescent="0.35">
      <c r="A1061" s="1">
        <v>40352</v>
      </c>
      <c r="B1061">
        <v>0</v>
      </c>
      <c r="C1061" t="s">
        <v>16</v>
      </c>
      <c r="D1061" t="s">
        <v>50</v>
      </c>
      <c r="E1061" t="s">
        <v>18</v>
      </c>
      <c r="F1061">
        <v>72</v>
      </c>
      <c r="G1061" t="s">
        <v>34</v>
      </c>
      <c r="H1061" t="s">
        <v>30</v>
      </c>
      <c r="I1061">
        <v>70</v>
      </c>
      <c r="J1061">
        <v>2</v>
      </c>
      <c r="K1061">
        <v>4</v>
      </c>
      <c r="L1061">
        <v>51</v>
      </c>
      <c r="M1061" t="s">
        <v>20</v>
      </c>
      <c r="N1061" t="s">
        <v>35</v>
      </c>
      <c r="O1061">
        <v>27561</v>
      </c>
      <c r="P1061">
        <v>140</v>
      </c>
      <c r="Q1061" t="s">
        <v>34</v>
      </c>
      <c r="R1061" t="str">
        <f t="shared" si="17"/>
        <v>Yes</v>
      </c>
    </row>
    <row r="1062" spans="1:18" x14ac:dyDescent="0.35">
      <c r="A1062" s="1">
        <v>40352</v>
      </c>
      <c r="B1062">
        <v>0</v>
      </c>
      <c r="C1062" t="s">
        <v>16</v>
      </c>
      <c r="D1062" t="s">
        <v>53</v>
      </c>
      <c r="E1062" t="s">
        <v>18</v>
      </c>
      <c r="F1062">
        <v>73</v>
      </c>
      <c r="G1062" t="s">
        <v>41</v>
      </c>
      <c r="H1062" t="s">
        <v>30</v>
      </c>
      <c r="I1062">
        <v>74</v>
      </c>
      <c r="J1062">
        <v>3</v>
      </c>
      <c r="K1062">
        <v>0</v>
      </c>
      <c r="L1062">
        <v>54</v>
      </c>
      <c r="M1062" t="s">
        <v>38</v>
      </c>
      <c r="N1062" t="s">
        <v>42</v>
      </c>
      <c r="O1062">
        <v>20824</v>
      </c>
      <c r="P1062">
        <v>154</v>
      </c>
      <c r="Q1062" t="s">
        <v>53</v>
      </c>
      <c r="R1062" t="str">
        <f t="shared" si="17"/>
        <v>No</v>
      </c>
    </row>
    <row r="1063" spans="1:18" x14ac:dyDescent="0.35">
      <c r="A1063" s="1">
        <v>40352</v>
      </c>
      <c r="B1063">
        <v>0</v>
      </c>
      <c r="C1063" t="s">
        <v>16</v>
      </c>
      <c r="D1063" t="s">
        <v>49</v>
      </c>
      <c r="E1063" t="s">
        <v>18</v>
      </c>
      <c r="F1063">
        <v>71</v>
      </c>
      <c r="G1063" t="s">
        <v>40</v>
      </c>
      <c r="H1063" t="s">
        <v>30</v>
      </c>
      <c r="I1063">
        <v>71</v>
      </c>
      <c r="J1063">
        <v>1</v>
      </c>
      <c r="K1063">
        <v>8</v>
      </c>
      <c r="L1063">
        <v>51</v>
      </c>
      <c r="M1063" t="s">
        <v>20</v>
      </c>
      <c r="N1063" t="s">
        <v>77</v>
      </c>
      <c r="O1063">
        <v>31394</v>
      </c>
      <c r="P1063">
        <v>148</v>
      </c>
      <c r="Q1063" t="s">
        <v>40</v>
      </c>
      <c r="R1063" t="str">
        <f t="shared" si="17"/>
        <v>Yes</v>
      </c>
    </row>
    <row r="1064" spans="1:18" x14ac:dyDescent="0.35">
      <c r="A1064" s="1">
        <v>40352</v>
      </c>
      <c r="B1064">
        <v>0</v>
      </c>
      <c r="C1064" t="s">
        <v>16</v>
      </c>
      <c r="D1064" t="s">
        <v>62</v>
      </c>
      <c r="E1064" t="s">
        <v>18</v>
      </c>
      <c r="F1064">
        <v>71</v>
      </c>
      <c r="G1064" t="s">
        <v>44</v>
      </c>
      <c r="H1064" t="s">
        <v>30</v>
      </c>
      <c r="I1064">
        <v>71</v>
      </c>
      <c r="J1064">
        <v>5</v>
      </c>
      <c r="K1064">
        <v>4</v>
      </c>
      <c r="L1064">
        <v>54</v>
      </c>
      <c r="M1064" t="s">
        <v>20</v>
      </c>
      <c r="N1064" t="s">
        <v>45</v>
      </c>
      <c r="O1064">
        <v>15809</v>
      </c>
      <c r="P1064">
        <v>173</v>
      </c>
      <c r="Q1064" t="s">
        <v>62</v>
      </c>
      <c r="R1064" t="str">
        <f t="shared" si="17"/>
        <v>No</v>
      </c>
    </row>
    <row r="1065" spans="1:18" x14ac:dyDescent="0.35">
      <c r="A1065" s="1">
        <v>40352</v>
      </c>
      <c r="B1065">
        <v>0</v>
      </c>
      <c r="C1065" t="s">
        <v>16</v>
      </c>
      <c r="D1065" t="s">
        <v>23</v>
      </c>
      <c r="E1065" t="s">
        <v>18</v>
      </c>
      <c r="F1065">
        <v>71</v>
      </c>
      <c r="G1065" t="s">
        <v>47</v>
      </c>
      <c r="H1065" t="s">
        <v>30</v>
      </c>
      <c r="I1065">
        <v>71</v>
      </c>
      <c r="J1065">
        <v>3</v>
      </c>
      <c r="K1065">
        <v>13</v>
      </c>
      <c r="L1065">
        <v>51</v>
      </c>
      <c r="M1065" t="s">
        <v>20</v>
      </c>
      <c r="N1065" t="s">
        <v>48</v>
      </c>
      <c r="O1065">
        <v>33646</v>
      </c>
      <c r="P1065">
        <v>190</v>
      </c>
      <c r="Q1065" t="s">
        <v>47</v>
      </c>
      <c r="R1065" t="str">
        <f t="shared" si="17"/>
        <v>Yes</v>
      </c>
    </row>
    <row r="1066" spans="1:18" x14ac:dyDescent="0.35">
      <c r="A1066" s="1">
        <v>40352</v>
      </c>
      <c r="B1066">
        <v>0</v>
      </c>
      <c r="C1066" t="s">
        <v>16</v>
      </c>
      <c r="D1066" t="s">
        <v>52</v>
      </c>
      <c r="E1066" t="s">
        <v>18</v>
      </c>
      <c r="F1066">
        <v>71</v>
      </c>
      <c r="G1066" t="s">
        <v>46</v>
      </c>
      <c r="H1066" t="s">
        <v>30</v>
      </c>
      <c r="I1066">
        <v>72</v>
      </c>
      <c r="J1066">
        <v>1</v>
      </c>
      <c r="K1066">
        <v>0</v>
      </c>
      <c r="L1066">
        <v>54</v>
      </c>
      <c r="M1066" t="s">
        <v>20</v>
      </c>
      <c r="N1066" t="s">
        <v>78</v>
      </c>
      <c r="O1066">
        <v>14079</v>
      </c>
      <c r="P1066">
        <v>151</v>
      </c>
      <c r="Q1066" t="s">
        <v>52</v>
      </c>
      <c r="R1066" t="str">
        <f t="shared" si="17"/>
        <v>No</v>
      </c>
    </row>
    <row r="1067" spans="1:18" x14ac:dyDescent="0.35">
      <c r="A1067" s="1">
        <v>40352</v>
      </c>
      <c r="B1067">
        <v>0</v>
      </c>
      <c r="C1067" t="s">
        <v>16</v>
      </c>
      <c r="D1067" t="s">
        <v>59</v>
      </c>
      <c r="E1067" t="s">
        <v>30</v>
      </c>
      <c r="F1067">
        <v>72</v>
      </c>
      <c r="G1067" t="s">
        <v>60</v>
      </c>
      <c r="H1067" t="s">
        <v>18</v>
      </c>
      <c r="I1067">
        <v>73</v>
      </c>
      <c r="J1067">
        <v>6</v>
      </c>
      <c r="K1067">
        <v>5</v>
      </c>
      <c r="L1067">
        <v>60</v>
      </c>
      <c r="M1067" t="s">
        <v>20</v>
      </c>
      <c r="N1067" t="s">
        <v>61</v>
      </c>
      <c r="O1067">
        <v>46325</v>
      </c>
      <c r="P1067">
        <v>247</v>
      </c>
      <c r="Q1067" t="s">
        <v>59</v>
      </c>
      <c r="R1067" t="str">
        <f t="shared" si="17"/>
        <v>No</v>
      </c>
    </row>
    <row r="1068" spans="1:18" x14ac:dyDescent="0.35">
      <c r="A1068" s="1">
        <v>40352</v>
      </c>
      <c r="B1068">
        <v>0</v>
      </c>
      <c r="C1068" t="s">
        <v>16</v>
      </c>
      <c r="D1068" t="s">
        <v>58</v>
      </c>
      <c r="E1068" t="s">
        <v>30</v>
      </c>
      <c r="F1068">
        <v>73</v>
      </c>
      <c r="G1068" t="s">
        <v>63</v>
      </c>
      <c r="H1068" t="s">
        <v>18</v>
      </c>
      <c r="I1068">
        <v>71</v>
      </c>
      <c r="J1068">
        <v>6</v>
      </c>
      <c r="K1068">
        <v>8</v>
      </c>
      <c r="L1068">
        <v>52</v>
      </c>
      <c r="M1068" t="s">
        <v>20</v>
      </c>
      <c r="N1068" t="s">
        <v>64</v>
      </c>
      <c r="O1068">
        <v>48243</v>
      </c>
      <c r="P1068">
        <v>177</v>
      </c>
      <c r="Q1068" t="s">
        <v>63</v>
      </c>
      <c r="R1068" t="str">
        <f t="shared" si="17"/>
        <v>Yes</v>
      </c>
    </row>
    <row r="1069" spans="1:18" x14ac:dyDescent="0.35">
      <c r="A1069" s="1">
        <v>40352</v>
      </c>
      <c r="B1069">
        <v>0</v>
      </c>
      <c r="C1069" t="s">
        <v>16</v>
      </c>
      <c r="D1069" t="s">
        <v>70</v>
      </c>
      <c r="E1069" t="s">
        <v>18</v>
      </c>
      <c r="F1069">
        <v>70</v>
      </c>
      <c r="G1069" t="s">
        <v>66</v>
      </c>
      <c r="H1069" t="s">
        <v>18</v>
      </c>
      <c r="I1069">
        <v>72</v>
      </c>
      <c r="J1069">
        <v>3</v>
      </c>
      <c r="K1069">
        <v>6</v>
      </c>
      <c r="L1069">
        <v>51</v>
      </c>
      <c r="M1069" t="s">
        <v>20</v>
      </c>
      <c r="N1069" t="s">
        <v>67</v>
      </c>
      <c r="O1069">
        <v>29311</v>
      </c>
      <c r="P1069">
        <v>189</v>
      </c>
      <c r="Q1069" t="s">
        <v>66</v>
      </c>
      <c r="R1069" t="str">
        <f t="shared" si="17"/>
        <v>Yes</v>
      </c>
    </row>
    <row r="1070" spans="1:18" x14ac:dyDescent="0.35">
      <c r="A1070" s="1">
        <v>40352</v>
      </c>
      <c r="B1070">
        <v>0</v>
      </c>
      <c r="C1070" t="s">
        <v>16</v>
      </c>
      <c r="D1070" t="s">
        <v>29</v>
      </c>
      <c r="E1070" t="s">
        <v>30</v>
      </c>
      <c r="F1070">
        <v>71</v>
      </c>
      <c r="G1070" t="s">
        <v>68</v>
      </c>
      <c r="H1070" t="s">
        <v>18</v>
      </c>
      <c r="I1070">
        <v>71</v>
      </c>
      <c r="J1070">
        <v>3</v>
      </c>
      <c r="K1070">
        <v>5</v>
      </c>
      <c r="L1070">
        <v>51</v>
      </c>
      <c r="M1070" t="s">
        <v>20</v>
      </c>
      <c r="N1070" t="s">
        <v>69</v>
      </c>
      <c r="O1070">
        <v>33362</v>
      </c>
      <c r="P1070">
        <v>199</v>
      </c>
      <c r="Q1070" t="s">
        <v>68</v>
      </c>
      <c r="R1070" t="str">
        <f t="shared" si="17"/>
        <v>Yes</v>
      </c>
    </row>
    <row r="1071" spans="1:18" x14ac:dyDescent="0.35">
      <c r="A1071" s="1">
        <v>40352</v>
      </c>
      <c r="B1071">
        <v>0</v>
      </c>
      <c r="C1071" t="s">
        <v>16</v>
      </c>
      <c r="D1071" t="s">
        <v>36</v>
      </c>
      <c r="E1071" t="s">
        <v>30</v>
      </c>
      <c r="F1071">
        <v>70</v>
      </c>
      <c r="G1071" t="s">
        <v>19</v>
      </c>
      <c r="H1071" t="s">
        <v>18</v>
      </c>
      <c r="I1071">
        <v>71</v>
      </c>
      <c r="J1071">
        <v>0</v>
      </c>
      <c r="K1071">
        <v>5</v>
      </c>
      <c r="L1071">
        <v>51</v>
      </c>
      <c r="M1071" t="s">
        <v>20</v>
      </c>
      <c r="N1071" t="s">
        <v>21</v>
      </c>
      <c r="O1071">
        <v>35045</v>
      </c>
      <c r="P1071">
        <v>145</v>
      </c>
      <c r="Q1071" t="s">
        <v>19</v>
      </c>
      <c r="R1071" t="str">
        <f t="shared" si="17"/>
        <v>Yes</v>
      </c>
    </row>
    <row r="1072" spans="1:18" x14ac:dyDescent="0.35">
      <c r="A1072" s="1">
        <v>40352</v>
      </c>
      <c r="B1072">
        <v>0</v>
      </c>
      <c r="C1072" t="s">
        <v>16</v>
      </c>
      <c r="D1072" t="s">
        <v>33</v>
      </c>
      <c r="E1072" t="s">
        <v>30</v>
      </c>
      <c r="F1072">
        <v>70</v>
      </c>
      <c r="G1072" t="s">
        <v>25</v>
      </c>
      <c r="H1072" t="s">
        <v>18</v>
      </c>
      <c r="I1072">
        <v>69</v>
      </c>
      <c r="J1072">
        <v>6</v>
      </c>
      <c r="K1072">
        <v>7</v>
      </c>
      <c r="L1072">
        <v>52</v>
      </c>
      <c r="M1072" t="s">
        <v>20</v>
      </c>
      <c r="N1072" t="s">
        <v>80</v>
      </c>
      <c r="O1072">
        <v>44510</v>
      </c>
      <c r="P1072">
        <v>196</v>
      </c>
      <c r="Q1072" t="s">
        <v>25</v>
      </c>
      <c r="R1072" t="str">
        <f t="shared" si="17"/>
        <v>Yes</v>
      </c>
    </row>
    <row r="1073" spans="1:18" x14ac:dyDescent="0.35">
      <c r="A1073" s="1">
        <v>40352</v>
      </c>
      <c r="B1073">
        <v>0</v>
      </c>
      <c r="C1073" t="s">
        <v>16</v>
      </c>
      <c r="D1073" t="s">
        <v>37</v>
      </c>
      <c r="E1073" t="s">
        <v>30</v>
      </c>
      <c r="F1073">
        <v>73</v>
      </c>
      <c r="G1073" t="s">
        <v>26</v>
      </c>
      <c r="H1073" t="s">
        <v>18</v>
      </c>
      <c r="I1073">
        <v>73</v>
      </c>
      <c r="J1073">
        <v>1</v>
      </c>
      <c r="K1073">
        <v>0</v>
      </c>
      <c r="L1073">
        <v>54</v>
      </c>
      <c r="M1073" t="s">
        <v>38</v>
      </c>
      <c r="N1073" t="s">
        <v>27</v>
      </c>
      <c r="O1073">
        <v>31913</v>
      </c>
      <c r="P1073">
        <v>150</v>
      </c>
      <c r="Q1073" t="s">
        <v>37</v>
      </c>
      <c r="R1073" t="str">
        <f t="shared" si="17"/>
        <v>No</v>
      </c>
    </row>
    <row r="1074" spans="1:18" x14ac:dyDescent="0.35">
      <c r="A1074" s="1">
        <v>40353</v>
      </c>
      <c r="B1074">
        <v>0</v>
      </c>
      <c r="C1074" t="s">
        <v>28</v>
      </c>
      <c r="D1074" t="s">
        <v>22</v>
      </c>
      <c r="E1074" t="s">
        <v>18</v>
      </c>
      <c r="F1074">
        <v>72</v>
      </c>
      <c r="G1074" t="s">
        <v>31</v>
      </c>
      <c r="H1074" t="s">
        <v>30</v>
      </c>
      <c r="I1074">
        <v>75</v>
      </c>
      <c r="J1074">
        <v>10</v>
      </c>
      <c r="K1074">
        <v>6</v>
      </c>
      <c r="L1074">
        <v>54</v>
      </c>
      <c r="M1074" t="s">
        <v>20</v>
      </c>
      <c r="N1074" t="s">
        <v>32</v>
      </c>
      <c r="O1074">
        <v>44043</v>
      </c>
      <c r="P1074">
        <v>232</v>
      </c>
      <c r="Q1074" t="s">
        <v>22</v>
      </c>
      <c r="R1074" t="str">
        <f t="shared" si="17"/>
        <v>No</v>
      </c>
    </row>
    <row r="1075" spans="1:18" x14ac:dyDescent="0.35">
      <c r="A1075" s="1">
        <v>40353</v>
      </c>
      <c r="B1075">
        <v>0</v>
      </c>
      <c r="C1075" t="s">
        <v>28</v>
      </c>
      <c r="D1075" t="s">
        <v>17</v>
      </c>
      <c r="E1075" t="s">
        <v>18</v>
      </c>
      <c r="F1075">
        <v>72</v>
      </c>
      <c r="G1075" t="s">
        <v>43</v>
      </c>
      <c r="H1075" t="s">
        <v>30</v>
      </c>
      <c r="I1075">
        <v>72</v>
      </c>
      <c r="J1075">
        <v>5</v>
      </c>
      <c r="K1075">
        <v>11</v>
      </c>
      <c r="L1075">
        <v>51</v>
      </c>
      <c r="M1075" t="s">
        <v>20</v>
      </c>
      <c r="N1075" t="s">
        <v>56</v>
      </c>
      <c r="O1075">
        <v>15397</v>
      </c>
      <c r="P1075">
        <v>195</v>
      </c>
      <c r="Q1075" t="s">
        <v>43</v>
      </c>
      <c r="R1075" t="str">
        <f t="shared" si="17"/>
        <v>Yes</v>
      </c>
    </row>
    <row r="1076" spans="1:18" x14ac:dyDescent="0.35">
      <c r="A1076" s="1">
        <v>40353</v>
      </c>
      <c r="B1076">
        <v>0</v>
      </c>
      <c r="C1076" t="s">
        <v>28</v>
      </c>
      <c r="D1076" t="s">
        <v>50</v>
      </c>
      <c r="E1076" t="s">
        <v>18</v>
      </c>
      <c r="F1076">
        <v>73</v>
      </c>
      <c r="G1076" t="s">
        <v>34</v>
      </c>
      <c r="H1076" t="s">
        <v>30</v>
      </c>
      <c r="I1076">
        <v>71</v>
      </c>
      <c r="J1076">
        <v>0</v>
      </c>
      <c r="K1076">
        <v>2</v>
      </c>
      <c r="L1076">
        <v>51</v>
      </c>
      <c r="M1076" t="s">
        <v>38</v>
      </c>
      <c r="N1076" t="s">
        <v>35</v>
      </c>
      <c r="O1076">
        <v>31076</v>
      </c>
      <c r="P1076">
        <v>137</v>
      </c>
      <c r="Q1076" t="s">
        <v>34</v>
      </c>
      <c r="R1076" t="str">
        <f t="shared" si="17"/>
        <v>Yes</v>
      </c>
    </row>
    <row r="1077" spans="1:18" x14ac:dyDescent="0.35">
      <c r="A1077" s="1">
        <v>40353</v>
      </c>
      <c r="B1077">
        <v>0</v>
      </c>
      <c r="C1077" t="s">
        <v>28</v>
      </c>
      <c r="D1077" t="s">
        <v>49</v>
      </c>
      <c r="E1077" t="s">
        <v>18</v>
      </c>
      <c r="F1077">
        <v>72</v>
      </c>
      <c r="G1077" t="s">
        <v>40</v>
      </c>
      <c r="H1077" t="s">
        <v>30</v>
      </c>
      <c r="I1077">
        <v>72</v>
      </c>
      <c r="J1077">
        <v>3</v>
      </c>
      <c r="K1077">
        <v>2</v>
      </c>
      <c r="L1077">
        <v>78</v>
      </c>
      <c r="M1077" t="s">
        <v>38</v>
      </c>
      <c r="N1077" t="s">
        <v>77</v>
      </c>
      <c r="O1077">
        <v>41329</v>
      </c>
      <c r="P1077">
        <v>242</v>
      </c>
      <c r="Q1077" t="s">
        <v>49</v>
      </c>
      <c r="R1077" t="str">
        <f t="shared" si="17"/>
        <v>No</v>
      </c>
    </row>
    <row r="1078" spans="1:18" x14ac:dyDescent="0.35">
      <c r="A1078" s="1">
        <v>40353</v>
      </c>
      <c r="B1078">
        <v>0</v>
      </c>
      <c r="C1078" t="s">
        <v>28</v>
      </c>
      <c r="D1078" t="s">
        <v>62</v>
      </c>
      <c r="E1078" t="s">
        <v>18</v>
      </c>
      <c r="F1078">
        <v>72</v>
      </c>
      <c r="G1078" t="s">
        <v>44</v>
      </c>
      <c r="H1078" t="s">
        <v>30</v>
      </c>
      <c r="I1078">
        <v>72</v>
      </c>
      <c r="J1078">
        <v>3</v>
      </c>
      <c r="K1078">
        <v>5</v>
      </c>
      <c r="L1078">
        <v>51</v>
      </c>
      <c r="M1078" t="s">
        <v>38</v>
      </c>
      <c r="N1078" t="s">
        <v>45</v>
      </c>
      <c r="O1078">
        <v>21877</v>
      </c>
      <c r="P1078">
        <v>179</v>
      </c>
      <c r="Q1078" t="s">
        <v>44</v>
      </c>
      <c r="R1078" t="str">
        <f t="shared" si="17"/>
        <v>Yes</v>
      </c>
    </row>
    <row r="1079" spans="1:18" x14ac:dyDescent="0.35">
      <c r="A1079" s="1">
        <v>40353</v>
      </c>
      <c r="B1079">
        <v>0</v>
      </c>
      <c r="C1079" t="s">
        <v>28</v>
      </c>
      <c r="D1079" t="s">
        <v>23</v>
      </c>
      <c r="E1079" t="s">
        <v>18</v>
      </c>
      <c r="F1079">
        <v>72</v>
      </c>
      <c r="G1079" t="s">
        <v>47</v>
      </c>
      <c r="H1079" t="s">
        <v>30</v>
      </c>
      <c r="I1079">
        <v>72</v>
      </c>
      <c r="J1079">
        <v>5</v>
      </c>
      <c r="K1079">
        <v>6</v>
      </c>
      <c r="L1079">
        <v>53</v>
      </c>
      <c r="M1079" t="s">
        <v>20</v>
      </c>
      <c r="N1079" t="s">
        <v>48</v>
      </c>
      <c r="O1079">
        <v>19567</v>
      </c>
      <c r="P1079">
        <v>186</v>
      </c>
      <c r="Q1079" t="s">
        <v>47</v>
      </c>
      <c r="R1079" t="str">
        <f t="shared" si="17"/>
        <v>Yes</v>
      </c>
    </row>
    <row r="1080" spans="1:18" x14ac:dyDescent="0.35">
      <c r="A1080" s="1">
        <v>40353</v>
      </c>
      <c r="B1080">
        <v>0</v>
      </c>
      <c r="C1080" t="s">
        <v>28</v>
      </c>
      <c r="D1080" t="s">
        <v>52</v>
      </c>
      <c r="E1080" t="s">
        <v>18</v>
      </c>
      <c r="F1080">
        <v>72</v>
      </c>
      <c r="G1080" t="s">
        <v>46</v>
      </c>
      <c r="H1080" t="s">
        <v>30</v>
      </c>
      <c r="I1080">
        <v>73</v>
      </c>
      <c r="J1080">
        <v>0</v>
      </c>
      <c r="K1080">
        <v>5</v>
      </c>
      <c r="L1080">
        <v>51</v>
      </c>
      <c r="M1080" t="s">
        <v>20</v>
      </c>
      <c r="N1080" t="s">
        <v>78</v>
      </c>
      <c r="O1080">
        <v>12392</v>
      </c>
      <c r="P1080">
        <v>146</v>
      </c>
      <c r="Q1080" t="s">
        <v>46</v>
      </c>
      <c r="R1080" t="str">
        <f t="shared" si="17"/>
        <v>Yes</v>
      </c>
    </row>
    <row r="1081" spans="1:18" x14ac:dyDescent="0.35">
      <c r="A1081" s="1">
        <v>40353</v>
      </c>
      <c r="B1081">
        <v>0</v>
      </c>
      <c r="C1081" t="s">
        <v>28</v>
      </c>
      <c r="D1081" t="s">
        <v>58</v>
      </c>
      <c r="E1081" t="s">
        <v>30</v>
      </c>
      <c r="F1081">
        <v>74</v>
      </c>
      <c r="G1081" t="s">
        <v>63</v>
      </c>
      <c r="H1081" t="s">
        <v>18</v>
      </c>
      <c r="I1081">
        <v>72</v>
      </c>
      <c r="J1081">
        <v>13</v>
      </c>
      <c r="K1081">
        <v>11</v>
      </c>
      <c r="L1081">
        <v>60</v>
      </c>
      <c r="M1081" t="s">
        <v>20</v>
      </c>
      <c r="N1081" t="s">
        <v>64</v>
      </c>
      <c r="O1081">
        <v>48582</v>
      </c>
      <c r="P1081">
        <v>288</v>
      </c>
      <c r="Q1081" t="s">
        <v>58</v>
      </c>
      <c r="R1081" t="str">
        <f t="shared" si="17"/>
        <v>No</v>
      </c>
    </row>
    <row r="1082" spans="1:18" x14ac:dyDescent="0.35">
      <c r="A1082" s="1">
        <v>40353</v>
      </c>
      <c r="B1082">
        <v>0</v>
      </c>
      <c r="C1082" t="s">
        <v>28</v>
      </c>
      <c r="D1082" t="s">
        <v>70</v>
      </c>
      <c r="E1082" t="s">
        <v>18</v>
      </c>
      <c r="F1082">
        <v>71</v>
      </c>
      <c r="G1082" t="s">
        <v>66</v>
      </c>
      <c r="H1082" t="s">
        <v>18</v>
      </c>
      <c r="I1082">
        <v>73</v>
      </c>
      <c r="J1082">
        <v>5</v>
      </c>
      <c r="K1082">
        <v>7</v>
      </c>
      <c r="L1082">
        <v>51</v>
      </c>
      <c r="M1082" t="s">
        <v>38</v>
      </c>
      <c r="N1082" t="s">
        <v>67</v>
      </c>
      <c r="O1082">
        <v>26662</v>
      </c>
      <c r="P1082">
        <v>196</v>
      </c>
      <c r="Q1082" t="s">
        <v>66</v>
      </c>
      <c r="R1082" t="str">
        <f t="shared" si="17"/>
        <v>Yes</v>
      </c>
    </row>
    <row r="1083" spans="1:18" x14ac:dyDescent="0.35">
      <c r="A1083" s="1">
        <v>40353</v>
      </c>
      <c r="B1083">
        <v>0</v>
      </c>
      <c r="C1083" t="s">
        <v>28</v>
      </c>
      <c r="D1083" t="s">
        <v>29</v>
      </c>
      <c r="E1083" t="s">
        <v>30</v>
      </c>
      <c r="F1083">
        <v>72</v>
      </c>
      <c r="G1083" t="s">
        <v>68</v>
      </c>
      <c r="H1083" t="s">
        <v>18</v>
      </c>
      <c r="I1083">
        <v>72</v>
      </c>
      <c r="J1083">
        <v>0</v>
      </c>
      <c r="K1083">
        <v>5</v>
      </c>
      <c r="L1083">
        <v>51</v>
      </c>
      <c r="M1083" t="s">
        <v>38</v>
      </c>
      <c r="N1083" t="s">
        <v>69</v>
      </c>
      <c r="O1083">
        <v>35898</v>
      </c>
      <c r="P1083">
        <v>142</v>
      </c>
      <c r="Q1083" t="s">
        <v>68</v>
      </c>
      <c r="R1083" t="str">
        <f t="shared" si="17"/>
        <v>Yes</v>
      </c>
    </row>
    <row r="1084" spans="1:18" x14ac:dyDescent="0.35">
      <c r="A1084" s="1">
        <v>40353</v>
      </c>
      <c r="B1084">
        <v>0</v>
      </c>
      <c r="C1084" t="s">
        <v>28</v>
      </c>
      <c r="D1084" t="s">
        <v>36</v>
      </c>
      <c r="E1084" t="s">
        <v>30</v>
      </c>
      <c r="F1084">
        <v>71</v>
      </c>
      <c r="G1084" t="s">
        <v>19</v>
      </c>
      <c r="H1084" t="s">
        <v>18</v>
      </c>
      <c r="I1084">
        <v>72</v>
      </c>
      <c r="J1084">
        <v>6</v>
      </c>
      <c r="K1084">
        <v>5</v>
      </c>
      <c r="L1084">
        <v>54</v>
      </c>
      <c r="M1084" t="s">
        <v>20</v>
      </c>
      <c r="N1084" t="s">
        <v>21</v>
      </c>
      <c r="O1084">
        <v>31319</v>
      </c>
      <c r="P1084">
        <v>201</v>
      </c>
      <c r="Q1084" t="s">
        <v>36</v>
      </c>
      <c r="R1084" t="str">
        <f t="shared" si="17"/>
        <v>No</v>
      </c>
    </row>
    <row r="1085" spans="1:18" x14ac:dyDescent="0.35">
      <c r="A1085" s="1">
        <v>40353</v>
      </c>
      <c r="B1085">
        <v>0</v>
      </c>
      <c r="C1085" t="s">
        <v>28</v>
      </c>
      <c r="D1085" t="s">
        <v>33</v>
      </c>
      <c r="E1085" t="s">
        <v>30</v>
      </c>
      <c r="F1085">
        <v>71</v>
      </c>
      <c r="G1085" t="s">
        <v>25</v>
      </c>
      <c r="H1085" t="s">
        <v>18</v>
      </c>
      <c r="I1085">
        <v>70</v>
      </c>
      <c r="J1085">
        <v>3</v>
      </c>
      <c r="K1085">
        <v>12</v>
      </c>
      <c r="L1085">
        <v>51</v>
      </c>
      <c r="M1085" t="s">
        <v>38</v>
      </c>
      <c r="N1085" t="s">
        <v>80</v>
      </c>
      <c r="O1085">
        <v>45085</v>
      </c>
      <c r="P1085">
        <v>156</v>
      </c>
      <c r="Q1085" t="s">
        <v>25</v>
      </c>
      <c r="R1085" t="str">
        <f t="shared" si="17"/>
        <v>Yes</v>
      </c>
    </row>
    <row r="1086" spans="1:18" x14ac:dyDescent="0.35">
      <c r="A1086" s="1">
        <v>40354</v>
      </c>
      <c r="B1086">
        <v>0</v>
      </c>
      <c r="C1086" t="s">
        <v>55</v>
      </c>
      <c r="D1086" t="s">
        <v>63</v>
      </c>
      <c r="E1086" t="s">
        <v>18</v>
      </c>
      <c r="F1086">
        <v>73</v>
      </c>
      <c r="G1086" t="s">
        <v>31</v>
      </c>
      <c r="H1086" t="s">
        <v>30</v>
      </c>
      <c r="I1086">
        <v>76</v>
      </c>
      <c r="J1086">
        <v>4</v>
      </c>
      <c r="K1086">
        <v>3</v>
      </c>
      <c r="L1086">
        <v>66</v>
      </c>
      <c r="M1086" t="s">
        <v>20</v>
      </c>
      <c r="N1086" t="s">
        <v>32</v>
      </c>
      <c r="O1086">
        <v>37228</v>
      </c>
      <c r="P1086">
        <v>241</v>
      </c>
      <c r="Q1086" t="s">
        <v>63</v>
      </c>
      <c r="R1086" t="str">
        <f t="shared" si="17"/>
        <v>No</v>
      </c>
    </row>
    <row r="1087" spans="1:18" x14ac:dyDescent="0.35">
      <c r="A1087" s="1">
        <v>40354</v>
      </c>
      <c r="B1087">
        <v>0</v>
      </c>
      <c r="C1087" t="s">
        <v>55</v>
      </c>
      <c r="D1087" t="s">
        <v>26</v>
      </c>
      <c r="E1087" t="s">
        <v>18</v>
      </c>
      <c r="F1087">
        <v>74</v>
      </c>
      <c r="G1087" t="s">
        <v>43</v>
      </c>
      <c r="H1087" t="s">
        <v>30</v>
      </c>
      <c r="I1087">
        <v>73</v>
      </c>
      <c r="J1087">
        <v>6</v>
      </c>
      <c r="K1087">
        <v>7</v>
      </c>
      <c r="L1087">
        <v>53</v>
      </c>
      <c r="M1087" t="s">
        <v>20</v>
      </c>
      <c r="N1087" t="s">
        <v>56</v>
      </c>
      <c r="O1087">
        <v>43484</v>
      </c>
      <c r="P1087">
        <v>233</v>
      </c>
      <c r="Q1087" t="s">
        <v>43</v>
      </c>
      <c r="R1087" t="str">
        <f t="shared" si="17"/>
        <v>Yes</v>
      </c>
    </row>
    <row r="1088" spans="1:18" x14ac:dyDescent="0.35">
      <c r="A1088" s="1">
        <v>40354</v>
      </c>
      <c r="B1088">
        <v>0</v>
      </c>
      <c r="C1088" t="s">
        <v>55</v>
      </c>
      <c r="D1088" t="s">
        <v>49</v>
      </c>
      <c r="E1088" t="s">
        <v>18</v>
      </c>
      <c r="F1088">
        <v>73</v>
      </c>
      <c r="G1088" t="s">
        <v>34</v>
      </c>
      <c r="H1088" t="s">
        <v>30</v>
      </c>
      <c r="I1088">
        <v>72</v>
      </c>
      <c r="J1088">
        <v>0</v>
      </c>
      <c r="K1088">
        <v>6</v>
      </c>
      <c r="L1088">
        <v>51</v>
      </c>
      <c r="M1088" t="s">
        <v>38</v>
      </c>
      <c r="N1088" t="s">
        <v>35</v>
      </c>
      <c r="O1088">
        <v>39364</v>
      </c>
      <c r="P1088">
        <v>142</v>
      </c>
      <c r="Q1088" t="s">
        <v>34</v>
      </c>
      <c r="R1088" t="str">
        <f t="shared" si="17"/>
        <v>Yes</v>
      </c>
    </row>
    <row r="1089" spans="1:18" x14ac:dyDescent="0.35">
      <c r="A1089" s="1">
        <v>40354</v>
      </c>
      <c r="B1089">
        <v>0</v>
      </c>
      <c r="C1089" t="s">
        <v>55</v>
      </c>
      <c r="D1089" t="s">
        <v>52</v>
      </c>
      <c r="E1089" t="s">
        <v>18</v>
      </c>
      <c r="F1089">
        <v>73</v>
      </c>
      <c r="G1089" t="s">
        <v>37</v>
      </c>
      <c r="H1089" t="s">
        <v>30</v>
      </c>
      <c r="I1089">
        <v>74</v>
      </c>
      <c r="J1089">
        <v>2</v>
      </c>
      <c r="K1089">
        <v>4</v>
      </c>
      <c r="L1089">
        <v>51</v>
      </c>
      <c r="M1089" t="s">
        <v>20</v>
      </c>
      <c r="N1089" t="s">
        <v>39</v>
      </c>
      <c r="O1089">
        <v>38916</v>
      </c>
      <c r="P1089">
        <v>167</v>
      </c>
      <c r="Q1089" t="s">
        <v>37</v>
      </c>
      <c r="R1089" t="str">
        <f t="shared" si="17"/>
        <v>Yes</v>
      </c>
    </row>
    <row r="1090" spans="1:18" x14ac:dyDescent="0.35">
      <c r="A1090" s="1">
        <v>40354</v>
      </c>
      <c r="B1090">
        <v>0</v>
      </c>
      <c r="C1090" t="s">
        <v>55</v>
      </c>
      <c r="D1090" t="s">
        <v>23</v>
      </c>
      <c r="E1090" t="s">
        <v>18</v>
      </c>
      <c r="F1090">
        <v>73</v>
      </c>
      <c r="G1090" t="s">
        <v>41</v>
      </c>
      <c r="H1090" t="s">
        <v>30</v>
      </c>
      <c r="I1090">
        <v>75</v>
      </c>
      <c r="J1090">
        <v>4</v>
      </c>
      <c r="K1090">
        <v>14</v>
      </c>
      <c r="L1090">
        <v>51</v>
      </c>
      <c r="M1090" t="s">
        <v>20</v>
      </c>
      <c r="N1090" t="s">
        <v>42</v>
      </c>
      <c r="O1090">
        <v>11154</v>
      </c>
      <c r="P1090">
        <v>185</v>
      </c>
      <c r="Q1090" t="s">
        <v>41</v>
      </c>
      <c r="R1090" t="str">
        <f t="shared" si="17"/>
        <v>Yes</v>
      </c>
    </row>
    <row r="1091" spans="1:18" x14ac:dyDescent="0.35">
      <c r="A1091" s="1">
        <v>40354</v>
      </c>
      <c r="B1091">
        <v>0</v>
      </c>
      <c r="C1091" t="s">
        <v>55</v>
      </c>
      <c r="D1091" t="s">
        <v>60</v>
      </c>
      <c r="E1091" t="s">
        <v>18</v>
      </c>
      <c r="F1091">
        <v>74</v>
      </c>
      <c r="G1091" t="s">
        <v>44</v>
      </c>
      <c r="H1091" t="s">
        <v>30</v>
      </c>
      <c r="I1091">
        <v>73</v>
      </c>
      <c r="J1091">
        <v>1</v>
      </c>
      <c r="K1091">
        <v>0</v>
      </c>
      <c r="L1091">
        <v>54</v>
      </c>
      <c r="M1091" t="s">
        <v>20</v>
      </c>
      <c r="N1091" t="s">
        <v>45</v>
      </c>
      <c r="O1091">
        <v>18918</v>
      </c>
      <c r="P1091">
        <v>166</v>
      </c>
      <c r="Q1091" t="s">
        <v>60</v>
      </c>
      <c r="R1091" t="str">
        <f t="shared" ref="R1091:R1154" si="18">IF(K1091&gt;J1091,"Yes","No")</f>
        <v>No</v>
      </c>
    </row>
    <row r="1092" spans="1:18" x14ac:dyDescent="0.35">
      <c r="A1092" s="1">
        <v>40354</v>
      </c>
      <c r="B1092">
        <v>0</v>
      </c>
      <c r="C1092" t="s">
        <v>55</v>
      </c>
      <c r="D1092" t="s">
        <v>66</v>
      </c>
      <c r="E1092" t="s">
        <v>18</v>
      </c>
      <c r="F1092">
        <v>74</v>
      </c>
      <c r="G1092" t="s">
        <v>47</v>
      </c>
      <c r="H1092" t="s">
        <v>30</v>
      </c>
      <c r="I1092">
        <v>73</v>
      </c>
      <c r="J1092">
        <v>7</v>
      </c>
      <c r="K1092">
        <v>4</v>
      </c>
      <c r="L1092">
        <v>54</v>
      </c>
      <c r="M1092" t="s">
        <v>20</v>
      </c>
      <c r="N1092" t="s">
        <v>48</v>
      </c>
      <c r="O1092">
        <v>43457</v>
      </c>
      <c r="P1092">
        <v>225</v>
      </c>
      <c r="Q1092" t="s">
        <v>66</v>
      </c>
      <c r="R1092" t="str">
        <f t="shared" si="18"/>
        <v>No</v>
      </c>
    </row>
    <row r="1093" spans="1:18" x14ac:dyDescent="0.35">
      <c r="A1093" s="1">
        <v>40354</v>
      </c>
      <c r="B1093">
        <v>0</v>
      </c>
      <c r="C1093" t="s">
        <v>55</v>
      </c>
      <c r="D1093" t="s">
        <v>25</v>
      </c>
      <c r="E1093" t="s">
        <v>18</v>
      </c>
      <c r="F1093">
        <v>71</v>
      </c>
      <c r="G1093" t="s">
        <v>46</v>
      </c>
      <c r="H1093" t="s">
        <v>30</v>
      </c>
      <c r="I1093">
        <v>74</v>
      </c>
      <c r="J1093">
        <v>9</v>
      </c>
      <c r="K1093">
        <v>0</v>
      </c>
      <c r="L1093">
        <v>54</v>
      </c>
      <c r="M1093" t="s">
        <v>20</v>
      </c>
      <c r="N1093" t="s">
        <v>80</v>
      </c>
      <c r="O1093">
        <v>43076</v>
      </c>
      <c r="P1093">
        <v>166</v>
      </c>
      <c r="Q1093" t="s">
        <v>25</v>
      </c>
      <c r="R1093" t="str">
        <f t="shared" si="18"/>
        <v>No</v>
      </c>
    </row>
    <row r="1094" spans="1:18" x14ac:dyDescent="0.35">
      <c r="A1094" s="1">
        <v>40354</v>
      </c>
      <c r="B1094">
        <v>0</v>
      </c>
      <c r="C1094" t="s">
        <v>55</v>
      </c>
      <c r="D1094" t="s">
        <v>36</v>
      </c>
      <c r="E1094" t="s">
        <v>30</v>
      </c>
      <c r="F1094">
        <v>72</v>
      </c>
      <c r="G1094" t="s">
        <v>50</v>
      </c>
      <c r="H1094" t="s">
        <v>18</v>
      </c>
      <c r="I1094">
        <v>74</v>
      </c>
      <c r="J1094">
        <v>1</v>
      </c>
      <c r="K1094">
        <v>3</v>
      </c>
      <c r="L1094">
        <v>51</v>
      </c>
      <c r="M1094" t="s">
        <v>20</v>
      </c>
      <c r="N1094" t="s">
        <v>51</v>
      </c>
      <c r="O1094">
        <v>36634</v>
      </c>
      <c r="P1094">
        <v>159</v>
      </c>
      <c r="Q1094" t="s">
        <v>50</v>
      </c>
      <c r="R1094" t="str">
        <f t="shared" si="18"/>
        <v>Yes</v>
      </c>
    </row>
    <row r="1095" spans="1:18" x14ac:dyDescent="0.35">
      <c r="A1095" s="1">
        <v>40354</v>
      </c>
      <c r="B1095">
        <v>0</v>
      </c>
      <c r="C1095" t="s">
        <v>55</v>
      </c>
      <c r="D1095" t="s">
        <v>33</v>
      </c>
      <c r="E1095" t="s">
        <v>30</v>
      </c>
      <c r="F1095">
        <v>72</v>
      </c>
      <c r="G1095" t="s">
        <v>53</v>
      </c>
      <c r="H1095" t="s">
        <v>18</v>
      </c>
      <c r="I1095">
        <v>74</v>
      </c>
      <c r="J1095">
        <v>3</v>
      </c>
      <c r="K1095">
        <v>10</v>
      </c>
      <c r="L1095">
        <v>51</v>
      </c>
      <c r="M1095" t="s">
        <v>20</v>
      </c>
      <c r="N1095" t="s">
        <v>54</v>
      </c>
      <c r="O1095">
        <v>32844</v>
      </c>
      <c r="P1095">
        <v>166</v>
      </c>
      <c r="Q1095" t="s">
        <v>53</v>
      </c>
      <c r="R1095" t="str">
        <f t="shared" si="18"/>
        <v>Yes</v>
      </c>
    </row>
    <row r="1096" spans="1:18" x14ac:dyDescent="0.35">
      <c r="A1096" s="1">
        <v>40354</v>
      </c>
      <c r="B1096">
        <v>0</v>
      </c>
      <c r="C1096" t="s">
        <v>55</v>
      </c>
      <c r="D1096" t="s">
        <v>62</v>
      </c>
      <c r="E1096" t="s">
        <v>18</v>
      </c>
      <c r="F1096">
        <v>73</v>
      </c>
      <c r="G1096" t="s">
        <v>17</v>
      </c>
      <c r="H1096" t="s">
        <v>18</v>
      </c>
      <c r="I1096">
        <v>73</v>
      </c>
      <c r="J1096">
        <v>3</v>
      </c>
      <c r="K1096">
        <v>0</v>
      </c>
      <c r="L1096">
        <v>54</v>
      </c>
      <c r="M1096" t="s">
        <v>20</v>
      </c>
      <c r="N1096" t="s">
        <v>65</v>
      </c>
      <c r="O1096">
        <v>16718</v>
      </c>
      <c r="P1096">
        <v>169</v>
      </c>
      <c r="Q1096" t="s">
        <v>62</v>
      </c>
      <c r="R1096" t="str">
        <f t="shared" si="18"/>
        <v>No</v>
      </c>
    </row>
    <row r="1097" spans="1:18" x14ac:dyDescent="0.35">
      <c r="A1097" s="1">
        <v>40354</v>
      </c>
      <c r="B1097">
        <v>0</v>
      </c>
      <c r="C1097" t="s">
        <v>55</v>
      </c>
      <c r="D1097" t="s">
        <v>59</v>
      </c>
      <c r="E1097" t="s">
        <v>30</v>
      </c>
      <c r="F1097">
        <v>73</v>
      </c>
      <c r="G1097" t="s">
        <v>22</v>
      </c>
      <c r="H1097" t="s">
        <v>18</v>
      </c>
      <c r="I1097">
        <v>73</v>
      </c>
      <c r="J1097">
        <v>2</v>
      </c>
      <c r="K1097">
        <v>1</v>
      </c>
      <c r="L1097">
        <v>54</v>
      </c>
      <c r="M1097" t="s">
        <v>20</v>
      </c>
      <c r="N1097" t="s">
        <v>85</v>
      </c>
      <c r="O1097">
        <v>56000</v>
      </c>
      <c r="P1097">
        <v>183</v>
      </c>
      <c r="Q1097" t="s">
        <v>59</v>
      </c>
      <c r="R1097" t="str">
        <f t="shared" si="18"/>
        <v>No</v>
      </c>
    </row>
    <row r="1098" spans="1:18" x14ac:dyDescent="0.35">
      <c r="A1098" s="1">
        <v>40354</v>
      </c>
      <c r="B1098">
        <v>0</v>
      </c>
      <c r="C1098" t="s">
        <v>55</v>
      </c>
      <c r="D1098" t="s">
        <v>40</v>
      </c>
      <c r="E1098" t="s">
        <v>30</v>
      </c>
      <c r="F1098">
        <v>73</v>
      </c>
      <c r="G1098" t="s">
        <v>68</v>
      </c>
      <c r="H1098" t="s">
        <v>18</v>
      </c>
      <c r="I1098">
        <v>73</v>
      </c>
      <c r="J1098">
        <v>3</v>
      </c>
      <c r="K1098">
        <v>8</v>
      </c>
      <c r="L1098">
        <v>51</v>
      </c>
      <c r="M1098" t="s">
        <v>20</v>
      </c>
      <c r="N1098" t="s">
        <v>69</v>
      </c>
      <c r="O1098">
        <v>30087</v>
      </c>
      <c r="P1098">
        <v>173</v>
      </c>
      <c r="Q1098" t="s">
        <v>68</v>
      </c>
      <c r="R1098" t="str">
        <f t="shared" si="18"/>
        <v>Yes</v>
      </c>
    </row>
    <row r="1099" spans="1:18" x14ac:dyDescent="0.35">
      <c r="A1099" s="1">
        <v>40354</v>
      </c>
      <c r="B1099">
        <v>0</v>
      </c>
      <c r="C1099" t="s">
        <v>55</v>
      </c>
      <c r="D1099" t="s">
        <v>29</v>
      </c>
      <c r="E1099" t="s">
        <v>30</v>
      </c>
      <c r="F1099">
        <v>73</v>
      </c>
      <c r="G1099" t="s">
        <v>19</v>
      </c>
      <c r="H1099" t="s">
        <v>18</v>
      </c>
      <c r="I1099">
        <v>73</v>
      </c>
      <c r="J1099">
        <v>2</v>
      </c>
      <c r="K1099">
        <v>5</v>
      </c>
      <c r="L1099">
        <v>51</v>
      </c>
      <c r="M1099" t="s">
        <v>20</v>
      </c>
      <c r="N1099" t="s">
        <v>21</v>
      </c>
      <c r="O1099">
        <v>36244</v>
      </c>
      <c r="P1099">
        <v>161</v>
      </c>
      <c r="Q1099" t="s">
        <v>19</v>
      </c>
      <c r="R1099" t="str">
        <f t="shared" si="18"/>
        <v>Yes</v>
      </c>
    </row>
    <row r="1100" spans="1:18" x14ac:dyDescent="0.35">
      <c r="A1100" s="1">
        <v>40354</v>
      </c>
      <c r="B1100">
        <v>0</v>
      </c>
      <c r="C1100" t="s">
        <v>55</v>
      </c>
      <c r="D1100" t="s">
        <v>58</v>
      </c>
      <c r="E1100" t="s">
        <v>30</v>
      </c>
      <c r="F1100">
        <v>75</v>
      </c>
      <c r="G1100" t="s">
        <v>70</v>
      </c>
      <c r="H1100" t="s">
        <v>18</v>
      </c>
      <c r="I1100">
        <v>72</v>
      </c>
      <c r="J1100">
        <v>4</v>
      </c>
      <c r="K1100">
        <v>5</v>
      </c>
      <c r="L1100">
        <v>51</v>
      </c>
      <c r="M1100" t="s">
        <v>20</v>
      </c>
      <c r="N1100" t="s">
        <v>71</v>
      </c>
      <c r="O1100">
        <v>41182</v>
      </c>
      <c r="P1100">
        <v>195</v>
      </c>
      <c r="Q1100" t="s">
        <v>70</v>
      </c>
      <c r="R1100" t="str">
        <f t="shared" si="18"/>
        <v>Yes</v>
      </c>
    </row>
    <row r="1101" spans="1:18" x14ac:dyDescent="0.35">
      <c r="A1101" s="1">
        <v>40355</v>
      </c>
      <c r="B1101">
        <v>0</v>
      </c>
      <c r="C1101" t="s">
        <v>72</v>
      </c>
      <c r="D1101" t="s">
        <v>63</v>
      </c>
      <c r="E1101" t="s">
        <v>18</v>
      </c>
      <c r="F1101">
        <v>74</v>
      </c>
      <c r="G1101" t="s">
        <v>31</v>
      </c>
      <c r="H1101" t="s">
        <v>30</v>
      </c>
      <c r="I1101">
        <v>77</v>
      </c>
      <c r="J1101">
        <v>2</v>
      </c>
      <c r="K1101">
        <v>4</v>
      </c>
      <c r="L1101">
        <v>51</v>
      </c>
      <c r="M1101" t="s">
        <v>20</v>
      </c>
      <c r="N1101" t="s">
        <v>32</v>
      </c>
      <c r="O1101">
        <v>39225</v>
      </c>
      <c r="P1101">
        <v>132</v>
      </c>
      <c r="Q1101" t="s">
        <v>31</v>
      </c>
      <c r="R1101" t="str">
        <f t="shared" si="18"/>
        <v>Yes</v>
      </c>
    </row>
    <row r="1102" spans="1:18" x14ac:dyDescent="0.35">
      <c r="A1102" s="1">
        <v>40355</v>
      </c>
      <c r="B1102">
        <v>0</v>
      </c>
      <c r="C1102" t="s">
        <v>72</v>
      </c>
      <c r="D1102" t="s">
        <v>26</v>
      </c>
      <c r="E1102" t="s">
        <v>18</v>
      </c>
      <c r="F1102">
        <v>75</v>
      </c>
      <c r="G1102" t="s">
        <v>43</v>
      </c>
      <c r="H1102" t="s">
        <v>30</v>
      </c>
      <c r="I1102">
        <v>74</v>
      </c>
      <c r="J1102">
        <v>5</v>
      </c>
      <c r="K1102">
        <v>6</v>
      </c>
      <c r="L1102">
        <v>51</v>
      </c>
      <c r="M1102" t="s">
        <v>38</v>
      </c>
      <c r="N1102" t="s">
        <v>56</v>
      </c>
      <c r="O1102">
        <v>28635</v>
      </c>
      <c r="P1102">
        <v>177</v>
      </c>
      <c r="Q1102" t="s">
        <v>43</v>
      </c>
      <c r="R1102" t="str">
        <f t="shared" si="18"/>
        <v>Yes</v>
      </c>
    </row>
    <row r="1103" spans="1:18" x14ac:dyDescent="0.35">
      <c r="A1103" s="1">
        <v>40355</v>
      </c>
      <c r="B1103">
        <v>0</v>
      </c>
      <c r="C1103" t="s">
        <v>72</v>
      </c>
      <c r="D1103" t="s">
        <v>49</v>
      </c>
      <c r="E1103" t="s">
        <v>18</v>
      </c>
      <c r="F1103">
        <v>74</v>
      </c>
      <c r="G1103" t="s">
        <v>34</v>
      </c>
      <c r="H1103" t="s">
        <v>30</v>
      </c>
      <c r="I1103">
        <v>73</v>
      </c>
      <c r="J1103">
        <v>2</v>
      </c>
      <c r="K1103">
        <v>3</v>
      </c>
      <c r="L1103">
        <v>51</v>
      </c>
      <c r="M1103" t="s">
        <v>20</v>
      </c>
      <c r="N1103" t="s">
        <v>35</v>
      </c>
      <c r="O1103">
        <v>39479</v>
      </c>
      <c r="P1103">
        <v>155</v>
      </c>
      <c r="Q1103" t="s">
        <v>34</v>
      </c>
      <c r="R1103" t="str">
        <f t="shared" si="18"/>
        <v>Yes</v>
      </c>
    </row>
    <row r="1104" spans="1:18" x14ac:dyDescent="0.35">
      <c r="A1104" s="1">
        <v>40355</v>
      </c>
      <c r="B1104">
        <v>0</v>
      </c>
      <c r="C1104" t="s">
        <v>72</v>
      </c>
      <c r="D1104" t="s">
        <v>52</v>
      </c>
      <c r="E1104" t="s">
        <v>18</v>
      </c>
      <c r="F1104">
        <v>74</v>
      </c>
      <c r="G1104" t="s">
        <v>37</v>
      </c>
      <c r="H1104" t="s">
        <v>30</v>
      </c>
      <c r="I1104">
        <v>75</v>
      </c>
      <c r="J1104">
        <v>5</v>
      </c>
      <c r="K1104">
        <v>3</v>
      </c>
      <c r="L1104">
        <v>54</v>
      </c>
      <c r="M1104" t="s">
        <v>38</v>
      </c>
      <c r="N1104" t="s">
        <v>39</v>
      </c>
      <c r="O1104">
        <v>38457</v>
      </c>
      <c r="P1104">
        <v>157</v>
      </c>
      <c r="Q1104" t="s">
        <v>52</v>
      </c>
      <c r="R1104" t="str">
        <f t="shared" si="18"/>
        <v>No</v>
      </c>
    </row>
    <row r="1105" spans="1:18" x14ac:dyDescent="0.35">
      <c r="A1105" s="1">
        <v>40355</v>
      </c>
      <c r="B1105">
        <v>0</v>
      </c>
      <c r="C1105" t="s">
        <v>72</v>
      </c>
      <c r="D1105" t="s">
        <v>23</v>
      </c>
      <c r="E1105" t="s">
        <v>18</v>
      </c>
      <c r="F1105">
        <v>74</v>
      </c>
      <c r="G1105" t="s">
        <v>41</v>
      </c>
      <c r="H1105" t="s">
        <v>30</v>
      </c>
      <c r="I1105">
        <v>76</v>
      </c>
      <c r="J1105">
        <v>0</v>
      </c>
      <c r="K1105">
        <v>5</v>
      </c>
      <c r="L1105">
        <v>51</v>
      </c>
      <c r="M1105" t="s">
        <v>20</v>
      </c>
      <c r="N1105" t="s">
        <v>42</v>
      </c>
      <c r="O1105">
        <v>25068</v>
      </c>
      <c r="P1105">
        <v>138</v>
      </c>
      <c r="Q1105" t="s">
        <v>41</v>
      </c>
      <c r="R1105" t="str">
        <f t="shared" si="18"/>
        <v>Yes</v>
      </c>
    </row>
    <row r="1106" spans="1:18" x14ac:dyDescent="0.35">
      <c r="A1106" s="1">
        <v>40355</v>
      </c>
      <c r="B1106">
        <v>0</v>
      </c>
      <c r="C1106" t="s">
        <v>72</v>
      </c>
      <c r="D1106" t="s">
        <v>60</v>
      </c>
      <c r="E1106" t="s">
        <v>18</v>
      </c>
      <c r="F1106">
        <v>75</v>
      </c>
      <c r="G1106" t="s">
        <v>44</v>
      </c>
      <c r="H1106" t="s">
        <v>30</v>
      </c>
      <c r="I1106">
        <v>74</v>
      </c>
      <c r="J1106">
        <v>3</v>
      </c>
      <c r="K1106">
        <v>5</v>
      </c>
      <c r="L1106">
        <v>51</v>
      </c>
      <c r="M1106" t="s">
        <v>38</v>
      </c>
      <c r="N1106" t="s">
        <v>45</v>
      </c>
      <c r="O1106">
        <v>23945</v>
      </c>
      <c r="P1106">
        <v>181</v>
      </c>
      <c r="Q1106" t="s">
        <v>44</v>
      </c>
      <c r="R1106" t="str">
        <f t="shared" si="18"/>
        <v>Yes</v>
      </c>
    </row>
    <row r="1107" spans="1:18" x14ac:dyDescent="0.35">
      <c r="A1107" s="1">
        <v>40355</v>
      </c>
      <c r="B1107">
        <v>0</v>
      </c>
      <c r="C1107" t="s">
        <v>72</v>
      </c>
      <c r="D1107" t="s">
        <v>66</v>
      </c>
      <c r="E1107" t="s">
        <v>18</v>
      </c>
      <c r="F1107">
        <v>75</v>
      </c>
      <c r="G1107" t="s">
        <v>47</v>
      </c>
      <c r="H1107" t="s">
        <v>30</v>
      </c>
      <c r="I1107">
        <v>74</v>
      </c>
      <c r="J1107">
        <v>2</v>
      </c>
      <c r="K1107">
        <v>7</v>
      </c>
      <c r="L1107">
        <v>51</v>
      </c>
      <c r="M1107" t="s">
        <v>38</v>
      </c>
      <c r="N1107" t="s">
        <v>48</v>
      </c>
      <c r="O1107">
        <v>28951</v>
      </c>
      <c r="P1107">
        <v>175</v>
      </c>
      <c r="Q1107" t="s">
        <v>47</v>
      </c>
      <c r="R1107" t="str">
        <f t="shared" si="18"/>
        <v>Yes</v>
      </c>
    </row>
    <row r="1108" spans="1:18" x14ac:dyDescent="0.35">
      <c r="A1108" s="1">
        <v>40355</v>
      </c>
      <c r="B1108">
        <v>0</v>
      </c>
      <c r="C1108" t="s">
        <v>72</v>
      </c>
      <c r="D1108" t="s">
        <v>25</v>
      </c>
      <c r="E1108" t="s">
        <v>18</v>
      </c>
      <c r="F1108">
        <v>72</v>
      </c>
      <c r="G1108" t="s">
        <v>46</v>
      </c>
      <c r="H1108" t="s">
        <v>30</v>
      </c>
      <c r="I1108">
        <v>75</v>
      </c>
      <c r="J1108">
        <v>1</v>
      </c>
      <c r="K1108">
        <v>5</v>
      </c>
      <c r="L1108">
        <v>51</v>
      </c>
      <c r="M1108" t="s">
        <v>38</v>
      </c>
      <c r="N1108" t="s">
        <v>80</v>
      </c>
      <c r="O1108">
        <v>44426</v>
      </c>
      <c r="P1108">
        <v>164</v>
      </c>
      <c r="Q1108" t="s">
        <v>46</v>
      </c>
      <c r="R1108" t="str">
        <f t="shared" si="18"/>
        <v>Yes</v>
      </c>
    </row>
    <row r="1109" spans="1:18" x14ac:dyDescent="0.35">
      <c r="A1109" s="1">
        <v>40355</v>
      </c>
      <c r="B1109">
        <v>0</v>
      </c>
      <c r="C1109" t="s">
        <v>72</v>
      </c>
      <c r="D1109" t="s">
        <v>36</v>
      </c>
      <c r="E1109" t="s">
        <v>30</v>
      </c>
      <c r="F1109">
        <v>73</v>
      </c>
      <c r="G1109" t="s">
        <v>50</v>
      </c>
      <c r="H1109" t="s">
        <v>18</v>
      </c>
      <c r="I1109">
        <v>75</v>
      </c>
      <c r="J1109">
        <v>3</v>
      </c>
      <c r="K1109">
        <v>4</v>
      </c>
      <c r="L1109">
        <v>51</v>
      </c>
      <c r="M1109" t="s">
        <v>38</v>
      </c>
      <c r="N1109" t="s">
        <v>51</v>
      </c>
      <c r="O1109">
        <v>39184</v>
      </c>
      <c r="P1109">
        <v>203</v>
      </c>
      <c r="Q1109" t="s">
        <v>50</v>
      </c>
      <c r="R1109" t="str">
        <f t="shared" si="18"/>
        <v>Yes</v>
      </c>
    </row>
    <row r="1110" spans="1:18" x14ac:dyDescent="0.35">
      <c r="A1110" s="1">
        <v>40355</v>
      </c>
      <c r="B1110">
        <v>0</v>
      </c>
      <c r="C1110" t="s">
        <v>72</v>
      </c>
      <c r="D1110" t="s">
        <v>33</v>
      </c>
      <c r="E1110" t="s">
        <v>30</v>
      </c>
      <c r="F1110">
        <v>73</v>
      </c>
      <c r="G1110" t="s">
        <v>53</v>
      </c>
      <c r="H1110" t="s">
        <v>18</v>
      </c>
      <c r="I1110">
        <v>75</v>
      </c>
      <c r="J1110">
        <v>4</v>
      </c>
      <c r="K1110">
        <v>6</v>
      </c>
      <c r="L1110">
        <v>51</v>
      </c>
      <c r="M1110" t="s">
        <v>20</v>
      </c>
      <c r="N1110" t="s">
        <v>54</v>
      </c>
      <c r="O1110">
        <v>37757</v>
      </c>
      <c r="P1110">
        <v>189</v>
      </c>
      <c r="Q1110" t="s">
        <v>53</v>
      </c>
      <c r="R1110" t="str">
        <f t="shared" si="18"/>
        <v>Yes</v>
      </c>
    </row>
    <row r="1111" spans="1:18" x14ac:dyDescent="0.35">
      <c r="A1111" s="1">
        <v>40355</v>
      </c>
      <c r="B1111">
        <v>0</v>
      </c>
      <c r="C1111" t="s">
        <v>72</v>
      </c>
      <c r="D1111" t="s">
        <v>62</v>
      </c>
      <c r="E1111" t="s">
        <v>18</v>
      </c>
      <c r="F1111">
        <v>74</v>
      </c>
      <c r="G1111" t="s">
        <v>17</v>
      </c>
      <c r="H1111" t="s">
        <v>18</v>
      </c>
      <c r="I1111">
        <v>74</v>
      </c>
      <c r="J1111">
        <v>2</v>
      </c>
      <c r="K1111">
        <v>1</v>
      </c>
      <c r="L1111">
        <v>54</v>
      </c>
      <c r="M1111" t="s">
        <v>20</v>
      </c>
      <c r="N1111" t="s">
        <v>65</v>
      </c>
      <c r="O1111">
        <v>22495</v>
      </c>
      <c r="P1111">
        <v>169</v>
      </c>
      <c r="Q1111" t="s">
        <v>62</v>
      </c>
      <c r="R1111" t="str">
        <f t="shared" si="18"/>
        <v>No</v>
      </c>
    </row>
    <row r="1112" spans="1:18" x14ac:dyDescent="0.35">
      <c r="A1112" s="1">
        <v>40355</v>
      </c>
      <c r="B1112">
        <v>0</v>
      </c>
      <c r="C1112" t="s">
        <v>72</v>
      </c>
      <c r="D1112" t="s">
        <v>59</v>
      </c>
      <c r="E1112" t="s">
        <v>30</v>
      </c>
      <c r="F1112">
        <v>74</v>
      </c>
      <c r="G1112" t="s">
        <v>22</v>
      </c>
      <c r="H1112" t="s">
        <v>18</v>
      </c>
      <c r="I1112">
        <v>74</v>
      </c>
      <c r="J1112">
        <v>4</v>
      </c>
      <c r="K1112">
        <v>9</v>
      </c>
      <c r="L1112">
        <v>51</v>
      </c>
      <c r="M1112" t="s">
        <v>38</v>
      </c>
      <c r="N1112" t="s">
        <v>85</v>
      </c>
      <c r="O1112">
        <v>56000</v>
      </c>
      <c r="P1112">
        <v>229</v>
      </c>
      <c r="Q1112" t="s">
        <v>22</v>
      </c>
      <c r="R1112" t="str">
        <f t="shared" si="18"/>
        <v>Yes</v>
      </c>
    </row>
    <row r="1113" spans="1:18" x14ac:dyDescent="0.35">
      <c r="A1113" s="1">
        <v>40355</v>
      </c>
      <c r="B1113">
        <v>0</v>
      </c>
      <c r="C1113" t="s">
        <v>72</v>
      </c>
      <c r="D1113" t="s">
        <v>40</v>
      </c>
      <c r="E1113" t="s">
        <v>30</v>
      </c>
      <c r="F1113">
        <v>74</v>
      </c>
      <c r="G1113" t="s">
        <v>68</v>
      </c>
      <c r="H1113" t="s">
        <v>18</v>
      </c>
      <c r="I1113">
        <v>74</v>
      </c>
      <c r="J1113">
        <v>5</v>
      </c>
      <c r="K1113">
        <v>4</v>
      </c>
      <c r="L1113">
        <v>54</v>
      </c>
      <c r="M1113" t="s">
        <v>38</v>
      </c>
      <c r="N1113" t="s">
        <v>69</v>
      </c>
      <c r="O1113">
        <v>41655</v>
      </c>
      <c r="P1113">
        <v>175</v>
      </c>
      <c r="Q1113" t="s">
        <v>40</v>
      </c>
      <c r="R1113" t="str">
        <f t="shared" si="18"/>
        <v>No</v>
      </c>
    </row>
    <row r="1114" spans="1:18" x14ac:dyDescent="0.35">
      <c r="A1114" s="1">
        <v>40355</v>
      </c>
      <c r="B1114">
        <v>0</v>
      </c>
      <c r="C1114" t="s">
        <v>72</v>
      </c>
      <c r="D1114" t="s">
        <v>29</v>
      </c>
      <c r="E1114" t="s">
        <v>30</v>
      </c>
      <c r="F1114">
        <v>74</v>
      </c>
      <c r="G1114" t="s">
        <v>19</v>
      </c>
      <c r="H1114" t="s">
        <v>18</v>
      </c>
      <c r="I1114">
        <v>74</v>
      </c>
      <c r="J1114">
        <v>6</v>
      </c>
      <c r="K1114">
        <v>0</v>
      </c>
      <c r="L1114">
        <v>54</v>
      </c>
      <c r="M1114" t="s">
        <v>38</v>
      </c>
      <c r="N1114" t="s">
        <v>21</v>
      </c>
      <c r="O1114">
        <v>37510</v>
      </c>
      <c r="P1114">
        <v>154</v>
      </c>
      <c r="Q1114" t="s">
        <v>29</v>
      </c>
      <c r="R1114" t="str">
        <f t="shared" si="18"/>
        <v>No</v>
      </c>
    </row>
    <row r="1115" spans="1:18" x14ac:dyDescent="0.35">
      <c r="A1115" s="1">
        <v>40355</v>
      </c>
      <c r="B1115">
        <v>0</v>
      </c>
      <c r="C1115" t="s">
        <v>72</v>
      </c>
      <c r="D1115" t="s">
        <v>58</v>
      </c>
      <c r="E1115" t="s">
        <v>30</v>
      </c>
      <c r="F1115">
        <v>76</v>
      </c>
      <c r="G1115" t="s">
        <v>70</v>
      </c>
      <c r="H1115" t="s">
        <v>18</v>
      </c>
      <c r="I1115">
        <v>73</v>
      </c>
      <c r="J1115">
        <v>4</v>
      </c>
      <c r="K1115">
        <v>2</v>
      </c>
      <c r="L1115">
        <v>54</v>
      </c>
      <c r="M1115" t="s">
        <v>38</v>
      </c>
      <c r="N1115" t="s">
        <v>71</v>
      </c>
      <c r="O1115">
        <v>42178</v>
      </c>
      <c r="P1115">
        <v>166</v>
      </c>
      <c r="Q1115" t="s">
        <v>58</v>
      </c>
      <c r="R1115" t="str">
        <f t="shared" si="18"/>
        <v>No</v>
      </c>
    </row>
    <row r="1116" spans="1:18" x14ac:dyDescent="0.35">
      <c r="A1116" s="1">
        <v>40356</v>
      </c>
      <c r="B1116">
        <v>0</v>
      </c>
      <c r="C1116" t="s">
        <v>73</v>
      </c>
      <c r="D1116" t="s">
        <v>63</v>
      </c>
      <c r="E1116" t="s">
        <v>18</v>
      </c>
      <c r="F1116">
        <v>75</v>
      </c>
      <c r="G1116" t="s">
        <v>31</v>
      </c>
      <c r="H1116" t="s">
        <v>30</v>
      </c>
      <c r="I1116">
        <v>78</v>
      </c>
      <c r="J1116">
        <v>3</v>
      </c>
      <c r="K1116">
        <v>10</v>
      </c>
      <c r="L1116">
        <v>51</v>
      </c>
      <c r="M1116" t="s">
        <v>38</v>
      </c>
      <c r="N1116" t="s">
        <v>32</v>
      </c>
      <c r="O1116">
        <v>37314</v>
      </c>
      <c r="P1116">
        <v>173</v>
      </c>
      <c r="Q1116" t="s">
        <v>31</v>
      </c>
      <c r="R1116" t="str">
        <f t="shared" si="18"/>
        <v>Yes</v>
      </c>
    </row>
    <row r="1117" spans="1:18" x14ac:dyDescent="0.35">
      <c r="A1117" s="1">
        <v>40356</v>
      </c>
      <c r="B1117">
        <v>0</v>
      </c>
      <c r="C1117" t="s">
        <v>73</v>
      </c>
      <c r="D1117" t="s">
        <v>26</v>
      </c>
      <c r="E1117" t="s">
        <v>18</v>
      </c>
      <c r="F1117">
        <v>76</v>
      </c>
      <c r="G1117" t="s">
        <v>43</v>
      </c>
      <c r="H1117" t="s">
        <v>30</v>
      </c>
      <c r="I1117">
        <v>75</v>
      </c>
      <c r="J1117">
        <v>3</v>
      </c>
      <c r="K1117">
        <v>4</v>
      </c>
      <c r="L1117">
        <v>51</v>
      </c>
      <c r="M1117" t="s">
        <v>38</v>
      </c>
      <c r="N1117" t="s">
        <v>56</v>
      </c>
      <c r="O1117">
        <v>22951</v>
      </c>
      <c r="P1117">
        <v>150</v>
      </c>
      <c r="Q1117" t="s">
        <v>43</v>
      </c>
      <c r="R1117" t="str">
        <f t="shared" si="18"/>
        <v>Yes</v>
      </c>
    </row>
    <row r="1118" spans="1:18" x14ac:dyDescent="0.35">
      <c r="A1118" s="1">
        <v>40356</v>
      </c>
      <c r="B1118">
        <v>0</v>
      </c>
      <c r="C1118" t="s">
        <v>73</v>
      </c>
      <c r="D1118" t="s">
        <v>49</v>
      </c>
      <c r="E1118" t="s">
        <v>18</v>
      </c>
      <c r="F1118">
        <v>75</v>
      </c>
      <c r="G1118" t="s">
        <v>34</v>
      </c>
      <c r="H1118" t="s">
        <v>30</v>
      </c>
      <c r="I1118">
        <v>74</v>
      </c>
      <c r="J1118">
        <v>8</v>
      </c>
      <c r="K1118">
        <v>6</v>
      </c>
      <c r="L1118">
        <v>54</v>
      </c>
      <c r="M1118" t="s">
        <v>38</v>
      </c>
      <c r="N1118" t="s">
        <v>35</v>
      </c>
      <c r="O1118">
        <v>39682</v>
      </c>
      <c r="P1118">
        <v>177</v>
      </c>
      <c r="Q1118" t="s">
        <v>49</v>
      </c>
      <c r="R1118" t="str">
        <f t="shared" si="18"/>
        <v>No</v>
      </c>
    </row>
    <row r="1119" spans="1:18" x14ac:dyDescent="0.35">
      <c r="A1119" s="1">
        <v>40356</v>
      </c>
      <c r="B1119">
        <v>0</v>
      </c>
      <c r="C1119" t="s">
        <v>73</v>
      </c>
      <c r="D1119" t="s">
        <v>52</v>
      </c>
      <c r="E1119" t="s">
        <v>18</v>
      </c>
      <c r="F1119">
        <v>75</v>
      </c>
      <c r="G1119" t="s">
        <v>37</v>
      </c>
      <c r="H1119" t="s">
        <v>30</v>
      </c>
      <c r="I1119">
        <v>76</v>
      </c>
      <c r="J1119">
        <v>3</v>
      </c>
      <c r="K1119">
        <v>10</v>
      </c>
      <c r="L1119">
        <v>51</v>
      </c>
      <c r="M1119" t="s">
        <v>38</v>
      </c>
      <c r="N1119" t="s">
        <v>39</v>
      </c>
      <c r="O1119">
        <v>32938</v>
      </c>
      <c r="P1119">
        <v>175</v>
      </c>
      <c r="Q1119" t="s">
        <v>37</v>
      </c>
      <c r="R1119" t="str">
        <f t="shared" si="18"/>
        <v>Yes</v>
      </c>
    </row>
    <row r="1120" spans="1:18" x14ac:dyDescent="0.35">
      <c r="A1120" s="1">
        <v>40356</v>
      </c>
      <c r="B1120">
        <v>0</v>
      </c>
      <c r="C1120" t="s">
        <v>73</v>
      </c>
      <c r="D1120" t="s">
        <v>23</v>
      </c>
      <c r="E1120" t="s">
        <v>18</v>
      </c>
      <c r="F1120">
        <v>75</v>
      </c>
      <c r="G1120" t="s">
        <v>41</v>
      </c>
      <c r="H1120" t="s">
        <v>30</v>
      </c>
      <c r="I1120">
        <v>77</v>
      </c>
      <c r="J1120">
        <v>2</v>
      </c>
      <c r="K1120">
        <v>3</v>
      </c>
      <c r="L1120">
        <v>51</v>
      </c>
      <c r="M1120" t="s">
        <v>38</v>
      </c>
      <c r="N1120" t="s">
        <v>42</v>
      </c>
      <c r="O1120">
        <v>15238</v>
      </c>
      <c r="P1120">
        <v>157</v>
      </c>
      <c r="Q1120" t="s">
        <v>41</v>
      </c>
      <c r="R1120" t="str">
        <f t="shared" si="18"/>
        <v>Yes</v>
      </c>
    </row>
    <row r="1121" spans="1:18" x14ac:dyDescent="0.35">
      <c r="A1121" s="1">
        <v>40356</v>
      </c>
      <c r="B1121">
        <v>0</v>
      </c>
      <c r="C1121" t="s">
        <v>73</v>
      </c>
      <c r="D1121" t="s">
        <v>60</v>
      </c>
      <c r="E1121" t="s">
        <v>18</v>
      </c>
      <c r="F1121">
        <v>76</v>
      </c>
      <c r="G1121" t="s">
        <v>44</v>
      </c>
      <c r="H1121" t="s">
        <v>30</v>
      </c>
      <c r="I1121">
        <v>75</v>
      </c>
      <c r="J1121">
        <v>2</v>
      </c>
      <c r="K1121">
        <v>1</v>
      </c>
      <c r="L1121">
        <v>54</v>
      </c>
      <c r="M1121" t="s">
        <v>38</v>
      </c>
      <c r="N1121" t="s">
        <v>45</v>
      </c>
      <c r="O1121">
        <v>25442</v>
      </c>
      <c r="P1121">
        <v>166</v>
      </c>
      <c r="Q1121" t="s">
        <v>60</v>
      </c>
      <c r="R1121" t="str">
        <f t="shared" si="18"/>
        <v>No</v>
      </c>
    </row>
    <row r="1122" spans="1:18" x14ac:dyDescent="0.35">
      <c r="A1122" s="1">
        <v>40356</v>
      </c>
      <c r="B1122">
        <v>0</v>
      </c>
      <c r="C1122" t="s">
        <v>73</v>
      </c>
      <c r="D1122" t="s">
        <v>66</v>
      </c>
      <c r="E1122" t="s">
        <v>18</v>
      </c>
      <c r="F1122">
        <v>76</v>
      </c>
      <c r="G1122" t="s">
        <v>47</v>
      </c>
      <c r="H1122" t="s">
        <v>30</v>
      </c>
      <c r="I1122">
        <v>75</v>
      </c>
      <c r="J1122">
        <v>1</v>
      </c>
      <c r="K1122">
        <v>10</v>
      </c>
      <c r="L1122">
        <v>51</v>
      </c>
      <c r="M1122" t="s">
        <v>20</v>
      </c>
      <c r="N1122" t="s">
        <v>48</v>
      </c>
      <c r="O1122">
        <v>37487</v>
      </c>
      <c r="P1122">
        <v>158</v>
      </c>
      <c r="Q1122" t="s">
        <v>47</v>
      </c>
      <c r="R1122" t="str">
        <f t="shared" si="18"/>
        <v>Yes</v>
      </c>
    </row>
    <row r="1123" spans="1:18" x14ac:dyDescent="0.35">
      <c r="A1123" s="1">
        <v>40356</v>
      </c>
      <c r="B1123">
        <v>0</v>
      </c>
      <c r="C1123" t="s">
        <v>73</v>
      </c>
      <c r="D1123" t="s">
        <v>25</v>
      </c>
      <c r="E1123" t="s">
        <v>18</v>
      </c>
      <c r="F1123">
        <v>73</v>
      </c>
      <c r="G1123" t="s">
        <v>46</v>
      </c>
      <c r="H1123" t="s">
        <v>30</v>
      </c>
      <c r="I1123">
        <v>76</v>
      </c>
      <c r="J1123">
        <v>11</v>
      </c>
      <c r="K1123">
        <v>2</v>
      </c>
      <c r="L1123">
        <v>54</v>
      </c>
      <c r="M1123" t="s">
        <v>38</v>
      </c>
      <c r="N1123" t="s">
        <v>80</v>
      </c>
      <c r="O1123">
        <v>42571</v>
      </c>
      <c r="P1123">
        <v>184</v>
      </c>
      <c r="Q1123" t="s">
        <v>25</v>
      </c>
      <c r="R1123" t="str">
        <f t="shared" si="18"/>
        <v>No</v>
      </c>
    </row>
    <row r="1124" spans="1:18" x14ac:dyDescent="0.35">
      <c r="A1124" s="1">
        <v>40356</v>
      </c>
      <c r="B1124">
        <v>0</v>
      </c>
      <c r="C1124" t="s">
        <v>73</v>
      </c>
      <c r="D1124" t="s">
        <v>36</v>
      </c>
      <c r="E1124" t="s">
        <v>30</v>
      </c>
      <c r="F1124">
        <v>74</v>
      </c>
      <c r="G1124" t="s">
        <v>50</v>
      </c>
      <c r="H1124" t="s">
        <v>18</v>
      </c>
      <c r="I1124">
        <v>76</v>
      </c>
      <c r="J1124">
        <v>10</v>
      </c>
      <c r="K1124">
        <v>4</v>
      </c>
      <c r="L1124">
        <v>54</v>
      </c>
      <c r="M1124" t="s">
        <v>38</v>
      </c>
      <c r="N1124" t="s">
        <v>51</v>
      </c>
      <c r="O1124">
        <v>26034</v>
      </c>
      <c r="P1124">
        <v>194</v>
      </c>
      <c r="Q1124" t="s">
        <v>36</v>
      </c>
      <c r="R1124" t="str">
        <f t="shared" si="18"/>
        <v>No</v>
      </c>
    </row>
    <row r="1125" spans="1:18" x14ac:dyDescent="0.35">
      <c r="A1125" s="1">
        <v>40356</v>
      </c>
      <c r="B1125">
        <v>0</v>
      </c>
      <c r="C1125" t="s">
        <v>73</v>
      </c>
      <c r="D1125" t="s">
        <v>33</v>
      </c>
      <c r="E1125" t="s">
        <v>30</v>
      </c>
      <c r="F1125">
        <v>74</v>
      </c>
      <c r="G1125" t="s">
        <v>53</v>
      </c>
      <c r="H1125" t="s">
        <v>18</v>
      </c>
      <c r="I1125">
        <v>76</v>
      </c>
      <c r="J1125">
        <v>5</v>
      </c>
      <c r="K1125">
        <v>3</v>
      </c>
      <c r="L1125">
        <v>54</v>
      </c>
      <c r="M1125" t="s">
        <v>38</v>
      </c>
      <c r="N1125" t="s">
        <v>54</v>
      </c>
      <c r="O1125">
        <v>25877</v>
      </c>
      <c r="P1125">
        <v>162</v>
      </c>
      <c r="Q1125" t="s">
        <v>33</v>
      </c>
      <c r="R1125" t="str">
        <f t="shared" si="18"/>
        <v>No</v>
      </c>
    </row>
    <row r="1126" spans="1:18" x14ac:dyDescent="0.35">
      <c r="A1126" s="1">
        <v>40356</v>
      </c>
      <c r="B1126">
        <v>0</v>
      </c>
      <c r="C1126" t="s">
        <v>73</v>
      </c>
      <c r="D1126" t="s">
        <v>62</v>
      </c>
      <c r="E1126" t="s">
        <v>18</v>
      </c>
      <c r="F1126">
        <v>75</v>
      </c>
      <c r="G1126" t="s">
        <v>17</v>
      </c>
      <c r="H1126" t="s">
        <v>18</v>
      </c>
      <c r="I1126">
        <v>75</v>
      </c>
      <c r="J1126">
        <v>4</v>
      </c>
      <c r="K1126">
        <v>2</v>
      </c>
      <c r="L1126">
        <v>54</v>
      </c>
      <c r="M1126" t="s">
        <v>38</v>
      </c>
      <c r="N1126" t="s">
        <v>65</v>
      </c>
      <c r="O1126">
        <v>16044</v>
      </c>
      <c r="P1126">
        <v>178</v>
      </c>
      <c r="Q1126" t="s">
        <v>62</v>
      </c>
      <c r="R1126" t="str">
        <f t="shared" si="18"/>
        <v>No</v>
      </c>
    </row>
    <row r="1127" spans="1:18" x14ac:dyDescent="0.35">
      <c r="A1127" s="1">
        <v>40356</v>
      </c>
      <c r="B1127">
        <v>0</v>
      </c>
      <c r="C1127" t="s">
        <v>73</v>
      </c>
      <c r="D1127" t="s">
        <v>59</v>
      </c>
      <c r="E1127" t="s">
        <v>30</v>
      </c>
      <c r="F1127">
        <v>75</v>
      </c>
      <c r="G1127" t="s">
        <v>22</v>
      </c>
      <c r="H1127" t="s">
        <v>18</v>
      </c>
      <c r="I1127">
        <v>75</v>
      </c>
      <c r="J1127">
        <v>8</v>
      </c>
      <c r="K1127">
        <v>6</v>
      </c>
      <c r="L1127">
        <v>60</v>
      </c>
      <c r="M1127" t="s">
        <v>20</v>
      </c>
      <c r="N1127" t="s">
        <v>85</v>
      </c>
      <c r="O1127">
        <v>56000</v>
      </c>
      <c r="P1127">
        <v>242</v>
      </c>
      <c r="Q1127" t="s">
        <v>59</v>
      </c>
      <c r="R1127" t="str">
        <f t="shared" si="18"/>
        <v>No</v>
      </c>
    </row>
    <row r="1128" spans="1:18" x14ac:dyDescent="0.35">
      <c r="A1128" s="1">
        <v>40356</v>
      </c>
      <c r="B1128">
        <v>0</v>
      </c>
      <c r="C1128" t="s">
        <v>73</v>
      </c>
      <c r="D1128" t="s">
        <v>40</v>
      </c>
      <c r="E1128" t="s">
        <v>30</v>
      </c>
      <c r="F1128">
        <v>75</v>
      </c>
      <c r="G1128" t="s">
        <v>68</v>
      </c>
      <c r="H1128" t="s">
        <v>18</v>
      </c>
      <c r="I1128">
        <v>75</v>
      </c>
      <c r="J1128">
        <v>0</v>
      </c>
      <c r="K1128">
        <v>3</v>
      </c>
      <c r="L1128">
        <v>51</v>
      </c>
      <c r="M1128" t="s">
        <v>38</v>
      </c>
      <c r="N1128" t="s">
        <v>69</v>
      </c>
      <c r="O1128">
        <v>41995</v>
      </c>
      <c r="P1128">
        <v>150</v>
      </c>
      <c r="Q1128" t="s">
        <v>68</v>
      </c>
      <c r="R1128" t="str">
        <f t="shared" si="18"/>
        <v>Yes</v>
      </c>
    </row>
    <row r="1129" spans="1:18" x14ac:dyDescent="0.35">
      <c r="A1129" s="1">
        <v>40356</v>
      </c>
      <c r="B1129">
        <v>0</v>
      </c>
      <c r="C1129" t="s">
        <v>73</v>
      </c>
      <c r="D1129" t="s">
        <v>29</v>
      </c>
      <c r="E1129" t="s">
        <v>30</v>
      </c>
      <c r="F1129">
        <v>75</v>
      </c>
      <c r="G1129" t="s">
        <v>19</v>
      </c>
      <c r="H1129" t="s">
        <v>18</v>
      </c>
      <c r="I1129">
        <v>75</v>
      </c>
      <c r="J1129">
        <v>0</v>
      </c>
      <c r="K1129">
        <v>6</v>
      </c>
      <c r="L1129">
        <v>51</v>
      </c>
      <c r="M1129" t="s">
        <v>38</v>
      </c>
      <c r="N1129" t="s">
        <v>21</v>
      </c>
      <c r="O1129">
        <v>37644</v>
      </c>
      <c r="P1129">
        <v>194</v>
      </c>
      <c r="Q1129" t="s">
        <v>19</v>
      </c>
      <c r="R1129" t="str">
        <f t="shared" si="18"/>
        <v>Yes</v>
      </c>
    </row>
    <row r="1130" spans="1:18" x14ac:dyDescent="0.35">
      <c r="A1130" s="1">
        <v>40356</v>
      </c>
      <c r="B1130">
        <v>0</v>
      </c>
      <c r="C1130" t="s">
        <v>73</v>
      </c>
      <c r="D1130" t="s">
        <v>58</v>
      </c>
      <c r="E1130" t="s">
        <v>30</v>
      </c>
      <c r="F1130">
        <v>77</v>
      </c>
      <c r="G1130" t="s">
        <v>70</v>
      </c>
      <c r="H1130" t="s">
        <v>18</v>
      </c>
      <c r="I1130">
        <v>74</v>
      </c>
      <c r="J1130">
        <v>5</v>
      </c>
      <c r="K1130">
        <v>1</v>
      </c>
      <c r="L1130">
        <v>54</v>
      </c>
      <c r="M1130" t="s">
        <v>38</v>
      </c>
      <c r="N1130" t="s">
        <v>71</v>
      </c>
      <c r="O1130">
        <v>41528</v>
      </c>
      <c r="P1130">
        <v>171</v>
      </c>
      <c r="Q1130" t="s">
        <v>58</v>
      </c>
      <c r="R1130" t="str">
        <f t="shared" si="18"/>
        <v>No</v>
      </c>
    </row>
    <row r="1131" spans="1:18" x14ac:dyDescent="0.35">
      <c r="A1131" s="1">
        <v>40357</v>
      </c>
      <c r="B1131">
        <v>0</v>
      </c>
      <c r="C1131" t="s">
        <v>74</v>
      </c>
      <c r="D1131" t="s">
        <v>46</v>
      </c>
      <c r="E1131" t="s">
        <v>30</v>
      </c>
      <c r="F1131">
        <v>77</v>
      </c>
      <c r="G1131" t="s">
        <v>33</v>
      </c>
      <c r="H1131" t="s">
        <v>30</v>
      </c>
      <c r="I1131">
        <v>75</v>
      </c>
      <c r="J1131">
        <v>1</v>
      </c>
      <c r="K1131">
        <v>2</v>
      </c>
      <c r="L1131">
        <v>51</v>
      </c>
      <c r="M1131" t="s">
        <v>20</v>
      </c>
      <c r="N1131" t="s">
        <v>75</v>
      </c>
      <c r="O1131">
        <v>11577</v>
      </c>
      <c r="P1131">
        <v>159</v>
      </c>
      <c r="Q1131" t="s">
        <v>33</v>
      </c>
      <c r="R1131" t="str">
        <f t="shared" si="18"/>
        <v>Yes</v>
      </c>
    </row>
    <row r="1132" spans="1:18" x14ac:dyDescent="0.35">
      <c r="A1132" s="1">
        <v>40357</v>
      </c>
      <c r="B1132">
        <v>0</v>
      </c>
      <c r="C1132" t="s">
        <v>74</v>
      </c>
      <c r="D1132" t="s">
        <v>34</v>
      </c>
      <c r="E1132" t="s">
        <v>30</v>
      </c>
      <c r="F1132">
        <v>75</v>
      </c>
      <c r="G1132" t="s">
        <v>37</v>
      </c>
      <c r="H1132" t="s">
        <v>30</v>
      </c>
      <c r="I1132">
        <v>77</v>
      </c>
      <c r="J1132">
        <v>1</v>
      </c>
      <c r="K1132">
        <v>3</v>
      </c>
      <c r="L1132">
        <v>51</v>
      </c>
      <c r="M1132" t="s">
        <v>20</v>
      </c>
      <c r="N1132" t="s">
        <v>39</v>
      </c>
      <c r="O1132">
        <v>15056</v>
      </c>
      <c r="P1132">
        <v>147</v>
      </c>
      <c r="Q1132" t="s">
        <v>37</v>
      </c>
      <c r="R1132" t="str">
        <f t="shared" si="18"/>
        <v>Yes</v>
      </c>
    </row>
    <row r="1133" spans="1:18" x14ac:dyDescent="0.35">
      <c r="A1133" s="1">
        <v>40357</v>
      </c>
      <c r="B1133">
        <v>0</v>
      </c>
      <c r="C1133" t="s">
        <v>74</v>
      </c>
      <c r="D1133" t="s">
        <v>36</v>
      </c>
      <c r="E1133" t="s">
        <v>30</v>
      </c>
      <c r="F1133">
        <v>75</v>
      </c>
      <c r="G1133" t="s">
        <v>29</v>
      </c>
      <c r="H1133" t="s">
        <v>30</v>
      </c>
      <c r="I1133">
        <v>76</v>
      </c>
      <c r="J1133">
        <v>7</v>
      </c>
      <c r="K1133">
        <v>5</v>
      </c>
      <c r="L1133">
        <v>54</v>
      </c>
      <c r="M1133" t="s">
        <v>20</v>
      </c>
      <c r="N1133" t="s">
        <v>76</v>
      </c>
      <c r="O1133">
        <v>40681</v>
      </c>
      <c r="P1133">
        <v>198</v>
      </c>
      <c r="Q1133" t="s">
        <v>36</v>
      </c>
      <c r="R1133" t="str">
        <f t="shared" si="18"/>
        <v>No</v>
      </c>
    </row>
    <row r="1134" spans="1:18" x14ac:dyDescent="0.35">
      <c r="A1134" s="1">
        <v>40357</v>
      </c>
      <c r="B1134">
        <v>0</v>
      </c>
      <c r="C1134" t="s">
        <v>74</v>
      </c>
      <c r="D1134" t="s">
        <v>26</v>
      </c>
      <c r="E1134" t="s">
        <v>18</v>
      </c>
      <c r="F1134">
        <v>77</v>
      </c>
      <c r="G1134" t="s">
        <v>50</v>
      </c>
      <c r="H1134" t="s">
        <v>18</v>
      </c>
      <c r="I1134">
        <v>77</v>
      </c>
      <c r="J1134">
        <v>0</v>
      </c>
      <c r="K1134">
        <v>5</v>
      </c>
      <c r="L1134">
        <v>51</v>
      </c>
      <c r="M1134" t="s">
        <v>20</v>
      </c>
      <c r="N1134" t="s">
        <v>51</v>
      </c>
      <c r="O1134">
        <v>42889</v>
      </c>
      <c r="P1134">
        <v>177</v>
      </c>
      <c r="Q1134" t="s">
        <v>50</v>
      </c>
      <c r="R1134" t="str">
        <f t="shared" si="18"/>
        <v>Yes</v>
      </c>
    </row>
    <row r="1135" spans="1:18" x14ac:dyDescent="0.35">
      <c r="A1135" s="1">
        <v>40357</v>
      </c>
      <c r="B1135">
        <v>0</v>
      </c>
      <c r="C1135" t="s">
        <v>74</v>
      </c>
      <c r="D1135" t="s">
        <v>23</v>
      </c>
      <c r="E1135" t="s">
        <v>18</v>
      </c>
      <c r="F1135">
        <v>76</v>
      </c>
      <c r="G1135" t="s">
        <v>49</v>
      </c>
      <c r="H1135" t="s">
        <v>18</v>
      </c>
      <c r="I1135">
        <v>76</v>
      </c>
      <c r="J1135">
        <v>2</v>
      </c>
      <c r="K1135">
        <v>1</v>
      </c>
      <c r="L1135">
        <v>54</v>
      </c>
      <c r="M1135" t="s">
        <v>20</v>
      </c>
      <c r="N1135" t="s">
        <v>79</v>
      </c>
      <c r="O1135">
        <v>38512</v>
      </c>
      <c r="P1135">
        <v>167</v>
      </c>
      <c r="Q1135" t="s">
        <v>23</v>
      </c>
      <c r="R1135" t="str">
        <f t="shared" si="18"/>
        <v>No</v>
      </c>
    </row>
    <row r="1136" spans="1:18" x14ac:dyDescent="0.35">
      <c r="A1136" s="1">
        <v>40357</v>
      </c>
      <c r="B1136">
        <v>0</v>
      </c>
      <c r="C1136" t="s">
        <v>74</v>
      </c>
      <c r="D1136" t="s">
        <v>25</v>
      </c>
      <c r="E1136" t="s">
        <v>18</v>
      </c>
      <c r="F1136">
        <v>74</v>
      </c>
      <c r="G1136" t="s">
        <v>53</v>
      </c>
      <c r="H1136" t="s">
        <v>18</v>
      </c>
      <c r="I1136">
        <v>77</v>
      </c>
      <c r="J1136">
        <v>3</v>
      </c>
      <c r="K1136">
        <v>7</v>
      </c>
      <c r="L1136">
        <v>51</v>
      </c>
      <c r="M1136" t="s">
        <v>20</v>
      </c>
      <c r="N1136" t="s">
        <v>54</v>
      </c>
      <c r="O1136">
        <v>22090</v>
      </c>
      <c r="P1136">
        <v>154</v>
      </c>
      <c r="Q1136" t="s">
        <v>53</v>
      </c>
      <c r="R1136" t="str">
        <f t="shared" si="18"/>
        <v>Yes</v>
      </c>
    </row>
    <row r="1137" spans="1:18" x14ac:dyDescent="0.35">
      <c r="A1137" s="1">
        <v>40357</v>
      </c>
      <c r="B1137">
        <v>0</v>
      </c>
      <c r="C1137" t="s">
        <v>74</v>
      </c>
      <c r="D1137" t="s">
        <v>19</v>
      </c>
      <c r="E1137" t="s">
        <v>18</v>
      </c>
      <c r="F1137">
        <v>76</v>
      </c>
      <c r="G1137" t="s">
        <v>17</v>
      </c>
      <c r="H1137" t="s">
        <v>18</v>
      </c>
      <c r="I1137">
        <v>76</v>
      </c>
      <c r="J1137">
        <v>3</v>
      </c>
      <c r="K1137">
        <v>10</v>
      </c>
      <c r="L1137">
        <v>51</v>
      </c>
      <c r="M1137" t="s">
        <v>20</v>
      </c>
      <c r="N1137" t="s">
        <v>87</v>
      </c>
      <c r="O1137">
        <v>18073</v>
      </c>
      <c r="P1137">
        <v>157</v>
      </c>
      <c r="Q1137" t="s">
        <v>17</v>
      </c>
      <c r="R1137" t="str">
        <f t="shared" si="18"/>
        <v>Yes</v>
      </c>
    </row>
    <row r="1138" spans="1:18" x14ac:dyDescent="0.35">
      <c r="A1138" s="1">
        <v>40357</v>
      </c>
      <c r="B1138">
        <v>0</v>
      </c>
      <c r="C1138" t="s">
        <v>74</v>
      </c>
      <c r="D1138" t="s">
        <v>66</v>
      </c>
      <c r="E1138" t="s">
        <v>18</v>
      </c>
      <c r="F1138">
        <v>77</v>
      </c>
      <c r="G1138" t="s">
        <v>68</v>
      </c>
      <c r="H1138" t="s">
        <v>18</v>
      </c>
      <c r="I1138">
        <v>76</v>
      </c>
      <c r="J1138">
        <v>9</v>
      </c>
      <c r="K1138">
        <v>5</v>
      </c>
      <c r="L1138">
        <v>54</v>
      </c>
      <c r="M1138" t="s">
        <v>20</v>
      </c>
      <c r="N1138" t="s">
        <v>69</v>
      </c>
      <c r="O1138">
        <v>27908</v>
      </c>
      <c r="P1138">
        <v>214</v>
      </c>
      <c r="Q1138" t="s">
        <v>66</v>
      </c>
      <c r="R1138" t="str">
        <f t="shared" si="18"/>
        <v>No</v>
      </c>
    </row>
    <row r="1139" spans="1:18" x14ac:dyDescent="0.35">
      <c r="A1139" s="1">
        <v>40357</v>
      </c>
      <c r="B1139">
        <v>0</v>
      </c>
      <c r="C1139" t="s">
        <v>74</v>
      </c>
      <c r="D1139" t="s">
        <v>63</v>
      </c>
      <c r="E1139" t="s">
        <v>18</v>
      </c>
      <c r="F1139">
        <v>76</v>
      </c>
      <c r="G1139" t="s">
        <v>62</v>
      </c>
      <c r="H1139" t="s">
        <v>18</v>
      </c>
      <c r="I1139">
        <v>76</v>
      </c>
      <c r="J1139">
        <v>10</v>
      </c>
      <c r="K1139">
        <v>6</v>
      </c>
      <c r="L1139">
        <v>54</v>
      </c>
      <c r="M1139" t="s">
        <v>20</v>
      </c>
      <c r="N1139" t="s">
        <v>81</v>
      </c>
      <c r="O1139">
        <v>21018</v>
      </c>
      <c r="P1139">
        <v>206</v>
      </c>
      <c r="Q1139" t="s">
        <v>63</v>
      </c>
      <c r="R1139" t="str">
        <f t="shared" si="18"/>
        <v>No</v>
      </c>
    </row>
    <row r="1140" spans="1:18" x14ac:dyDescent="0.35">
      <c r="A1140" s="1">
        <v>40357</v>
      </c>
      <c r="B1140">
        <v>0</v>
      </c>
      <c r="C1140" t="s">
        <v>74</v>
      </c>
      <c r="D1140" t="s">
        <v>22</v>
      </c>
      <c r="E1140" t="s">
        <v>18</v>
      </c>
      <c r="F1140">
        <v>76</v>
      </c>
      <c r="G1140" t="s">
        <v>70</v>
      </c>
      <c r="H1140" t="s">
        <v>18</v>
      </c>
      <c r="I1140">
        <v>75</v>
      </c>
      <c r="J1140">
        <v>4</v>
      </c>
      <c r="K1140">
        <v>2</v>
      </c>
      <c r="L1140">
        <v>54</v>
      </c>
      <c r="M1140" t="s">
        <v>20</v>
      </c>
      <c r="N1140" t="s">
        <v>71</v>
      </c>
      <c r="O1140">
        <v>34626</v>
      </c>
      <c r="P1140">
        <v>202</v>
      </c>
      <c r="Q1140" t="s">
        <v>22</v>
      </c>
      <c r="R1140" t="str">
        <f t="shared" si="18"/>
        <v>No</v>
      </c>
    </row>
    <row r="1141" spans="1:18" x14ac:dyDescent="0.35">
      <c r="A1141" s="1">
        <v>40357</v>
      </c>
      <c r="B1141">
        <v>0</v>
      </c>
      <c r="C1141" t="s">
        <v>74</v>
      </c>
      <c r="D1141" t="s">
        <v>60</v>
      </c>
      <c r="E1141" t="s">
        <v>18</v>
      </c>
      <c r="F1141">
        <v>77</v>
      </c>
      <c r="G1141" t="s">
        <v>52</v>
      </c>
      <c r="H1141" t="s">
        <v>18</v>
      </c>
      <c r="I1141">
        <v>76</v>
      </c>
      <c r="J1141">
        <v>5</v>
      </c>
      <c r="K1141">
        <v>6</v>
      </c>
      <c r="L1141">
        <v>52</v>
      </c>
      <c r="M1141" t="s">
        <v>20</v>
      </c>
      <c r="N1141" t="s">
        <v>82</v>
      </c>
      <c r="O1141">
        <v>41578</v>
      </c>
      <c r="P1141">
        <v>161</v>
      </c>
      <c r="Q1141" t="s">
        <v>52</v>
      </c>
      <c r="R1141" t="str">
        <f t="shared" si="18"/>
        <v>Yes</v>
      </c>
    </row>
    <row r="1142" spans="1:18" x14ac:dyDescent="0.35">
      <c r="A1142" s="1">
        <v>40358</v>
      </c>
      <c r="B1142">
        <v>0</v>
      </c>
      <c r="C1142" t="s">
        <v>83</v>
      </c>
      <c r="D1142" t="s">
        <v>47</v>
      </c>
      <c r="E1142" t="s">
        <v>30</v>
      </c>
      <c r="F1142">
        <v>76</v>
      </c>
      <c r="G1142" t="s">
        <v>31</v>
      </c>
      <c r="H1142" t="s">
        <v>30</v>
      </c>
      <c r="I1142">
        <v>79</v>
      </c>
      <c r="J1142">
        <v>5</v>
      </c>
      <c r="K1142">
        <v>6</v>
      </c>
      <c r="L1142">
        <v>51</v>
      </c>
      <c r="M1142" t="s">
        <v>20</v>
      </c>
      <c r="N1142" t="s">
        <v>32</v>
      </c>
      <c r="O1142">
        <v>38514</v>
      </c>
      <c r="P1142">
        <v>183</v>
      </c>
      <c r="Q1142" t="s">
        <v>31</v>
      </c>
      <c r="R1142" t="str">
        <f t="shared" si="18"/>
        <v>Yes</v>
      </c>
    </row>
    <row r="1143" spans="1:18" x14ac:dyDescent="0.35">
      <c r="A1143" s="1">
        <v>40358</v>
      </c>
      <c r="B1143">
        <v>0</v>
      </c>
      <c r="C1143" t="s">
        <v>83</v>
      </c>
      <c r="D1143" t="s">
        <v>41</v>
      </c>
      <c r="E1143" t="s">
        <v>30</v>
      </c>
      <c r="F1143">
        <v>78</v>
      </c>
      <c r="G1143" t="s">
        <v>43</v>
      </c>
      <c r="H1143" t="s">
        <v>30</v>
      </c>
      <c r="I1143">
        <v>76</v>
      </c>
      <c r="J1143">
        <v>4</v>
      </c>
      <c r="K1143">
        <v>2</v>
      </c>
      <c r="L1143">
        <v>54</v>
      </c>
      <c r="M1143" t="s">
        <v>20</v>
      </c>
      <c r="N1143" t="s">
        <v>56</v>
      </c>
      <c r="O1143">
        <v>11987</v>
      </c>
      <c r="P1143">
        <v>186</v>
      </c>
      <c r="Q1143" t="s">
        <v>41</v>
      </c>
      <c r="R1143" t="str">
        <f t="shared" si="18"/>
        <v>No</v>
      </c>
    </row>
    <row r="1144" spans="1:18" x14ac:dyDescent="0.35">
      <c r="A1144" s="1">
        <v>40358</v>
      </c>
      <c r="B1144">
        <v>0</v>
      </c>
      <c r="C1144" t="s">
        <v>83</v>
      </c>
      <c r="D1144" t="s">
        <v>44</v>
      </c>
      <c r="E1144" t="s">
        <v>30</v>
      </c>
      <c r="F1144">
        <v>76</v>
      </c>
      <c r="G1144" t="s">
        <v>58</v>
      </c>
      <c r="H1144" t="s">
        <v>30</v>
      </c>
      <c r="I1144">
        <v>78</v>
      </c>
      <c r="J1144">
        <v>5</v>
      </c>
      <c r="K1144">
        <v>8</v>
      </c>
      <c r="L1144">
        <v>51</v>
      </c>
      <c r="M1144" t="s">
        <v>20</v>
      </c>
      <c r="N1144" t="s">
        <v>86</v>
      </c>
      <c r="O1144">
        <v>38013</v>
      </c>
      <c r="P1144">
        <v>210</v>
      </c>
      <c r="Q1144" t="s">
        <v>58</v>
      </c>
      <c r="R1144" t="str">
        <f t="shared" si="18"/>
        <v>Yes</v>
      </c>
    </row>
    <row r="1145" spans="1:18" x14ac:dyDescent="0.35">
      <c r="A1145" s="1">
        <v>40358</v>
      </c>
      <c r="B1145">
        <v>0</v>
      </c>
      <c r="C1145" t="s">
        <v>83</v>
      </c>
      <c r="D1145" t="s">
        <v>46</v>
      </c>
      <c r="E1145" t="s">
        <v>30</v>
      </c>
      <c r="F1145">
        <v>78</v>
      </c>
      <c r="G1145" t="s">
        <v>33</v>
      </c>
      <c r="H1145" t="s">
        <v>30</v>
      </c>
      <c r="I1145">
        <v>76</v>
      </c>
      <c r="J1145">
        <v>4</v>
      </c>
      <c r="K1145">
        <v>5</v>
      </c>
      <c r="L1145">
        <v>51</v>
      </c>
      <c r="M1145" t="s">
        <v>20</v>
      </c>
      <c r="N1145" t="s">
        <v>75</v>
      </c>
      <c r="O1145">
        <v>11401</v>
      </c>
      <c r="P1145">
        <v>154</v>
      </c>
      <c r="Q1145" t="s">
        <v>33</v>
      </c>
      <c r="R1145" t="str">
        <f t="shared" si="18"/>
        <v>Yes</v>
      </c>
    </row>
    <row r="1146" spans="1:18" x14ac:dyDescent="0.35">
      <c r="A1146" s="1">
        <v>40358</v>
      </c>
      <c r="B1146">
        <v>0</v>
      </c>
      <c r="C1146" t="s">
        <v>83</v>
      </c>
      <c r="D1146" t="s">
        <v>34</v>
      </c>
      <c r="E1146" t="s">
        <v>30</v>
      </c>
      <c r="F1146">
        <v>76</v>
      </c>
      <c r="G1146" t="s">
        <v>37</v>
      </c>
      <c r="H1146" t="s">
        <v>30</v>
      </c>
      <c r="I1146">
        <v>78</v>
      </c>
      <c r="J1146">
        <v>4</v>
      </c>
      <c r="K1146">
        <v>3</v>
      </c>
      <c r="L1146">
        <v>54</v>
      </c>
      <c r="M1146" t="s">
        <v>20</v>
      </c>
      <c r="N1146" t="s">
        <v>39</v>
      </c>
      <c r="O1146">
        <v>19364</v>
      </c>
      <c r="P1146">
        <v>175</v>
      </c>
      <c r="Q1146" t="s">
        <v>34</v>
      </c>
      <c r="R1146" t="str">
        <f t="shared" si="18"/>
        <v>No</v>
      </c>
    </row>
    <row r="1147" spans="1:18" x14ac:dyDescent="0.35">
      <c r="A1147" s="1">
        <v>40358</v>
      </c>
      <c r="B1147">
        <v>0</v>
      </c>
      <c r="C1147" t="s">
        <v>83</v>
      </c>
      <c r="D1147" t="s">
        <v>36</v>
      </c>
      <c r="E1147" t="s">
        <v>30</v>
      </c>
      <c r="F1147">
        <v>76</v>
      </c>
      <c r="G1147" t="s">
        <v>29</v>
      </c>
      <c r="H1147" t="s">
        <v>30</v>
      </c>
      <c r="I1147">
        <v>77</v>
      </c>
      <c r="J1147">
        <v>4</v>
      </c>
      <c r="K1147">
        <v>11</v>
      </c>
      <c r="L1147">
        <v>51</v>
      </c>
      <c r="M1147" t="s">
        <v>20</v>
      </c>
      <c r="N1147" t="s">
        <v>76</v>
      </c>
      <c r="O1147">
        <v>40593</v>
      </c>
      <c r="P1147">
        <v>178</v>
      </c>
      <c r="Q1147" t="s">
        <v>29</v>
      </c>
      <c r="R1147" t="str">
        <f t="shared" si="18"/>
        <v>Yes</v>
      </c>
    </row>
    <row r="1148" spans="1:18" x14ac:dyDescent="0.35">
      <c r="A1148" s="1">
        <v>40358</v>
      </c>
      <c r="B1148">
        <v>0</v>
      </c>
      <c r="C1148" t="s">
        <v>83</v>
      </c>
      <c r="D1148" t="s">
        <v>40</v>
      </c>
      <c r="E1148" t="s">
        <v>30</v>
      </c>
      <c r="F1148">
        <v>76</v>
      </c>
      <c r="G1148" t="s">
        <v>59</v>
      </c>
      <c r="H1148" t="s">
        <v>30</v>
      </c>
      <c r="I1148">
        <v>76</v>
      </c>
      <c r="J1148">
        <v>7</v>
      </c>
      <c r="K1148">
        <v>4</v>
      </c>
      <c r="L1148">
        <v>54</v>
      </c>
      <c r="M1148" t="s">
        <v>20</v>
      </c>
      <c r="N1148" t="s">
        <v>84</v>
      </c>
      <c r="O1148">
        <v>45780</v>
      </c>
      <c r="P1148">
        <v>150</v>
      </c>
      <c r="Q1148" t="s">
        <v>40</v>
      </c>
      <c r="R1148" t="str">
        <f t="shared" si="18"/>
        <v>No</v>
      </c>
    </row>
    <row r="1149" spans="1:18" x14ac:dyDescent="0.35">
      <c r="A1149" s="1">
        <v>40358</v>
      </c>
      <c r="B1149">
        <v>0</v>
      </c>
      <c r="C1149" t="s">
        <v>83</v>
      </c>
      <c r="D1149" t="s">
        <v>26</v>
      </c>
      <c r="E1149" t="s">
        <v>18</v>
      </c>
      <c r="F1149">
        <v>78</v>
      </c>
      <c r="G1149" t="s">
        <v>50</v>
      </c>
      <c r="H1149" t="s">
        <v>18</v>
      </c>
      <c r="I1149">
        <v>78</v>
      </c>
      <c r="J1149">
        <v>7</v>
      </c>
      <c r="K1149">
        <v>2</v>
      </c>
      <c r="L1149">
        <v>54</v>
      </c>
      <c r="M1149" t="s">
        <v>20</v>
      </c>
      <c r="N1149" t="s">
        <v>51</v>
      </c>
      <c r="O1149">
        <v>19045</v>
      </c>
      <c r="P1149">
        <v>179</v>
      </c>
      <c r="Q1149" t="s">
        <v>26</v>
      </c>
      <c r="R1149" t="str">
        <f t="shared" si="18"/>
        <v>No</v>
      </c>
    </row>
    <row r="1150" spans="1:18" x14ac:dyDescent="0.35">
      <c r="A1150" s="1">
        <v>40358</v>
      </c>
      <c r="B1150">
        <v>0</v>
      </c>
      <c r="C1150" t="s">
        <v>83</v>
      </c>
      <c r="D1150" t="s">
        <v>23</v>
      </c>
      <c r="E1150" t="s">
        <v>18</v>
      </c>
      <c r="F1150">
        <v>77</v>
      </c>
      <c r="G1150" t="s">
        <v>49</v>
      </c>
      <c r="H1150" t="s">
        <v>18</v>
      </c>
      <c r="I1150">
        <v>77</v>
      </c>
      <c r="J1150">
        <v>1</v>
      </c>
      <c r="K1150">
        <v>3</v>
      </c>
      <c r="L1150">
        <v>51</v>
      </c>
      <c r="M1150" t="s">
        <v>20</v>
      </c>
      <c r="N1150" t="s">
        <v>79</v>
      </c>
      <c r="O1150">
        <v>36914</v>
      </c>
      <c r="P1150">
        <v>142</v>
      </c>
      <c r="Q1150" t="s">
        <v>49</v>
      </c>
      <c r="R1150" t="str">
        <f t="shared" si="18"/>
        <v>Yes</v>
      </c>
    </row>
    <row r="1151" spans="1:18" x14ac:dyDescent="0.35">
      <c r="A1151" s="1">
        <v>40358</v>
      </c>
      <c r="B1151">
        <v>0</v>
      </c>
      <c r="C1151" t="s">
        <v>83</v>
      </c>
      <c r="D1151" t="s">
        <v>25</v>
      </c>
      <c r="E1151" t="s">
        <v>18</v>
      </c>
      <c r="F1151">
        <v>75</v>
      </c>
      <c r="G1151" t="s">
        <v>53</v>
      </c>
      <c r="H1151" t="s">
        <v>18</v>
      </c>
      <c r="I1151">
        <v>78</v>
      </c>
      <c r="J1151">
        <v>9</v>
      </c>
      <c r="K1151">
        <v>6</v>
      </c>
      <c r="L1151">
        <v>60</v>
      </c>
      <c r="M1151" t="s">
        <v>20</v>
      </c>
      <c r="N1151" t="s">
        <v>54</v>
      </c>
      <c r="O1151">
        <v>26679</v>
      </c>
      <c r="P1151">
        <v>181</v>
      </c>
      <c r="Q1151" t="s">
        <v>25</v>
      </c>
      <c r="R1151" t="str">
        <f t="shared" si="18"/>
        <v>No</v>
      </c>
    </row>
    <row r="1152" spans="1:18" x14ac:dyDescent="0.35">
      <c r="A1152" s="1">
        <v>40358</v>
      </c>
      <c r="B1152">
        <v>0</v>
      </c>
      <c r="C1152" t="s">
        <v>83</v>
      </c>
      <c r="D1152" t="s">
        <v>19</v>
      </c>
      <c r="E1152" t="s">
        <v>18</v>
      </c>
      <c r="F1152">
        <v>77</v>
      </c>
      <c r="G1152" t="s">
        <v>17</v>
      </c>
      <c r="H1152" t="s">
        <v>18</v>
      </c>
      <c r="I1152">
        <v>77</v>
      </c>
      <c r="J1152">
        <v>6</v>
      </c>
      <c r="K1152">
        <v>7</v>
      </c>
      <c r="L1152">
        <v>53</v>
      </c>
      <c r="M1152" t="s">
        <v>20</v>
      </c>
      <c r="N1152" t="s">
        <v>87</v>
      </c>
      <c r="O1152">
        <v>18373</v>
      </c>
      <c r="P1152">
        <v>191</v>
      </c>
      <c r="Q1152" t="s">
        <v>17</v>
      </c>
      <c r="R1152" t="str">
        <f t="shared" si="18"/>
        <v>Yes</v>
      </c>
    </row>
    <row r="1153" spans="1:18" x14ac:dyDescent="0.35">
      <c r="A1153" s="1">
        <v>40358</v>
      </c>
      <c r="B1153">
        <v>0</v>
      </c>
      <c r="C1153" t="s">
        <v>83</v>
      </c>
      <c r="D1153" t="s">
        <v>66</v>
      </c>
      <c r="E1153" t="s">
        <v>18</v>
      </c>
      <c r="F1153">
        <v>78</v>
      </c>
      <c r="G1153" t="s">
        <v>68</v>
      </c>
      <c r="H1153" t="s">
        <v>18</v>
      </c>
      <c r="I1153">
        <v>77</v>
      </c>
      <c r="J1153">
        <v>5</v>
      </c>
      <c r="K1153">
        <v>7</v>
      </c>
      <c r="L1153">
        <v>51</v>
      </c>
      <c r="M1153" t="s">
        <v>20</v>
      </c>
      <c r="N1153" t="s">
        <v>69</v>
      </c>
      <c r="O1153">
        <v>32907</v>
      </c>
      <c r="P1153">
        <v>170</v>
      </c>
      <c r="Q1153" t="s">
        <v>68</v>
      </c>
      <c r="R1153" t="str">
        <f t="shared" si="18"/>
        <v>Yes</v>
      </c>
    </row>
    <row r="1154" spans="1:18" x14ac:dyDescent="0.35">
      <c r="A1154" s="1">
        <v>40358</v>
      </c>
      <c r="B1154">
        <v>0</v>
      </c>
      <c r="C1154" t="s">
        <v>83</v>
      </c>
      <c r="D1154" t="s">
        <v>63</v>
      </c>
      <c r="E1154" t="s">
        <v>18</v>
      </c>
      <c r="F1154">
        <v>77</v>
      </c>
      <c r="G1154" t="s">
        <v>62</v>
      </c>
      <c r="H1154" t="s">
        <v>18</v>
      </c>
      <c r="I1154">
        <v>77</v>
      </c>
      <c r="J1154">
        <v>6</v>
      </c>
      <c r="K1154">
        <v>3</v>
      </c>
      <c r="L1154">
        <v>54</v>
      </c>
      <c r="M1154" t="s">
        <v>20</v>
      </c>
      <c r="N1154" t="s">
        <v>81</v>
      </c>
      <c r="O1154">
        <v>21196</v>
      </c>
      <c r="P1154">
        <v>180</v>
      </c>
      <c r="Q1154" t="s">
        <v>63</v>
      </c>
      <c r="R1154" t="str">
        <f t="shared" si="18"/>
        <v>No</v>
      </c>
    </row>
    <row r="1155" spans="1:18" x14ac:dyDescent="0.35">
      <c r="A1155" s="1">
        <v>40358</v>
      </c>
      <c r="B1155">
        <v>0</v>
      </c>
      <c r="C1155" t="s">
        <v>83</v>
      </c>
      <c r="D1155" t="s">
        <v>22</v>
      </c>
      <c r="E1155" t="s">
        <v>18</v>
      </c>
      <c r="F1155">
        <v>77</v>
      </c>
      <c r="G1155" t="s">
        <v>70</v>
      </c>
      <c r="H1155" t="s">
        <v>18</v>
      </c>
      <c r="I1155">
        <v>76</v>
      </c>
      <c r="J1155">
        <v>4</v>
      </c>
      <c r="K1155">
        <v>2</v>
      </c>
      <c r="L1155">
        <v>54</v>
      </c>
      <c r="M1155" t="s">
        <v>20</v>
      </c>
      <c r="N1155" t="s">
        <v>71</v>
      </c>
      <c r="O1155">
        <v>35289</v>
      </c>
      <c r="P1155">
        <v>193</v>
      </c>
      <c r="Q1155" t="s">
        <v>22</v>
      </c>
      <c r="R1155" t="str">
        <f t="shared" ref="R1155:R1218" si="19">IF(K1155&gt;J1155,"Yes","No")</f>
        <v>No</v>
      </c>
    </row>
    <row r="1156" spans="1:18" x14ac:dyDescent="0.35">
      <c r="A1156" s="1">
        <v>40358</v>
      </c>
      <c r="B1156">
        <v>0</v>
      </c>
      <c r="C1156" t="s">
        <v>83</v>
      </c>
      <c r="D1156" t="s">
        <v>60</v>
      </c>
      <c r="E1156" t="s">
        <v>18</v>
      </c>
      <c r="F1156">
        <v>78</v>
      </c>
      <c r="G1156" t="s">
        <v>52</v>
      </c>
      <c r="H1156" t="s">
        <v>18</v>
      </c>
      <c r="I1156">
        <v>77</v>
      </c>
      <c r="J1156">
        <v>0</v>
      </c>
      <c r="K1156">
        <v>8</v>
      </c>
      <c r="L1156">
        <v>51</v>
      </c>
      <c r="M1156" t="s">
        <v>20</v>
      </c>
      <c r="N1156" t="s">
        <v>82</v>
      </c>
      <c r="O1156">
        <v>38736</v>
      </c>
      <c r="P1156">
        <v>171</v>
      </c>
      <c r="Q1156" t="s">
        <v>52</v>
      </c>
      <c r="R1156" t="str">
        <f t="shared" si="19"/>
        <v>Yes</v>
      </c>
    </row>
    <row r="1157" spans="1:18" x14ac:dyDescent="0.35">
      <c r="A1157" s="1">
        <v>40359</v>
      </c>
      <c r="B1157">
        <v>0</v>
      </c>
      <c r="C1157" t="s">
        <v>16</v>
      </c>
      <c r="D1157" t="s">
        <v>47</v>
      </c>
      <c r="E1157" t="s">
        <v>30</v>
      </c>
      <c r="F1157">
        <v>77</v>
      </c>
      <c r="G1157" t="s">
        <v>31</v>
      </c>
      <c r="H1157" t="s">
        <v>30</v>
      </c>
      <c r="I1157">
        <v>80</v>
      </c>
      <c r="J1157">
        <v>6</v>
      </c>
      <c r="K1157">
        <v>4</v>
      </c>
      <c r="L1157">
        <v>54</v>
      </c>
      <c r="M1157" t="s">
        <v>20</v>
      </c>
      <c r="N1157" t="s">
        <v>32</v>
      </c>
      <c r="O1157">
        <v>41867</v>
      </c>
      <c r="P1157">
        <v>184</v>
      </c>
      <c r="Q1157" t="s">
        <v>47</v>
      </c>
      <c r="R1157" t="str">
        <f t="shared" si="19"/>
        <v>No</v>
      </c>
    </row>
    <row r="1158" spans="1:18" x14ac:dyDescent="0.35">
      <c r="A1158" s="1">
        <v>40359</v>
      </c>
      <c r="B1158">
        <v>0</v>
      </c>
      <c r="C1158" t="s">
        <v>16</v>
      </c>
      <c r="D1158" t="s">
        <v>41</v>
      </c>
      <c r="E1158" t="s">
        <v>30</v>
      </c>
      <c r="F1158">
        <v>79</v>
      </c>
      <c r="G1158" t="s">
        <v>43</v>
      </c>
      <c r="H1158" t="s">
        <v>30</v>
      </c>
      <c r="I1158">
        <v>77</v>
      </c>
      <c r="J1158">
        <v>6</v>
      </c>
      <c r="K1158">
        <v>9</v>
      </c>
      <c r="L1158">
        <v>51</v>
      </c>
      <c r="M1158" t="s">
        <v>20</v>
      </c>
      <c r="N1158" t="s">
        <v>56</v>
      </c>
      <c r="O1158">
        <v>21392</v>
      </c>
      <c r="P1158">
        <v>188</v>
      </c>
      <c r="Q1158" t="s">
        <v>43</v>
      </c>
      <c r="R1158" t="str">
        <f t="shared" si="19"/>
        <v>Yes</v>
      </c>
    </row>
    <row r="1159" spans="1:18" x14ac:dyDescent="0.35">
      <c r="A1159" s="1">
        <v>40359</v>
      </c>
      <c r="B1159">
        <v>0</v>
      </c>
      <c r="C1159" t="s">
        <v>16</v>
      </c>
      <c r="D1159" t="s">
        <v>44</v>
      </c>
      <c r="E1159" t="s">
        <v>30</v>
      </c>
      <c r="F1159">
        <v>77</v>
      </c>
      <c r="G1159" t="s">
        <v>58</v>
      </c>
      <c r="H1159" t="s">
        <v>30</v>
      </c>
      <c r="I1159">
        <v>79</v>
      </c>
      <c r="J1159">
        <v>9</v>
      </c>
      <c r="K1159">
        <v>4</v>
      </c>
      <c r="L1159">
        <v>54</v>
      </c>
      <c r="M1159" t="s">
        <v>20</v>
      </c>
      <c r="N1159" t="s">
        <v>86</v>
      </c>
      <c r="O1159">
        <v>38055</v>
      </c>
      <c r="P1159">
        <v>215</v>
      </c>
      <c r="Q1159" t="s">
        <v>44</v>
      </c>
      <c r="R1159" t="str">
        <f t="shared" si="19"/>
        <v>No</v>
      </c>
    </row>
    <row r="1160" spans="1:18" x14ac:dyDescent="0.35">
      <c r="A1160" s="1">
        <v>40359</v>
      </c>
      <c r="B1160">
        <v>0</v>
      </c>
      <c r="C1160" t="s">
        <v>16</v>
      </c>
      <c r="D1160" t="s">
        <v>46</v>
      </c>
      <c r="E1160" t="s">
        <v>30</v>
      </c>
      <c r="F1160">
        <v>79</v>
      </c>
      <c r="G1160" t="s">
        <v>33</v>
      </c>
      <c r="H1160" t="s">
        <v>30</v>
      </c>
      <c r="I1160">
        <v>77</v>
      </c>
      <c r="J1160">
        <v>1</v>
      </c>
      <c r="K1160">
        <v>3</v>
      </c>
      <c r="L1160">
        <v>51</v>
      </c>
      <c r="M1160" t="s">
        <v>20</v>
      </c>
      <c r="N1160" t="s">
        <v>75</v>
      </c>
      <c r="O1160">
        <v>12109</v>
      </c>
      <c r="P1160">
        <v>152</v>
      </c>
      <c r="Q1160" t="s">
        <v>33</v>
      </c>
      <c r="R1160" t="str">
        <f t="shared" si="19"/>
        <v>Yes</v>
      </c>
    </row>
    <row r="1161" spans="1:18" x14ac:dyDescent="0.35">
      <c r="A1161" s="1">
        <v>40359</v>
      </c>
      <c r="B1161">
        <v>0</v>
      </c>
      <c r="C1161" t="s">
        <v>16</v>
      </c>
      <c r="D1161" t="s">
        <v>34</v>
      </c>
      <c r="E1161" t="s">
        <v>30</v>
      </c>
      <c r="F1161">
        <v>77</v>
      </c>
      <c r="G1161" t="s">
        <v>37</v>
      </c>
      <c r="H1161" t="s">
        <v>30</v>
      </c>
      <c r="I1161">
        <v>79</v>
      </c>
      <c r="J1161">
        <v>6</v>
      </c>
      <c r="K1161">
        <v>7</v>
      </c>
      <c r="L1161">
        <v>51</v>
      </c>
      <c r="M1161" t="s">
        <v>20</v>
      </c>
      <c r="N1161" t="s">
        <v>39</v>
      </c>
      <c r="O1161">
        <v>18335</v>
      </c>
      <c r="P1161">
        <v>150</v>
      </c>
      <c r="Q1161" t="s">
        <v>37</v>
      </c>
      <c r="R1161" t="str">
        <f t="shared" si="19"/>
        <v>Yes</v>
      </c>
    </row>
    <row r="1162" spans="1:18" x14ac:dyDescent="0.35">
      <c r="A1162" s="1">
        <v>40359</v>
      </c>
      <c r="B1162">
        <v>0</v>
      </c>
      <c r="C1162" t="s">
        <v>16</v>
      </c>
      <c r="D1162" t="s">
        <v>36</v>
      </c>
      <c r="E1162" t="s">
        <v>30</v>
      </c>
      <c r="F1162">
        <v>77</v>
      </c>
      <c r="G1162" t="s">
        <v>29</v>
      </c>
      <c r="H1162" t="s">
        <v>30</v>
      </c>
      <c r="I1162">
        <v>78</v>
      </c>
      <c r="J1162">
        <v>1</v>
      </c>
      <c r="K1162">
        <v>5</v>
      </c>
      <c r="L1162">
        <v>51</v>
      </c>
      <c r="M1162" t="s">
        <v>38</v>
      </c>
      <c r="N1162" t="s">
        <v>76</v>
      </c>
      <c r="O1162">
        <v>40671</v>
      </c>
      <c r="P1162">
        <v>152</v>
      </c>
      <c r="Q1162" t="s">
        <v>29</v>
      </c>
      <c r="R1162" t="str">
        <f t="shared" si="19"/>
        <v>Yes</v>
      </c>
    </row>
    <row r="1163" spans="1:18" x14ac:dyDescent="0.35">
      <c r="A1163" s="1">
        <v>40359</v>
      </c>
      <c r="B1163">
        <v>0</v>
      </c>
      <c r="C1163" t="s">
        <v>16</v>
      </c>
      <c r="D1163" t="s">
        <v>40</v>
      </c>
      <c r="E1163" t="s">
        <v>30</v>
      </c>
      <c r="F1163">
        <v>77</v>
      </c>
      <c r="G1163" t="s">
        <v>59</v>
      </c>
      <c r="H1163" t="s">
        <v>30</v>
      </c>
      <c r="I1163">
        <v>77</v>
      </c>
      <c r="J1163">
        <v>7</v>
      </c>
      <c r="K1163">
        <v>0</v>
      </c>
      <c r="L1163">
        <v>54</v>
      </c>
      <c r="M1163" t="s">
        <v>20</v>
      </c>
      <c r="N1163" t="s">
        <v>84</v>
      </c>
      <c r="O1163">
        <v>46309</v>
      </c>
      <c r="P1163">
        <v>166</v>
      </c>
      <c r="Q1163" t="s">
        <v>40</v>
      </c>
      <c r="R1163" t="str">
        <f t="shared" si="19"/>
        <v>No</v>
      </c>
    </row>
    <row r="1164" spans="1:18" x14ac:dyDescent="0.35">
      <c r="A1164" s="1">
        <v>40359</v>
      </c>
      <c r="B1164">
        <v>0</v>
      </c>
      <c r="C1164" t="s">
        <v>16</v>
      </c>
      <c r="D1164" t="s">
        <v>26</v>
      </c>
      <c r="E1164" t="s">
        <v>18</v>
      </c>
      <c r="F1164">
        <v>79</v>
      </c>
      <c r="G1164" t="s">
        <v>50</v>
      </c>
      <c r="H1164" t="s">
        <v>18</v>
      </c>
      <c r="I1164">
        <v>79</v>
      </c>
      <c r="J1164">
        <v>1</v>
      </c>
      <c r="K1164">
        <v>4</v>
      </c>
      <c r="L1164">
        <v>51</v>
      </c>
      <c r="M1164" t="s">
        <v>20</v>
      </c>
      <c r="N1164" t="s">
        <v>51</v>
      </c>
      <c r="O1164">
        <v>20091</v>
      </c>
      <c r="P1164">
        <v>177</v>
      </c>
      <c r="Q1164" t="s">
        <v>50</v>
      </c>
      <c r="R1164" t="str">
        <f t="shared" si="19"/>
        <v>Yes</v>
      </c>
    </row>
    <row r="1165" spans="1:18" x14ac:dyDescent="0.35">
      <c r="A1165" s="1">
        <v>40359</v>
      </c>
      <c r="B1165">
        <v>0</v>
      </c>
      <c r="C1165" t="s">
        <v>16</v>
      </c>
      <c r="D1165" t="s">
        <v>23</v>
      </c>
      <c r="E1165" t="s">
        <v>18</v>
      </c>
      <c r="F1165">
        <v>78</v>
      </c>
      <c r="G1165" t="s">
        <v>49</v>
      </c>
      <c r="H1165" t="s">
        <v>18</v>
      </c>
      <c r="I1165">
        <v>78</v>
      </c>
      <c r="J1165">
        <v>2</v>
      </c>
      <c r="K1165">
        <v>0</v>
      </c>
      <c r="L1165">
        <v>54</v>
      </c>
      <c r="M1165" t="s">
        <v>38</v>
      </c>
      <c r="N1165" t="s">
        <v>79</v>
      </c>
      <c r="O1165">
        <v>37391</v>
      </c>
      <c r="P1165">
        <v>155</v>
      </c>
      <c r="Q1165" t="s">
        <v>23</v>
      </c>
      <c r="R1165" t="str">
        <f t="shared" si="19"/>
        <v>No</v>
      </c>
    </row>
    <row r="1166" spans="1:18" x14ac:dyDescent="0.35">
      <c r="A1166" s="1">
        <v>40359</v>
      </c>
      <c r="B1166">
        <v>0</v>
      </c>
      <c r="C1166" t="s">
        <v>16</v>
      </c>
      <c r="D1166" t="s">
        <v>25</v>
      </c>
      <c r="E1166" t="s">
        <v>18</v>
      </c>
      <c r="F1166">
        <v>76</v>
      </c>
      <c r="G1166" t="s">
        <v>53</v>
      </c>
      <c r="H1166" t="s">
        <v>18</v>
      </c>
      <c r="I1166">
        <v>79</v>
      </c>
      <c r="J1166">
        <v>3</v>
      </c>
      <c r="K1166">
        <v>4</v>
      </c>
      <c r="L1166">
        <v>51</v>
      </c>
      <c r="M1166" t="s">
        <v>38</v>
      </c>
      <c r="N1166" t="s">
        <v>54</v>
      </c>
      <c r="O1166">
        <v>27245</v>
      </c>
      <c r="P1166">
        <v>143</v>
      </c>
      <c r="Q1166" t="s">
        <v>53</v>
      </c>
      <c r="R1166" t="str">
        <f t="shared" si="19"/>
        <v>Yes</v>
      </c>
    </row>
    <row r="1167" spans="1:18" x14ac:dyDescent="0.35">
      <c r="A1167" s="1">
        <v>40359</v>
      </c>
      <c r="B1167">
        <v>0</v>
      </c>
      <c r="C1167" t="s">
        <v>16</v>
      </c>
      <c r="D1167" t="s">
        <v>19</v>
      </c>
      <c r="E1167" t="s">
        <v>18</v>
      </c>
      <c r="F1167">
        <v>78</v>
      </c>
      <c r="G1167" t="s">
        <v>17</v>
      </c>
      <c r="H1167" t="s">
        <v>18</v>
      </c>
      <c r="I1167">
        <v>78</v>
      </c>
      <c r="J1167">
        <v>6</v>
      </c>
      <c r="K1167">
        <v>5</v>
      </c>
      <c r="L1167">
        <v>54</v>
      </c>
      <c r="M1167" t="s">
        <v>20</v>
      </c>
      <c r="N1167" t="s">
        <v>87</v>
      </c>
      <c r="O1167">
        <v>19232</v>
      </c>
      <c r="P1167">
        <v>231</v>
      </c>
      <c r="Q1167" t="s">
        <v>19</v>
      </c>
      <c r="R1167" t="str">
        <f t="shared" si="19"/>
        <v>No</v>
      </c>
    </row>
    <row r="1168" spans="1:18" x14ac:dyDescent="0.35">
      <c r="A1168" s="1">
        <v>40359</v>
      </c>
      <c r="B1168">
        <v>0</v>
      </c>
      <c r="C1168" t="s">
        <v>16</v>
      </c>
      <c r="D1168" t="s">
        <v>66</v>
      </c>
      <c r="E1168" t="s">
        <v>18</v>
      </c>
      <c r="F1168">
        <v>79</v>
      </c>
      <c r="G1168" t="s">
        <v>68</v>
      </c>
      <c r="H1168" t="s">
        <v>18</v>
      </c>
      <c r="I1168">
        <v>78</v>
      </c>
      <c r="J1168">
        <v>5</v>
      </c>
      <c r="K1168">
        <v>1</v>
      </c>
      <c r="L1168">
        <v>54</v>
      </c>
      <c r="M1168" t="s">
        <v>38</v>
      </c>
      <c r="N1168" t="s">
        <v>69</v>
      </c>
      <c r="O1168">
        <v>30114</v>
      </c>
      <c r="P1168">
        <v>178</v>
      </c>
      <c r="Q1168" t="s">
        <v>66</v>
      </c>
      <c r="R1168" t="str">
        <f t="shared" si="19"/>
        <v>No</v>
      </c>
    </row>
    <row r="1169" spans="1:18" x14ac:dyDescent="0.35">
      <c r="A1169" s="1">
        <v>40359</v>
      </c>
      <c r="B1169">
        <v>0</v>
      </c>
      <c r="C1169" t="s">
        <v>16</v>
      </c>
      <c r="D1169" t="s">
        <v>63</v>
      </c>
      <c r="E1169" t="s">
        <v>18</v>
      </c>
      <c r="F1169">
        <v>78</v>
      </c>
      <c r="G1169" t="s">
        <v>62</v>
      </c>
      <c r="H1169" t="s">
        <v>18</v>
      </c>
      <c r="I1169">
        <v>78</v>
      </c>
      <c r="J1169">
        <v>3</v>
      </c>
      <c r="K1169">
        <v>13</v>
      </c>
      <c r="L1169">
        <v>51</v>
      </c>
      <c r="M1169" t="s">
        <v>38</v>
      </c>
      <c r="N1169" t="s">
        <v>81</v>
      </c>
      <c r="O1169">
        <v>24519</v>
      </c>
      <c r="P1169">
        <v>169</v>
      </c>
      <c r="Q1169" t="s">
        <v>62</v>
      </c>
      <c r="R1169" t="str">
        <f t="shared" si="19"/>
        <v>Yes</v>
      </c>
    </row>
    <row r="1170" spans="1:18" x14ac:dyDescent="0.35">
      <c r="A1170" s="1">
        <v>40359</v>
      </c>
      <c r="B1170">
        <v>0</v>
      </c>
      <c r="C1170" t="s">
        <v>16</v>
      </c>
      <c r="D1170" t="s">
        <v>22</v>
      </c>
      <c r="E1170" t="s">
        <v>18</v>
      </c>
      <c r="F1170">
        <v>78</v>
      </c>
      <c r="G1170" t="s">
        <v>70</v>
      </c>
      <c r="H1170" t="s">
        <v>18</v>
      </c>
      <c r="I1170">
        <v>77</v>
      </c>
      <c r="J1170">
        <v>8</v>
      </c>
      <c r="K1170">
        <v>2</v>
      </c>
      <c r="L1170">
        <v>54</v>
      </c>
      <c r="M1170" t="s">
        <v>38</v>
      </c>
      <c r="N1170" t="s">
        <v>71</v>
      </c>
      <c r="O1170">
        <v>39962</v>
      </c>
      <c r="P1170">
        <v>177</v>
      </c>
      <c r="Q1170" t="s">
        <v>22</v>
      </c>
      <c r="R1170" t="str">
        <f t="shared" si="19"/>
        <v>No</v>
      </c>
    </row>
    <row r="1171" spans="1:18" x14ac:dyDescent="0.35">
      <c r="A1171" s="1">
        <v>40359</v>
      </c>
      <c r="B1171">
        <v>0</v>
      </c>
      <c r="C1171" t="s">
        <v>16</v>
      </c>
      <c r="D1171" t="s">
        <v>60</v>
      </c>
      <c r="E1171" t="s">
        <v>18</v>
      </c>
      <c r="F1171">
        <v>79</v>
      </c>
      <c r="G1171" t="s">
        <v>52</v>
      </c>
      <c r="H1171" t="s">
        <v>18</v>
      </c>
      <c r="I1171">
        <v>78</v>
      </c>
      <c r="J1171">
        <v>4</v>
      </c>
      <c r="K1171">
        <v>2</v>
      </c>
      <c r="L1171">
        <v>54</v>
      </c>
      <c r="M1171" t="s">
        <v>38</v>
      </c>
      <c r="N1171" t="s">
        <v>82</v>
      </c>
      <c r="O1171">
        <v>36962</v>
      </c>
      <c r="P1171">
        <v>233</v>
      </c>
      <c r="Q1171" t="s">
        <v>60</v>
      </c>
      <c r="R1171" t="str">
        <f t="shared" si="19"/>
        <v>No</v>
      </c>
    </row>
    <row r="1172" spans="1:18" x14ac:dyDescent="0.35">
      <c r="A1172" s="1">
        <v>40360</v>
      </c>
      <c r="B1172">
        <v>0</v>
      </c>
      <c r="C1172" t="s">
        <v>28</v>
      </c>
      <c r="D1172" t="s">
        <v>47</v>
      </c>
      <c r="E1172" t="s">
        <v>30</v>
      </c>
      <c r="F1172">
        <v>78</v>
      </c>
      <c r="G1172" t="s">
        <v>31</v>
      </c>
      <c r="H1172" t="s">
        <v>30</v>
      </c>
      <c r="I1172">
        <v>81</v>
      </c>
      <c r="J1172">
        <v>1</v>
      </c>
      <c r="K1172">
        <v>2</v>
      </c>
      <c r="L1172">
        <v>51</v>
      </c>
      <c r="M1172" t="s">
        <v>20</v>
      </c>
      <c r="N1172" t="s">
        <v>32</v>
      </c>
      <c r="O1172">
        <v>41162</v>
      </c>
      <c r="P1172">
        <v>175</v>
      </c>
      <c r="Q1172" t="s">
        <v>31</v>
      </c>
      <c r="R1172" t="str">
        <f t="shared" si="19"/>
        <v>Yes</v>
      </c>
    </row>
    <row r="1173" spans="1:18" x14ac:dyDescent="0.35">
      <c r="A1173" s="1">
        <v>40360</v>
      </c>
      <c r="B1173">
        <v>0</v>
      </c>
      <c r="C1173" t="s">
        <v>28</v>
      </c>
      <c r="D1173" t="s">
        <v>41</v>
      </c>
      <c r="E1173" t="s">
        <v>30</v>
      </c>
      <c r="F1173">
        <v>80</v>
      </c>
      <c r="G1173" t="s">
        <v>43</v>
      </c>
      <c r="H1173" t="s">
        <v>30</v>
      </c>
      <c r="I1173">
        <v>78</v>
      </c>
      <c r="J1173">
        <v>8</v>
      </c>
      <c r="K1173">
        <v>1</v>
      </c>
      <c r="L1173">
        <v>54</v>
      </c>
      <c r="M1173" t="s">
        <v>20</v>
      </c>
      <c r="N1173" t="s">
        <v>56</v>
      </c>
      <c r="O1173">
        <v>15712</v>
      </c>
      <c r="P1173">
        <v>175</v>
      </c>
      <c r="Q1173" t="s">
        <v>41</v>
      </c>
      <c r="R1173" t="str">
        <f t="shared" si="19"/>
        <v>No</v>
      </c>
    </row>
    <row r="1174" spans="1:18" x14ac:dyDescent="0.35">
      <c r="A1174" s="1">
        <v>40360</v>
      </c>
      <c r="B1174">
        <v>0</v>
      </c>
      <c r="C1174" t="s">
        <v>28</v>
      </c>
      <c r="D1174" t="s">
        <v>46</v>
      </c>
      <c r="E1174" t="s">
        <v>30</v>
      </c>
      <c r="F1174">
        <v>80</v>
      </c>
      <c r="G1174" t="s">
        <v>33</v>
      </c>
      <c r="H1174" t="s">
        <v>30</v>
      </c>
      <c r="I1174">
        <v>78</v>
      </c>
      <c r="J1174">
        <v>1</v>
      </c>
      <c r="K1174">
        <v>6</v>
      </c>
      <c r="L1174">
        <v>51</v>
      </c>
      <c r="M1174" t="s">
        <v>38</v>
      </c>
      <c r="N1174" t="s">
        <v>75</v>
      </c>
      <c r="O1174">
        <v>16859</v>
      </c>
      <c r="P1174">
        <v>142</v>
      </c>
      <c r="Q1174" t="s">
        <v>33</v>
      </c>
      <c r="R1174" t="str">
        <f t="shared" si="19"/>
        <v>Yes</v>
      </c>
    </row>
    <row r="1175" spans="1:18" x14ac:dyDescent="0.35">
      <c r="A1175" s="1">
        <v>40360</v>
      </c>
      <c r="B1175">
        <v>0</v>
      </c>
      <c r="C1175" t="s">
        <v>28</v>
      </c>
      <c r="D1175" t="s">
        <v>44</v>
      </c>
      <c r="E1175" t="s">
        <v>30</v>
      </c>
      <c r="F1175">
        <v>78</v>
      </c>
      <c r="G1175" t="s">
        <v>29</v>
      </c>
      <c r="H1175" t="s">
        <v>30</v>
      </c>
      <c r="I1175">
        <v>79</v>
      </c>
      <c r="J1175">
        <v>5</v>
      </c>
      <c r="K1175">
        <v>4</v>
      </c>
      <c r="L1175">
        <v>60</v>
      </c>
      <c r="M1175" t="s">
        <v>20</v>
      </c>
      <c r="N1175" t="s">
        <v>76</v>
      </c>
      <c r="O1175">
        <v>40665</v>
      </c>
      <c r="P1175">
        <v>229</v>
      </c>
      <c r="Q1175" t="s">
        <v>44</v>
      </c>
      <c r="R1175" t="str">
        <f t="shared" si="19"/>
        <v>No</v>
      </c>
    </row>
    <row r="1176" spans="1:18" x14ac:dyDescent="0.35">
      <c r="A1176" s="1">
        <v>40360</v>
      </c>
      <c r="B1176">
        <v>0</v>
      </c>
      <c r="C1176" t="s">
        <v>28</v>
      </c>
      <c r="D1176" t="s">
        <v>40</v>
      </c>
      <c r="E1176" t="s">
        <v>30</v>
      </c>
      <c r="F1176">
        <v>78</v>
      </c>
      <c r="G1176" t="s">
        <v>59</v>
      </c>
      <c r="H1176" t="s">
        <v>30</v>
      </c>
      <c r="I1176">
        <v>78</v>
      </c>
      <c r="J1176">
        <v>2</v>
      </c>
      <c r="K1176">
        <v>4</v>
      </c>
      <c r="L1176">
        <v>51</v>
      </c>
      <c r="M1176" t="s">
        <v>38</v>
      </c>
      <c r="N1176" t="s">
        <v>84</v>
      </c>
      <c r="O1176">
        <v>45591</v>
      </c>
      <c r="P1176">
        <v>153</v>
      </c>
      <c r="Q1176" t="s">
        <v>59</v>
      </c>
      <c r="R1176" t="str">
        <f t="shared" si="19"/>
        <v>Yes</v>
      </c>
    </row>
    <row r="1177" spans="1:18" x14ac:dyDescent="0.35">
      <c r="A1177" s="1">
        <v>40360</v>
      </c>
      <c r="B1177">
        <v>0</v>
      </c>
      <c r="C1177" t="s">
        <v>28</v>
      </c>
      <c r="D1177" t="s">
        <v>53</v>
      </c>
      <c r="E1177" t="s">
        <v>18</v>
      </c>
      <c r="F1177">
        <v>80</v>
      </c>
      <c r="G1177" t="s">
        <v>49</v>
      </c>
      <c r="H1177" t="s">
        <v>18</v>
      </c>
      <c r="I1177">
        <v>79</v>
      </c>
      <c r="J1177">
        <v>3</v>
      </c>
      <c r="K1177">
        <v>2</v>
      </c>
      <c r="L1177">
        <v>60</v>
      </c>
      <c r="M1177" t="s">
        <v>38</v>
      </c>
      <c r="N1177" t="s">
        <v>79</v>
      </c>
      <c r="O1177">
        <v>36880</v>
      </c>
      <c r="P1177">
        <v>179</v>
      </c>
      <c r="Q1177" t="s">
        <v>53</v>
      </c>
      <c r="R1177" t="str">
        <f t="shared" si="19"/>
        <v>No</v>
      </c>
    </row>
    <row r="1178" spans="1:18" x14ac:dyDescent="0.35">
      <c r="A1178" s="1">
        <v>40360</v>
      </c>
      <c r="B1178">
        <v>0</v>
      </c>
      <c r="C1178" t="s">
        <v>28</v>
      </c>
      <c r="D1178" t="s">
        <v>70</v>
      </c>
      <c r="E1178" t="s">
        <v>18</v>
      </c>
      <c r="F1178">
        <v>78</v>
      </c>
      <c r="G1178" t="s">
        <v>63</v>
      </c>
      <c r="H1178" t="s">
        <v>18</v>
      </c>
      <c r="I1178">
        <v>79</v>
      </c>
      <c r="J1178">
        <v>3</v>
      </c>
      <c r="K1178">
        <v>7</v>
      </c>
      <c r="L1178">
        <v>51</v>
      </c>
      <c r="M1178" t="s">
        <v>20</v>
      </c>
      <c r="N1178" t="s">
        <v>64</v>
      </c>
      <c r="O1178">
        <v>32134</v>
      </c>
      <c r="P1178">
        <v>175</v>
      </c>
      <c r="Q1178" t="s">
        <v>63</v>
      </c>
      <c r="R1178" t="str">
        <f t="shared" si="19"/>
        <v>Yes</v>
      </c>
    </row>
    <row r="1179" spans="1:18" x14ac:dyDescent="0.35">
      <c r="A1179" s="1">
        <v>40360</v>
      </c>
      <c r="B1179">
        <v>0</v>
      </c>
      <c r="C1179" t="s">
        <v>28</v>
      </c>
      <c r="D1179" t="s">
        <v>25</v>
      </c>
      <c r="E1179" t="s">
        <v>18</v>
      </c>
      <c r="F1179">
        <v>77</v>
      </c>
      <c r="G1179" t="s">
        <v>23</v>
      </c>
      <c r="H1179" t="s">
        <v>18</v>
      </c>
      <c r="I1179">
        <v>79</v>
      </c>
      <c r="J1179">
        <v>2</v>
      </c>
      <c r="K1179">
        <v>3</v>
      </c>
      <c r="L1179">
        <v>51</v>
      </c>
      <c r="M1179" t="s">
        <v>20</v>
      </c>
      <c r="N1179" t="s">
        <v>24</v>
      </c>
      <c r="O1179">
        <v>25323</v>
      </c>
      <c r="P1179">
        <v>171</v>
      </c>
      <c r="Q1179" t="s">
        <v>23</v>
      </c>
      <c r="R1179" t="str">
        <f t="shared" si="19"/>
        <v>Yes</v>
      </c>
    </row>
    <row r="1180" spans="1:18" x14ac:dyDescent="0.35">
      <c r="A1180" s="1">
        <v>40360</v>
      </c>
      <c r="B1180">
        <v>0</v>
      </c>
      <c r="C1180" t="s">
        <v>28</v>
      </c>
      <c r="D1180" t="s">
        <v>66</v>
      </c>
      <c r="E1180" t="s">
        <v>18</v>
      </c>
      <c r="F1180">
        <v>80</v>
      </c>
      <c r="G1180" t="s">
        <v>62</v>
      </c>
      <c r="H1180" t="s">
        <v>18</v>
      </c>
      <c r="I1180">
        <v>79</v>
      </c>
      <c r="J1180">
        <v>6</v>
      </c>
      <c r="K1180">
        <v>3</v>
      </c>
      <c r="L1180">
        <v>60</v>
      </c>
      <c r="M1180" t="s">
        <v>20</v>
      </c>
      <c r="N1180" t="s">
        <v>81</v>
      </c>
      <c r="O1180">
        <v>18618</v>
      </c>
      <c r="P1180">
        <v>211</v>
      </c>
      <c r="Q1180" t="s">
        <v>66</v>
      </c>
      <c r="R1180" t="str">
        <f t="shared" si="19"/>
        <v>No</v>
      </c>
    </row>
    <row r="1181" spans="1:18" x14ac:dyDescent="0.35">
      <c r="A1181" s="1">
        <v>40360</v>
      </c>
      <c r="B1181">
        <v>0</v>
      </c>
      <c r="C1181" t="s">
        <v>28</v>
      </c>
      <c r="D1181" t="s">
        <v>68</v>
      </c>
      <c r="E1181" t="s">
        <v>18</v>
      </c>
      <c r="F1181">
        <v>79</v>
      </c>
      <c r="G1181" t="s">
        <v>52</v>
      </c>
      <c r="H1181" t="s">
        <v>18</v>
      </c>
      <c r="I1181">
        <v>79</v>
      </c>
      <c r="J1181">
        <v>4</v>
      </c>
      <c r="K1181">
        <v>1</v>
      </c>
      <c r="L1181">
        <v>54</v>
      </c>
      <c r="M1181" t="s">
        <v>20</v>
      </c>
      <c r="N1181" t="s">
        <v>82</v>
      </c>
      <c r="O1181">
        <v>40302</v>
      </c>
      <c r="P1181">
        <v>151</v>
      </c>
      <c r="Q1181" t="s">
        <v>68</v>
      </c>
      <c r="R1181" t="str">
        <f t="shared" si="19"/>
        <v>No</v>
      </c>
    </row>
    <row r="1182" spans="1:18" x14ac:dyDescent="0.35">
      <c r="A1182" s="1">
        <v>40360</v>
      </c>
      <c r="B1182">
        <v>0</v>
      </c>
      <c r="C1182" t="s">
        <v>28</v>
      </c>
      <c r="D1182" t="s">
        <v>19</v>
      </c>
      <c r="E1182" t="s">
        <v>18</v>
      </c>
      <c r="F1182">
        <v>79</v>
      </c>
      <c r="G1182" t="s">
        <v>26</v>
      </c>
      <c r="H1182" t="s">
        <v>18</v>
      </c>
      <c r="I1182">
        <v>80</v>
      </c>
      <c r="J1182">
        <v>1</v>
      </c>
      <c r="K1182">
        <v>2</v>
      </c>
      <c r="L1182">
        <v>53</v>
      </c>
      <c r="M1182" t="s">
        <v>20</v>
      </c>
      <c r="N1182" t="s">
        <v>27</v>
      </c>
      <c r="O1182">
        <v>20167</v>
      </c>
      <c r="P1182">
        <v>163</v>
      </c>
      <c r="Q1182" t="s">
        <v>26</v>
      </c>
      <c r="R1182" t="str">
        <f t="shared" si="19"/>
        <v>Yes</v>
      </c>
    </row>
    <row r="1183" spans="1:18" x14ac:dyDescent="0.35">
      <c r="A1183" s="1">
        <v>40361</v>
      </c>
      <c r="B1183">
        <v>0</v>
      </c>
      <c r="C1183" t="s">
        <v>55</v>
      </c>
      <c r="D1183" t="s">
        <v>37</v>
      </c>
      <c r="E1183" t="s">
        <v>30</v>
      </c>
      <c r="F1183">
        <v>80</v>
      </c>
      <c r="G1183" t="s">
        <v>31</v>
      </c>
      <c r="H1183" t="s">
        <v>30</v>
      </c>
      <c r="I1183">
        <v>82</v>
      </c>
      <c r="J1183">
        <v>2</v>
      </c>
      <c r="K1183">
        <v>1</v>
      </c>
      <c r="L1183">
        <v>60</v>
      </c>
      <c r="M1183" t="s">
        <v>20</v>
      </c>
      <c r="N1183" t="s">
        <v>32</v>
      </c>
      <c r="O1183">
        <v>40005</v>
      </c>
      <c r="P1183">
        <v>187</v>
      </c>
      <c r="Q1183" t="s">
        <v>37</v>
      </c>
      <c r="R1183" t="str">
        <f t="shared" si="19"/>
        <v>No</v>
      </c>
    </row>
    <row r="1184" spans="1:18" x14ac:dyDescent="0.35">
      <c r="A1184" s="1">
        <v>40361</v>
      </c>
      <c r="B1184">
        <v>0</v>
      </c>
      <c r="C1184" t="s">
        <v>55</v>
      </c>
      <c r="D1184" t="s">
        <v>43</v>
      </c>
      <c r="E1184" t="s">
        <v>30</v>
      </c>
      <c r="F1184">
        <v>79</v>
      </c>
      <c r="G1184" t="s">
        <v>58</v>
      </c>
      <c r="H1184" t="s">
        <v>30</v>
      </c>
      <c r="I1184">
        <v>80</v>
      </c>
      <c r="J1184">
        <v>2</v>
      </c>
      <c r="K1184">
        <v>3</v>
      </c>
      <c r="L1184">
        <v>51</v>
      </c>
      <c r="M1184" t="s">
        <v>20</v>
      </c>
      <c r="N1184" t="s">
        <v>86</v>
      </c>
      <c r="O1184">
        <v>38067</v>
      </c>
      <c r="P1184">
        <v>127</v>
      </c>
      <c r="Q1184" t="s">
        <v>58</v>
      </c>
      <c r="R1184" t="str">
        <f t="shared" si="19"/>
        <v>Yes</v>
      </c>
    </row>
    <row r="1185" spans="1:18" x14ac:dyDescent="0.35">
      <c r="A1185" s="1">
        <v>40361</v>
      </c>
      <c r="B1185">
        <v>0</v>
      </c>
      <c r="C1185" t="s">
        <v>55</v>
      </c>
      <c r="D1185" t="s">
        <v>41</v>
      </c>
      <c r="E1185" t="s">
        <v>30</v>
      </c>
      <c r="F1185">
        <v>81</v>
      </c>
      <c r="G1185" t="s">
        <v>33</v>
      </c>
      <c r="H1185" t="s">
        <v>30</v>
      </c>
      <c r="I1185">
        <v>79</v>
      </c>
      <c r="J1185">
        <v>3</v>
      </c>
      <c r="K1185">
        <v>0</v>
      </c>
      <c r="L1185">
        <v>54</v>
      </c>
      <c r="M1185" t="s">
        <v>20</v>
      </c>
      <c r="N1185" t="s">
        <v>75</v>
      </c>
      <c r="O1185">
        <v>18629</v>
      </c>
      <c r="P1185">
        <v>169</v>
      </c>
      <c r="Q1185" t="s">
        <v>41</v>
      </c>
      <c r="R1185" t="str">
        <f t="shared" si="19"/>
        <v>No</v>
      </c>
    </row>
    <row r="1186" spans="1:18" x14ac:dyDescent="0.35">
      <c r="A1186" s="1">
        <v>40361</v>
      </c>
      <c r="B1186">
        <v>0</v>
      </c>
      <c r="C1186" t="s">
        <v>55</v>
      </c>
      <c r="D1186" t="s">
        <v>40</v>
      </c>
      <c r="E1186" t="s">
        <v>30</v>
      </c>
      <c r="F1186">
        <v>79</v>
      </c>
      <c r="G1186" t="s">
        <v>36</v>
      </c>
      <c r="H1186" t="s">
        <v>30</v>
      </c>
      <c r="I1186">
        <v>78</v>
      </c>
      <c r="J1186">
        <v>1</v>
      </c>
      <c r="K1186">
        <v>7</v>
      </c>
      <c r="L1186">
        <v>51</v>
      </c>
      <c r="M1186" t="s">
        <v>20</v>
      </c>
      <c r="N1186" t="s">
        <v>57</v>
      </c>
      <c r="O1186">
        <v>32512</v>
      </c>
      <c r="P1186">
        <v>152</v>
      </c>
      <c r="Q1186" t="s">
        <v>36</v>
      </c>
      <c r="R1186" t="str">
        <f t="shared" si="19"/>
        <v>Yes</v>
      </c>
    </row>
    <row r="1187" spans="1:18" x14ac:dyDescent="0.35">
      <c r="A1187" s="1">
        <v>40361</v>
      </c>
      <c r="B1187">
        <v>0</v>
      </c>
      <c r="C1187" t="s">
        <v>55</v>
      </c>
      <c r="D1187" t="s">
        <v>44</v>
      </c>
      <c r="E1187" t="s">
        <v>30</v>
      </c>
      <c r="F1187">
        <v>79</v>
      </c>
      <c r="G1187" t="s">
        <v>29</v>
      </c>
      <c r="H1187" t="s">
        <v>30</v>
      </c>
      <c r="I1187">
        <v>80</v>
      </c>
      <c r="J1187">
        <v>1</v>
      </c>
      <c r="K1187">
        <v>2</v>
      </c>
      <c r="L1187">
        <v>51</v>
      </c>
      <c r="M1187" t="s">
        <v>20</v>
      </c>
      <c r="N1187" t="s">
        <v>76</v>
      </c>
      <c r="O1187">
        <v>39266</v>
      </c>
      <c r="P1187">
        <v>169</v>
      </c>
      <c r="Q1187" t="s">
        <v>29</v>
      </c>
      <c r="R1187" t="str">
        <f t="shared" si="19"/>
        <v>Yes</v>
      </c>
    </row>
    <row r="1188" spans="1:18" x14ac:dyDescent="0.35">
      <c r="A1188" s="1">
        <v>40361</v>
      </c>
      <c r="B1188">
        <v>0</v>
      </c>
      <c r="C1188" t="s">
        <v>55</v>
      </c>
      <c r="D1188" t="s">
        <v>46</v>
      </c>
      <c r="E1188" t="s">
        <v>30</v>
      </c>
      <c r="F1188">
        <v>81</v>
      </c>
      <c r="G1188" t="s">
        <v>59</v>
      </c>
      <c r="H1188" t="s">
        <v>30</v>
      </c>
      <c r="I1188">
        <v>79</v>
      </c>
      <c r="J1188">
        <v>6</v>
      </c>
      <c r="K1188">
        <v>1</v>
      </c>
      <c r="L1188">
        <v>66</v>
      </c>
      <c r="M1188" t="s">
        <v>38</v>
      </c>
      <c r="N1188" t="s">
        <v>84</v>
      </c>
      <c r="O1188">
        <v>45792</v>
      </c>
      <c r="P1188">
        <v>229</v>
      </c>
      <c r="Q1188" t="s">
        <v>46</v>
      </c>
      <c r="R1188" t="str">
        <f t="shared" si="19"/>
        <v>No</v>
      </c>
    </row>
    <row r="1189" spans="1:18" x14ac:dyDescent="0.35">
      <c r="A1189" s="1">
        <v>40361</v>
      </c>
      <c r="B1189">
        <v>0</v>
      </c>
      <c r="C1189" t="s">
        <v>55</v>
      </c>
      <c r="D1189" t="s">
        <v>34</v>
      </c>
      <c r="E1189" t="s">
        <v>30</v>
      </c>
      <c r="F1189">
        <v>78</v>
      </c>
      <c r="G1189" t="s">
        <v>47</v>
      </c>
      <c r="H1189" t="s">
        <v>30</v>
      </c>
      <c r="I1189">
        <v>79</v>
      </c>
      <c r="J1189">
        <v>5</v>
      </c>
      <c r="K1189">
        <v>3</v>
      </c>
      <c r="L1189">
        <v>54</v>
      </c>
      <c r="M1189" t="s">
        <v>20</v>
      </c>
      <c r="N1189" t="s">
        <v>48</v>
      </c>
      <c r="O1189">
        <v>30193</v>
      </c>
      <c r="P1189">
        <v>174</v>
      </c>
      <c r="Q1189" t="s">
        <v>34</v>
      </c>
      <c r="R1189" t="str">
        <f t="shared" si="19"/>
        <v>No</v>
      </c>
    </row>
    <row r="1190" spans="1:18" x14ac:dyDescent="0.35">
      <c r="A1190" s="1">
        <v>40361</v>
      </c>
      <c r="B1190">
        <v>0</v>
      </c>
      <c r="C1190" t="s">
        <v>55</v>
      </c>
      <c r="D1190" t="s">
        <v>22</v>
      </c>
      <c r="E1190" t="s">
        <v>18</v>
      </c>
      <c r="F1190">
        <v>79</v>
      </c>
      <c r="G1190" t="s">
        <v>60</v>
      </c>
      <c r="H1190" t="s">
        <v>18</v>
      </c>
      <c r="I1190">
        <v>80</v>
      </c>
      <c r="J1190">
        <v>5</v>
      </c>
      <c r="K1190">
        <v>12</v>
      </c>
      <c r="L1190">
        <v>51</v>
      </c>
      <c r="M1190" t="s">
        <v>20</v>
      </c>
      <c r="N1190" t="s">
        <v>61</v>
      </c>
      <c r="O1190">
        <v>23155</v>
      </c>
      <c r="P1190">
        <v>195</v>
      </c>
      <c r="Q1190" t="s">
        <v>60</v>
      </c>
      <c r="R1190" t="str">
        <f t="shared" si="19"/>
        <v>Yes</v>
      </c>
    </row>
    <row r="1191" spans="1:18" x14ac:dyDescent="0.35">
      <c r="A1191" s="1">
        <v>40361</v>
      </c>
      <c r="B1191">
        <v>0</v>
      </c>
      <c r="C1191" t="s">
        <v>55</v>
      </c>
      <c r="D1191" t="s">
        <v>17</v>
      </c>
      <c r="E1191" t="s">
        <v>18</v>
      </c>
      <c r="F1191">
        <v>79</v>
      </c>
      <c r="G1191" t="s">
        <v>50</v>
      </c>
      <c r="H1191" t="s">
        <v>18</v>
      </c>
      <c r="I1191">
        <v>80</v>
      </c>
      <c r="J1191">
        <v>3</v>
      </c>
      <c r="K1191">
        <v>4</v>
      </c>
      <c r="L1191">
        <v>63</v>
      </c>
      <c r="M1191" t="s">
        <v>20</v>
      </c>
      <c r="N1191" t="s">
        <v>51</v>
      </c>
      <c r="O1191">
        <v>34332</v>
      </c>
      <c r="P1191">
        <v>200</v>
      </c>
      <c r="Q1191" t="s">
        <v>50</v>
      </c>
      <c r="R1191" t="str">
        <f t="shared" si="19"/>
        <v>Yes</v>
      </c>
    </row>
    <row r="1192" spans="1:18" x14ac:dyDescent="0.35">
      <c r="A1192" s="1">
        <v>40361</v>
      </c>
      <c r="B1192">
        <v>0</v>
      </c>
      <c r="C1192" t="s">
        <v>55</v>
      </c>
      <c r="D1192" t="s">
        <v>53</v>
      </c>
      <c r="E1192" t="s">
        <v>18</v>
      </c>
      <c r="F1192">
        <v>81</v>
      </c>
      <c r="G1192" t="s">
        <v>49</v>
      </c>
      <c r="H1192" t="s">
        <v>18</v>
      </c>
      <c r="I1192">
        <v>80</v>
      </c>
      <c r="J1192">
        <v>12</v>
      </c>
      <c r="K1192">
        <v>0</v>
      </c>
      <c r="L1192">
        <v>54</v>
      </c>
      <c r="M1192" t="s">
        <v>38</v>
      </c>
      <c r="N1192" t="s">
        <v>79</v>
      </c>
      <c r="O1192">
        <v>40361</v>
      </c>
      <c r="P1192">
        <v>171</v>
      </c>
      <c r="Q1192" t="s">
        <v>53</v>
      </c>
      <c r="R1192" t="str">
        <f t="shared" si="19"/>
        <v>No</v>
      </c>
    </row>
    <row r="1193" spans="1:18" x14ac:dyDescent="0.35">
      <c r="A1193" s="1">
        <v>40361</v>
      </c>
      <c r="B1193">
        <v>0</v>
      </c>
      <c r="C1193" t="s">
        <v>55</v>
      </c>
      <c r="D1193" t="s">
        <v>70</v>
      </c>
      <c r="E1193" t="s">
        <v>18</v>
      </c>
      <c r="F1193">
        <v>79</v>
      </c>
      <c r="G1193" t="s">
        <v>63</v>
      </c>
      <c r="H1193" t="s">
        <v>18</v>
      </c>
      <c r="I1193">
        <v>80</v>
      </c>
      <c r="J1193">
        <v>3</v>
      </c>
      <c r="K1193">
        <v>6</v>
      </c>
      <c r="L1193">
        <v>51</v>
      </c>
      <c r="M1193" t="s">
        <v>20</v>
      </c>
      <c r="N1193" t="s">
        <v>64</v>
      </c>
      <c r="O1193">
        <v>48127</v>
      </c>
      <c r="P1193">
        <v>154</v>
      </c>
      <c r="Q1193" t="s">
        <v>63</v>
      </c>
      <c r="R1193" t="str">
        <f t="shared" si="19"/>
        <v>Yes</v>
      </c>
    </row>
    <row r="1194" spans="1:18" x14ac:dyDescent="0.35">
      <c r="A1194" s="1">
        <v>40361</v>
      </c>
      <c r="B1194">
        <v>0</v>
      </c>
      <c r="C1194" t="s">
        <v>55</v>
      </c>
      <c r="D1194" t="s">
        <v>25</v>
      </c>
      <c r="E1194" t="s">
        <v>18</v>
      </c>
      <c r="F1194">
        <v>78</v>
      </c>
      <c r="G1194" t="s">
        <v>23</v>
      </c>
      <c r="H1194" t="s">
        <v>18</v>
      </c>
      <c r="I1194">
        <v>80</v>
      </c>
      <c r="J1194">
        <v>0</v>
      </c>
      <c r="K1194">
        <v>2</v>
      </c>
      <c r="L1194">
        <v>51</v>
      </c>
      <c r="M1194" t="s">
        <v>20</v>
      </c>
      <c r="N1194" t="s">
        <v>24</v>
      </c>
      <c r="O1194">
        <v>30339</v>
      </c>
      <c r="P1194">
        <v>142</v>
      </c>
      <c r="Q1194" t="s">
        <v>23</v>
      </c>
      <c r="R1194" t="str">
        <f t="shared" si="19"/>
        <v>Yes</v>
      </c>
    </row>
    <row r="1195" spans="1:18" x14ac:dyDescent="0.35">
      <c r="A1195" s="1">
        <v>40361</v>
      </c>
      <c r="B1195">
        <v>0</v>
      </c>
      <c r="C1195" t="s">
        <v>55</v>
      </c>
      <c r="D1195" t="s">
        <v>66</v>
      </c>
      <c r="E1195" t="s">
        <v>18</v>
      </c>
      <c r="F1195">
        <v>81</v>
      </c>
      <c r="G1195" t="s">
        <v>62</v>
      </c>
      <c r="H1195" t="s">
        <v>18</v>
      </c>
      <c r="I1195">
        <v>80</v>
      </c>
      <c r="J1195">
        <v>0</v>
      </c>
      <c r="K1195">
        <v>3</v>
      </c>
      <c r="L1195">
        <v>51</v>
      </c>
      <c r="M1195" t="s">
        <v>20</v>
      </c>
      <c r="N1195" t="s">
        <v>81</v>
      </c>
      <c r="O1195">
        <v>30691</v>
      </c>
      <c r="P1195">
        <v>137</v>
      </c>
      <c r="Q1195" t="s">
        <v>62</v>
      </c>
      <c r="R1195" t="str">
        <f t="shared" si="19"/>
        <v>Yes</v>
      </c>
    </row>
    <row r="1196" spans="1:18" x14ac:dyDescent="0.35">
      <c r="A1196" s="1">
        <v>40361</v>
      </c>
      <c r="B1196">
        <v>0</v>
      </c>
      <c r="C1196" t="s">
        <v>55</v>
      </c>
      <c r="D1196" t="s">
        <v>68</v>
      </c>
      <c r="E1196" t="s">
        <v>18</v>
      </c>
      <c r="F1196">
        <v>80</v>
      </c>
      <c r="G1196" t="s">
        <v>52</v>
      </c>
      <c r="H1196" t="s">
        <v>18</v>
      </c>
      <c r="I1196">
        <v>80</v>
      </c>
      <c r="J1196">
        <v>0</v>
      </c>
      <c r="K1196">
        <v>5</v>
      </c>
      <c r="L1196">
        <v>51</v>
      </c>
      <c r="M1196" t="s">
        <v>20</v>
      </c>
      <c r="N1196" t="s">
        <v>82</v>
      </c>
      <c r="O1196">
        <v>43028</v>
      </c>
      <c r="P1196">
        <v>150</v>
      </c>
      <c r="Q1196" t="s">
        <v>52</v>
      </c>
      <c r="R1196" t="str">
        <f t="shared" si="19"/>
        <v>Yes</v>
      </c>
    </row>
    <row r="1197" spans="1:18" x14ac:dyDescent="0.35">
      <c r="A1197" s="1">
        <v>40361</v>
      </c>
      <c r="B1197">
        <v>0</v>
      </c>
      <c r="C1197" t="s">
        <v>55</v>
      </c>
      <c r="D1197" t="s">
        <v>19</v>
      </c>
      <c r="E1197" t="s">
        <v>18</v>
      </c>
      <c r="F1197">
        <v>80</v>
      </c>
      <c r="G1197" t="s">
        <v>26</v>
      </c>
      <c r="H1197" t="s">
        <v>18</v>
      </c>
      <c r="I1197">
        <v>81</v>
      </c>
      <c r="J1197">
        <v>5</v>
      </c>
      <c r="K1197">
        <v>3</v>
      </c>
      <c r="L1197">
        <v>54</v>
      </c>
      <c r="M1197" t="s">
        <v>20</v>
      </c>
      <c r="N1197" t="s">
        <v>27</v>
      </c>
      <c r="O1197">
        <v>24410</v>
      </c>
      <c r="P1197">
        <v>176</v>
      </c>
      <c r="Q1197" t="s">
        <v>19</v>
      </c>
      <c r="R1197" t="str">
        <f t="shared" si="19"/>
        <v>No</v>
      </c>
    </row>
    <row r="1198" spans="1:18" x14ac:dyDescent="0.35">
      <c r="A1198" s="1">
        <v>40362</v>
      </c>
      <c r="B1198">
        <v>0</v>
      </c>
      <c r="C1198" t="s">
        <v>72</v>
      </c>
      <c r="D1198" t="s">
        <v>37</v>
      </c>
      <c r="E1198" t="s">
        <v>30</v>
      </c>
      <c r="F1198">
        <v>81</v>
      </c>
      <c r="G1198" t="s">
        <v>31</v>
      </c>
      <c r="H1198" t="s">
        <v>30</v>
      </c>
      <c r="I1198">
        <v>83</v>
      </c>
      <c r="J1198">
        <v>4</v>
      </c>
      <c r="K1198">
        <v>2</v>
      </c>
      <c r="L1198">
        <v>54</v>
      </c>
      <c r="M1198" t="s">
        <v>20</v>
      </c>
      <c r="N1198" t="s">
        <v>32</v>
      </c>
      <c r="O1198">
        <v>39112</v>
      </c>
      <c r="P1198">
        <v>159</v>
      </c>
      <c r="Q1198" t="s">
        <v>37</v>
      </c>
      <c r="R1198" t="str">
        <f t="shared" si="19"/>
        <v>No</v>
      </c>
    </row>
    <row r="1199" spans="1:18" x14ac:dyDescent="0.35">
      <c r="A1199" s="1">
        <v>40362</v>
      </c>
      <c r="B1199">
        <v>0</v>
      </c>
      <c r="C1199" t="s">
        <v>72</v>
      </c>
      <c r="D1199" t="s">
        <v>43</v>
      </c>
      <c r="E1199" t="s">
        <v>30</v>
      </c>
      <c r="F1199">
        <v>80</v>
      </c>
      <c r="G1199" t="s">
        <v>58</v>
      </c>
      <c r="H1199" t="s">
        <v>30</v>
      </c>
      <c r="I1199">
        <v>81</v>
      </c>
      <c r="J1199">
        <v>3</v>
      </c>
      <c r="K1199">
        <v>9</v>
      </c>
      <c r="L1199">
        <v>51</v>
      </c>
      <c r="M1199" t="s">
        <v>20</v>
      </c>
      <c r="N1199" t="s">
        <v>86</v>
      </c>
      <c r="O1199">
        <v>38106</v>
      </c>
      <c r="P1199">
        <v>176</v>
      </c>
      <c r="Q1199" t="s">
        <v>58</v>
      </c>
      <c r="R1199" t="str">
        <f t="shared" si="19"/>
        <v>Yes</v>
      </c>
    </row>
    <row r="1200" spans="1:18" x14ac:dyDescent="0.35">
      <c r="A1200" s="1">
        <v>40362</v>
      </c>
      <c r="B1200">
        <v>0</v>
      </c>
      <c r="C1200" t="s">
        <v>72</v>
      </c>
      <c r="D1200" t="s">
        <v>41</v>
      </c>
      <c r="E1200" t="s">
        <v>30</v>
      </c>
      <c r="F1200">
        <v>82</v>
      </c>
      <c r="G1200" t="s">
        <v>33</v>
      </c>
      <c r="H1200" t="s">
        <v>30</v>
      </c>
      <c r="I1200">
        <v>80</v>
      </c>
      <c r="J1200">
        <v>4</v>
      </c>
      <c r="K1200">
        <v>5</v>
      </c>
      <c r="L1200">
        <v>59</v>
      </c>
      <c r="M1200" t="s">
        <v>20</v>
      </c>
      <c r="N1200" t="s">
        <v>75</v>
      </c>
      <c r="O1200">
        <v>25483</v>
      </c>
      <c r="P1200">
        <v>202</v>
      </c>
      <c r="Q1200" t="s">
        <v>33</v>
      </c>
      <c r="R1200" t="str">
        <f t="shared" si="19"/>
        <v>Yes</v>
      </c>
    </row>
    <row r="1201" spans="1:18" x14ac:dyDescent="0.35">
      <c r="A1201" s="1">
        <v>40362</v>
      </c>
      <c r="B1201">
        <v>0</v>
      </c>
      <c r="C1201" t="s">
        <v>72</v>
      </c>
      <c r="D1201" t="s">
        <v>40</v>
      </c>
      <c r="E1201" t="s">
        <v>30</v>
      </c>
      <c r="F1201">
        <v>80</v>
      </c>
      <c r="G1201" t="s">
        <v>36</v>
      </c>
      <c r="H1201" t="s">
        <v>30</v>
      </c>
      <c r="I1201">
        <v>79</v>
      </c>
      <c r="J1201">
        <v>1</v>
      </c>
      <c r="K1201">
        <v>6</v>
      </c>
      <c r="L1201">
        <v>51</v>
      </c>
      <c r="M1201" t="s">
        <v>20</v>
      </c>
      <c r="N1201" t="s">
        <v>57</v>
      </c>
      <c r="O1201">
        <v>32430</v>
      </c>
      <c r="P1201">
        <v>161</v>
      </c>
      <c r="Q1201" t="s">
        <v>36</v>
      </c>
      <c r="R1201" t="str">
        <f t="shared" si="19"/>
        <v>Yes</v>
      </c>
    </row>
    <row r="1202" spans="1:18" x14ac:dyDescent="0.35">
      <c r="A1202" s="1">
        <v>40362</v>
      </c>
      <c r="B1202">
        <v>0</v>
      </c>
      <c r="C1202" t="s">
        <v>72</v>
      </c>
      <c r="D1202" t="s">
        <v>44</v>
      </c>
      <c r="E1202" t="s">
        <v>30</v>
      </c>
      <c r="F1202">
        <v>80</v>
      </c>
      <c r="G1202" t="s">
        <v>29</v>
      </c>
      <c r="H1202" t="s">
        <v>30</v>
      </c>
      <c r="I1202">
        <v>81</v>
      </c>
      <c r="J1202">
        <v>8</v>
      </c>
      <c r="K1202">
        <v>6</v>
      </c>
      <c r="L1202">
        <v>54</v>
      </c>
      <c r="M1202" t="s">
        <v>38</v>
      </c>
      <c r="N1202" t="s">
        <v>76</v>
      </c>
      <c r="O1202">
        <v>40852</v>
      </c>
      <c r="P1202">
        <v>192</v>
      </c>
      <c r="Q1202" t="s">
        <v>44</v>
      </c>
      <c r="R1202" t="str">
        <f t="shared" si="19"/>
        <v>No</v>
      </c>
    </row>
    <row r="1203" spans="1:18" x14ac:dyDescent="0.35">
      <c r="A1203" s="1">
        <v>40362</v>
      </c>
      <c r="B1203">
        <v>0</v>
      </c>
      <c r="C1203" t="s">
        <v>72</v>
      </c>
      <c r="D1203" t="s">
        <v>46</v>
      </c>
      <c r="E1203" t="s">
        <v>30</v>
      </c>
      <c r="F1203">
        <v>82</v>
      </c>
      <c r="G1203" t="s">
        <v>59</v>
      </c>
      <c r="H1203" t="s">
        <v>30</v>
      </c>
      <c r="I1203">
        <v>80</v>
      </c>
      <c r="J1203">
        <v>3</v>
      </c>
      <c r="K1203">
        <v>11</v>
      </c>
      <c r="L1203">
        <v>51</v>
      </c>
      <c r="M1203" t="s">
        <v>38</v>
      </c>
      <c r="N1203" t="s">
        <v>84</v>
      </c>
      <c r="O1203">
        <v>46364</v>
      </c>
      <c r="P1203">
        <v>165</v>
      </c>
      <c r="Q1203" t="s">
        <v>59</v>
      </c>
      <c r="R1203" t="str">
        <f t="shared" si="19"/>
        <v>Yes</v>
      </c>
    </row>
    <row r="1204" spans="1:18" x14ac:dyDescent="0.35">
      <c r="A1204" s="1">
        <v>40362</v>
      </c>
      <c r="B1204">
        <v>0</v>
      </c>
      <c r="C1204" t="s">
        <v>72</v>
      </c>
      <c r="D1204" t="s">
        <v>34</v>
      </c>
      <c r="E1204" t="s">
        <v>30</v>
      </c>
      <c r="F1204">
        <v>79</v>
      </c>
      <c r="G1204" t="s">
        <v>47</v>
      </c>
      <c r="H1204" t="s">
        <v>30</v>
      </c>
      <c r="I1204">
        <v>80</v>
      </c>
      <c r="J1204">
        <v>1</v>
      </c>
      <c r="K1204">
        <v>3</v>
      </c>
      <c r="L1204">
        <v>51</v>
      </c>
      <c r="M1204" t="s">
        <v>20</v>
      </c>
      <c r="N1204" t="s">
        <v>48</v>
      </c>
      <c r="O1204">
        <v>25986</v>
      </c>
      <c r="P1204">
        <v>153</v>
      </c>
      <c r="Q1204" t="s">
        <v>47</v>
      </c>
      <c r="R1204" t="str">
        <f t="shared" si="19"/>
        <v>Yes</v>
      </c>
    </row>
    <row r="1205" spans="1:18" x14ac:dyDescent="0.35">
      <c r="A1205" s="1">
        <v>40362</v>
      </c>
      <c r="B1205">
        <v>0</v>
      </c>
      <c r="C1205" t="s">
        <v>72</v>
      </c>
      <c r="D1205" t="s">
        <v>22</v>
      </c>
      <c r="E1205" t="s">
        <v>18</v>
      </c>
      <c r="F1205">
        <v>80</v>
      </c>
      <c r="G1205" t="s">
        <v>60</v>
      </c>
      <c r="H1205" t="s">
        <v>18</v>
      </c>
      <c r="I1205">
        <v>81</v>
      </c>
      <c r="J1205">
        <v>14</v>
      </c>
      <c r="K1205">
        <v>1</v>
      </c>
      <c r="L1205">
        <v>54</v>
      </c>
      <c r="M1205" t="s">
        <v>20</v>
      </c>
      <c r="N1205" t="s">
        <v>61</v>
      </c>
      <c r="O1205">
        <v>44169</v>
      </c>
      <c r="P1205">
        <v>191</v>
      </c>
      <c r="Q1205" t="s">
        <v>22</v>
      </c>
      <c r="R1205" t="str">
        <f t="shared" si="19"/>
        <v>No</v>
      </c>
    </row>
    <row r="1206" spans="1:18" x14ac:dyDescent="0.35">
      <c r="A1206" s="1">
        <v>40362</v>
      </c>
      <c r="B1206">
        <v>0</v>
      </c>
      <c r="C1206" t="s">
        <v>72</v>
      </c>
      <c r="D1206" t="s">
        <v>17</v>
      </c>
      <c r="E1206" t="s">
        <v>18</v>
      </c>
      <c r="F1206">
        <v>80</v>
      </c>
      <c r="G1206" t="s">
        <v>50</v>
      </c>
      <c r="H1206" t="s">
        <v>18</v>
      </c>
      <c r="I1206">
        <v>81</v>
      </c>
      <c r="J1206">
        <v>1</v>
      </c>
      <c r="K1206">
        <v>4</v>
      </c>
      <c r="L1206">
        <v>51</v>
      </c>
      <c r="M1206" t="s">
        <v>38</v>
      </c>
      <c r="N1206" t="s">
        <v>51</v>
      </c>
      <c r="O1206">
        <v>30148</v>
      </c>
      <c r="P1206">
        <v>166</v>
      </c>
      <c r="Q1206" t="s">
        <v>50</v>
      </c>
      <c r="R1206" t="str">
        <f t="shared" si="19"/>
        <v>Yes</v>
      </c>
    </row>
    <row r="1207" spans="1:18" x14ac:dyDescent="0.35">
      <c r="A1207" s="1">
        <v>40362</v>
      </c>
      <c r="B1207">
        <v>0</v>
      </c>
      <c r="C1207" t="s">
        <v>72</v>
      </c>
      <c r="D1207" t="s">
        <v>53</v>
      </c>
      <c r="E1207" t="s">
        <v>18</v>
      </c>
      <c r="F1207">
        <v>82</v>
      </c>
      <c r="G1207" t="s">
        <v>49</v>
      </c>
      <c r="H1207" t="s">
        <v>18</v>
      </c>
      <c r="I1207">
        <v>81</v>
      </c>
      <c r="J1207">
        <v>1</v>
      </c>
      <c r="K1207">
        <v>3</v>
      </c>
      <c r="L1207">
        <v>51</v>
      </c>
      <c r="M1207" t="s">
        <v>38</v>
      </c>
      <c r="N1207" t="s">
        <v>79</v>
      </c>
      <c r="O1207">
        <v>40677</v>
      </c>
      <c r="P1207">
        <v>169</v>
      </c>
      <c r="Q1207" t="s">
        <v>49</v>
      </c>
      <c r="R1207" t="str">
        <f t="shared" si="19"/>
        <v>Yes</v>
      </c>
    </row>
    <row r="1208" spans="1:18" x14ac:dyDescent="0.35">
      <c r="A1208" s="1">
        <v>40362</v>
      </c>
      <c r="B1208">
        <v>0</v>
      </c>
      <c r="C1208" t="s">
        <v>72</v>
      </c>
      <c r="D1208" t="s">
        <v>70</v>
      </c>
      <c r="E1208" t="s">
        <v>18</v>
      </c>
      <c r="F1208">
        <v>80</v>
      </c>
      <c r="G1208" t="s">
        <v>63</v>
      </c>
      <c r="H1208" t="s">
        <v>18</v>
      </c>
      <c r="I1208">
        <v>81</v>
      </c>
      <c r="J1208">
        <v>11</v>
      </c>
      <c r="K1208">
        <v>8</v>
      </c>
      <c r="L1208">
        <v>54</v>
      </c>
      <c r="M1208" t="s">
        <v>20</v>
      </c>
      <c r="N1208" t="s">
        <v>64</v>
      </c>
      <c r="O1208">
        <v>49271</v>
      </c>
      <c r="P1208">
        <v>195</v>
      </c>
      <c r="Q1208" t="s">
        <v>70</v>
      </c>
      <c r="R1208" t="str">
        <f t="shared" si="19"/>
        <v>No</v>
      </c>
    </row>
    <row r="1209" spans="1:18" x14ac:dyDescent="0.35">
      <c r="A1209" s="1">
        <v>40362</v>
      </c>
      <c r="B1209">
        <v>0</v>
      </c>
      <c r="C1209" t="s">
        <v>72</v>
      </c>
      <c r="D1209" t="s">
        <v>25</v>
      </c>
      <c r="E1209" t="s">
        <v>18</v>
      </c>
      <c r="F1209">
        <v>79</v>
      </c>
      <c r="G1209" t="s">
        <v>23</v>
      </c>
      <c r="H1209" t="s">
        <v>18</v>
      </c>
      <c r="I1209">
        <v>81</v>
      </c>
      <c r="J1209">
        <v>12</v>
      </c>
      <c r="K1209">
        <v>4</v>
      </c>
      <c r="L1209">
        <v>54</v>
      </c>
      <c r="M1209" t="s">
        <v>20</v>
      </c>
      <c r="N1209" t="s">
        <v>24</v>
      </c>
      <c r="O1209">
        <v>38052</v>
      </c>
      <c r="P1209">
        <v>170</v>
      </c>
      <c r="Q1209" t="s">
        <v>25</v>
      </c>
      <c r="R1209" t="str">
        <f t="shared" si="19"/>
        <v>No</v>
      </c>
    </row>
    <row r="1210" spans="1:18" x14ac:dyDescent="0.35">
      <c r="A1210" s="1">
        <v>40362</v>
      </c>
      <c r="B1210">
        <v>0</v>
      </c>
      <c r="C1210" t="s">
        <v>72</v>
      </c>
      <c r="D1210" t="s">
        <v>66</v>
      </c>
      <c r="E1210" t="s">
        <v>18</v>
      </c>
      <c r="F1210">
        <v>82</v>
      </c>
      <c r="G1210" t="s">
        <v>62</v>
      </c>
      <c r="H1210" t="s">
        <v>18</v>
      </c>
      <c r="I1210">
        <v>81</v>
      </c>
      <c r="J1210">
        <v>0</v>
      </c>
      <c r="K1210">
        <v>1</v>
      </c>
      <c r="L1210">
        <v>51</v>
      </c>
      <c r="M1210" t="s">
        <v>20</v>
      </c>
      <c r="N1210" t="s">
        <v>81</v>
      </c>
      <c r="O1210">
        <v>40042</v>
      </c>
      <c r="P1210">
        <v>152</v>
      </c>
      <c r="Q1210" t="s">
        <v>62</v>
      </c>
      <c r="R1210" t="str">
        <f t="shared" si="19"/>
        <v>Yes</v>
      </c>
    </row>
    <row r="1211" spans="1:18" x14ac:dyDescent="0.35">
      <c r="A1211" s="1">
        <v>40362</v>
      </c>
      <c r="B1211">
        <v>0</v>
      </c>
      <c r="C1211" t="s">
        <v>72</v>
      </c>
      <c r="D1211" t="s">
        <v>68</v>
      </c>
      <c r="E1211" t="s">
        <v>18</v>
      </c>
      <c r="F1211">
        <v>81</v>
      </c>
      <c r="G1211" t="s">
        <v>52</v>
      </c>
      <c r="H1211" t="s">
        <v>18</v>
      </c>
      <c r="I1211">
        <v>81</v>
      </c>
      <c r="J1211">
        <v>12</v>
      </c>
      <c r="K1211">
        <v>5</v>
      </c>
      <c r="L1211">
        <v>54</v>
      </c>
      <c r="M1211" t="s">
        <v>20</v>
      </c>
      <c r="N1211" t="s">
        <v>82</v>
      </c>
      <c r="O1211">
        <v>43276</v>
      </c>
      <c r="P1211">
        <v>198</v>
      </c>
      <c r="Q1211" t="s">
        <v>68</v>
      </c>
      <c r="R1211" t="str">
        <f t="shared" si="19"/>
        <v>No</v>
      </c>
    </row>
    <row r="1212" spans="1:18" x14ac:dyDescent="0.35">
      <c r="A1212" s="1">
        <v>40362</v>
      </c>
      <c r="B1212">
        <v>0</v>
      </c>
      <c r="C1212" t="s">
        <v>72</v>
      </c>
      <c r="D1212" t="s">
        <v>19</v>
      </c>
      <c r="E1212" t="s">
        <v>18</v>
      </c>
      <c r="F1212">
        <v>81</v>
      </c>
      <c r="G1212" t="s">
        <v>26</v>
      </c>
      <c r="H1212" t="s">
        <v>18</v>
      </c>
      <c r="I1212">
        <v>82</v>
      </c>
      <c r="J1212">
        <v>5</v>
      </c>
      <c r="K1212">
        <v>6</v>
      </c>
      <c r="L1212">
        <v>52</v>
      </c>
      <c r="M1212" t="s">
        <v>38</v>
      </c>
      <c r="N1212" t="s">
        <v>27</v>
      </c>
      <c r="O1212">
        <v>39214</v>
      </c>
      <c r="P1212">
        <v>214</v>
      </c>
      <c r="Q1212" t="s">
        <v>26</v>
      </c>
      <c r="R1212" t="str">
        <f t="shared" si="19"/>
        <v>Yes</v>
      </c>
    </row>
    <row r="1213" spans="1:18" x14ac:dyDescent="0.35">
      <c r="A1213" s="1">
        <v>40363</v>
      </c>
      <c r="B1213">
        <v>0</v>
      </c>
      <c r="C1213" t="s">
        <v>73</v>
      </c>
      <c r="D1213" t="s">
        <v>37</v>
      </c>
      <c r="E1213" t="s">
        <v>30</v>
      </c>
      <c r="F1213">
        <v>82</v>
      </c>
      <c r="G1213" t="s">
        <v>31</v>
      </c>
      <c r="H1213" t="s">
        <v>30</v>
      </c>
      <c r="I1213">
        <v>84</v>
      </c>
      <c r="J1213">
        <v>0</v>
      </c>
      <c r="K1213">
        <v>11</v>
      </c>
      <c r="L1213">
        <v>51</v>
      </c>
      <c r="M1213" t="s">
        <v>20</v>
      </c>
      <c r="N1213" t="s">
        <v>32</v>
      </c>
      <c r="O1213">
        <v>42116</v>
      </c>
      <c r="P1213">
        <v>166</v>
      </c>
      <c r="Q1213" t="s">
        <v>31</v>
      </c>
      <c r="R1213" t="str">
        <f t="shared" si="19"/>
        <v>Yes</v>
      </c>
    </row>
    <row r="1214" spans="1:18" x14ac:dyDescent="0.35">
      <c r="A1214" s="1">
        <v>40363</v>
      </c>
      <c r="B1214">
        <v>0</v>
      </c>
      <c r="C1214" t="s">
        <v>73</v>
      </c>
      <c r="D1214" t="s">
        <v>43</v>
      </c>
      <c r="E1214" t="s">
        <v>30</v>
      </c>
      <c r="F1214">
        <v>81</v>
      </c>
      <c r="G1214" t="s">
        <v>58</v>
      </c>
      <c r="H1214" t="s">
        <v>30</v>
      </c>
      <c r="I1214">
        <v>82</v>
      </c>
      <c r="J1214">
        <v>6</v>
      </c>
      <c r="K1214">
        <v>1</v>
      </c>
      <c r="L1214">
        <v>54</v>
      </c>
      <c r="M1214" t="s">
        <v>38</v>
      </c>
      <c r="N1214" t="s">
        <v>86</v>
      </c>
      <c r="O1214">
        <v>37742</v>
      </c>
      <c r="P1214">
        <v>168</v>
      </c>
      <c r="Q1214" t="s">
        <v>43</v>
      </c>
      <c r="R1214" t="str">
        <f t="shared" si="19"/>
        <v>No</v>
      </c>
    </row>
    <row r="1215" spans="1:18" x14ac:dyDescent="0.35">
      <c r="A1215" s="1">
        <v>40363</v>
      </c>
      <c r="B1215">
        <v>0</v>
      </c>
      <c r="C1215" t="s">
        <v>73</v>
      </c>
      <c r="D1215" t="s">
        <v>41</v>
      </c>
      <c r="E1215" t="s">
        <v>30</v>
      </c>
      <c r="F1215">
        <v>83</v>
      </c>
      <c r="G1215" t="s">
        <v>33</v>
      </c>
      <c r="H1215" t="s">
        <v>30</v>
      </c>
      <c r="I1215">
        <v>81</v>
      </c>
      <c r="J1215">
        <v>3</v>
      </c>
      <c r="K1215">
        <v>1</v>
      </c>
      <c r="L1215">
        <v>54</v>
      </c>
      <c r="M1215" t="s">
        <v>38</v>
      </c>
      <c r="N1215" t="s">
        <v>75</v>
      </c>
      <c r="O1215">
        <v>13940</v>
      </c>
      <c r="P1215">
        <v>141</v>
      </c>
      <c r="Q1215" t="s">
        <v>41</v>
      </c>
      <c r="R1215" t="str">
        <f t="shared" si="19"/>
        <v>No</v>
      </c>
    </row>
    <row r="1216" spans="1:18" x14ac:dyDescent="0.35">
      <c r="A1216" s="1">
        <v>40363</v>
      </c>
      <c r="B1216">
        <v>0</v>
      </c>
      <c r="C1216" t="s">
        <v>73</v>
      </c>
      <c r="D1216" t="s">
        <v>40</v>
      </c>
      <c r="E1216" t="s">
        <v>30</v>
      </c>
      <c r="F1216">
        <v>81</v>
      </c>
      <c r="G1216" t="s">
        <v>36</v>
      </c>
      <c r="H1216" t="s">
        <v>30</v>
      </c>
      <c r="I1216">
        <v>80</v>
      </c>
      <c r="J1216">
        <v>8</v>
      </c>
      <c r="K1216">
        <v>1</v>
      </c>
      <c r="L1216">
        <v>54</v>
      </c>
      <c r="M1216" t="s">
        <v>38</v>
      </c>
      <c r="N1216" t="s">
        <v>57</v>
      </c>
      <c r="O1216">
        <v>24899</v>
      </c>
      <c r="P1216">
        <v>169</v>
      </c>
      <c r="Q1216" t="s">
        <v>40</v>
      </c>
      <c r="R1216" t="str">
        <f t="shared" si="19"/>
        <v>No</v>
      </c>
    </row>
    <row r="1217" spans="1:18" x14ac:dyDescent="0.35">
      <c r="A1217" s="1">
        <v>40363</v>
      </c>
      <c r="B1217">
        <v>0</v>
      </c>
      <c r="C1217" t="s">
        <v>73</v>
      </c>
      <c r="D1217" t="s">
        <v>44</v>
      </c>
      <c r="E1217" t="s">
        <v>30</v>
      </c>
      <c r="F1217">
        <v>81</v>
      </c>
      <c r="G1217" t="s">
        <v>29</v>
      </c>
      <c r="H1217" t="s">
        <v>30</v>
      </c>
      <c r="I1217">
        <v>82</v>
      </c>
      <c r="J1217">
        <v>7</v>
      </c>
      <c r="K1217">
        <v>4</v>
      </c>
      <c r="L1217">
        <v>54</v>
      </c>
      <c r="M1217" t="s">
        <v>38</v>
      </c>
      <c r="N1217" t="s">
        <v>76</v>
      </c>
      <c r="O1217">
        <v>40328</v>
      </c>
      <c r="P1217">
        <v>189</v>
      </c>
      <c r="Q1217" t="s">
        <v>44</v>
      </c>
      <c r="R1217" t="str">
        <f t="shared" si="19"/>
        <v>No</v>
      </c>
    </row>
    <row r="1218" spans="1:18" x14ac:dyDescent="0.35">
      <c r="A1218" s="1">
        <v>40363</v>
      </c>
      <c r="B1218">
        <v>0</v>
      </c>
      <c r="C1218" t="s">
        <v>73</v>
      </c>
      <c r="D1218" t="s">
        <v>46</v>
      </c>
      <c r="E1218" t="s">
        <v>30</v>
      </c>
      <c r="F1218">
        <v>83</v>
      </c>
      <c r="G1218" t="s">
        <v>59</v>
      </c>
      <c r="H1218" t="s">
        <v>30</v>
      </c>
      <c r="I1218">
        <v>81</v>
      </c>
      <c r="J1218">
        <v>6</v>
      </c>
      <c r="K1218">
        <v>7</v>
      </c>
      <c r="L1218">
        <v>59</v>
      </c>
      <c r="M1218" t="s">
        <v>38</v>
      </c>
      <c r="N1218" t="s">
        <v>84</v>
      </c>
      <c r="O1218">
        <v>46810</v>
      </c>
      <c r="P1218">
        <v>231</v>
      </c>
      <c r="Q1218" t="s">
        <v>59</v>
      </c>
      <c r="R1218" t="str">
        <f t="shared" si="19"/>
        <v>Yes</v>
      </c>
    </row>
    <row r="1219" spans="1:18" x14ac:dyDescent="0.35">
      <c r="A1219" s="1">
        <v>40363</v>
      </c>
      <c r="B1219">
        <v>0</v>
      </c>
      <c r="C1219" t="s">
        <v>73</v>
      </c>
      <c r="D1219" t="s">
        <v>34</v>
      </c>
      <c r="E1219" t="s">
        <v>30</v>
      </c>
      <c r="F1219">
        <v>80</v>
      </c>
      <c r="G1219" t="s">
        <v>47</v>
      </c>
      <c r="H1219" t="s">
        <v>30</v>
      </c>
      <c r="I1219">
        <v>81</v>
      </c>
      <c r="J1219">
        <v>5</v>
      </c>
      <c r="K1219">
        <v>3</v>
      </c>
      <c r="L1219">
        <v>54</v>
      </c>
      <c r="M1219" t="s">
        <v>20</v>
      </c>
      <c r="N1219" t="s">
        <v>48</v>
      </c>
      <c r="O1219">
        <v>45020</v>
      </c>
      <c r="P1219">
        <v>147</v>
      </c>
      <c r="Q1219" t="s">
        <v>34</v>
      </c>
      <c r="R1219" t="str">
        <f t="shared" ref="R1219:R1282" si="20">IF(K1219&gt;J1219,"Yes","No")</f>
        <v>No</v>
      </c>
    </row>
    <row r="1220" spans="1:18" x14ac:dyDescent="0.35">
      <c r="A1220" s="1">
        <v>40363</v>
      </c>
      <c r="B1220">
        <v>0</v>
      </c>
      <c r="C1220" t="s">
        <v>73</v>
      </c>
      <c r="D1220" t="s">
        <v>22</v>
      </c>
      <c r="E1220" t="s">
        <v>18</v>
      </c>
      <c r="F1220">
        <v>81</v>
      </c>
      <c r="G1220" t="s">
        <v>60</v>
      </c>
      <c r="H1220" t="s">
        <v>18</v>
      </c>
      <c r="I1220">
        <v>82</v>
      </c>
      <c r="J1220">
        <v>3</v>
      </c>
      <c r="K1220">
        <v>1</v>
      </c>
      <c r="L1220">
        <v>54</v>
      </c>
      <c r="M1220" t="s">
        <v>38</v>
      </c>
      <c r="N1220" t="s">
        <v>61</v>
      </c>
      <c r="O1220">
        <v>26517</v>
      </c>
      <c r="P1220">
        <v>177</v>
      </c>
      <c r="Q1220" t="s">
        <v>22</v>
      </c>
      <c r="R1220" t="str">
        <f t="shared" si="20"/>
        <v>No</v>
      </c>
    </row>
    <row r="1221" spans="1:18" x14ac:dyDescent="0.35">
      <c r="A1221" s="1">
        <v>40363</v>
      </c>
      <c r="B1221">
        <v>0</v>
      </c>
      <c r="C1221" t="s">
        <v>73</v>
      </c>
      <c r="D1221" t="s">
        <v>17</v>
      </c>
      <c r="E1221" t="s">
        <v>18</v>
      </c>
      <c r="F1221">
        <v>81</v>
      </c>
      <c r="G1221" t="s">
        <v>50</v>
      </c>
      <c r="H1221" t="s">
        <v>18</v>
      </c>
      <c r="I1221">
        <v>82</v>
      </c>
      <c r="J1221">
        <v>3</v>
      </c>
      <c r="K1221">
        <v>2</v>
      </c>
      <c r="L1221">
        <v>54</v>
      </c>
      <c r="M1221" t="s">
        <v>20</v>
      </c>
      <c r="N1221" t="s">
        <v>51</v>
      </c>
      <c r="O1221">
        <v>44163</v>
      </c>
      <c r="P1221">
        <v>175</v>
      </c>
      <c r="Q1221" t="s">
        <v>17</v>
      </c>
      <c r="R1221" t="str">
        <f t="shared" si="20"/>
        <v>No</v>
      </c>
    </row>
    <row r="1222" spans="1:18" x14ac:dyDescent="0.35">
      <c r="A1222" s="1">
        <v>40363</v>
      </c>
      <c r="B1222">
        <v>0</v>
      </c>
      <c r="C1222" t="s">
        <v>73</v>
      </c>
      <c r="D1222" t="s">
        <v>53</v>
      </c>
      <c r="E1222" t="s">
        <v>18</v>
      </c>
      <c r="F1222">
        <v>83</v>
      </c>
      <c r="G1222" t="s">
        <v>49</v>
      </c>
      <c r="H1222" t="s">
        <v>18</v>
      </c>
      <c r="I1222">
        <v>82</v>
      </c>
      <c r="J1222">
        <v>14</v>
      </c>
      <c r="K1222">
        <v>3</v>
      </c>
      <c r="L1222">
        <v>54</v>
      </c>
      <c r="M1222" t="s">
        <v>38</v>
      </c>
      <c r="N1222" t="s">
        <v>79</v>
      </c>
      <c r="O1222">
        <v>41079</v>
      </c>
      <c r="P1222">
        <v>160</v>
      </c>
      <c r="Q1222" t="s">
        <v>53</v>
      </c>
      <c r="R1222" t="str">
        <f t="shared" si="20"/>
        <v>No</v>
      </c>
    </row>
    <row r="1223" spans="1:18" x14ac:dyDescent="0.35">
      <c r="A1223" s="1">
        <v>40363</v>
      </c>
      <c r="B1223">
        <v>0</v>
      </c>
      <c r="C1223" t="s">
        <v>73</v>
      </c>
      <c r="D1223" t="s">
        <v>70</v>
      </c>
      <c r="E1223" t="s">
        <v>18</v>
      </c>
      <c r="F1223">
        <v>81</v>
      </c>
      <c r="G1223" t="s">
        <v>63</v>
      </c>
      <c r="H1223" t="s">
        <v>18</v>
      </c>
      <c r="I1223">
        <v>82</v>
      </c>
      <c r="J1223">
        <v>3</v>
      </c>
      <c r="K1223">
        <v>4</v>
      </c>
      <c r="L1223">
        <v>88</v>
      </c>
      <c r="M1223" t="s">
        <v>38</v>
      </c>
      <c r="N1223" t="s">
        <v>64</v>
      </c>
      <c r="O1223">
        <v>35274</v>
      </c>
      <c r="P1223">
        <v>324</v>
      </c>
      <c r="Q1223" t="s">
        <v>63</v>
      </c>
      <c r="R1223" t="str">
        <f t="shared" si="20"/>
        <v>Yes</v>
      </c>
    </row>
    <row r="1224" spans="1:18" x14ac:dyDescent="0.35">
      <c r="A1224" s="1">
        <v>40363</v>
      </c>
      <c r="B1224">
        <v>0</v>
      </c>
      <c r="C1224" t="s">
        <v>73</v>
      </c>
      <c r="D1224" t="s">
        <v>25</v>
      </c>
      <c r="E1224" t="s">
        <v>18</v>
      </c>
      <c r="F1224">
        <v>80</v>
      </c>
      <c r="G1224" t="s">
        <v>23</v>
      </c>
      <c r="H1224" t="s">
        <v>18</v>
      </c>
      <c r="I1224">
        <v>82</v>
      </c>
      <c r="J1224">
        <v>5</v>
      </c>
      <c r="K1224">
        <v>8</v>
      </c>
      <c r="L1224">
        <v>51</v>
      </c>
      <c r="M1224" t="s">
        <v>38</v>
      </c>
      <c r="N1224" t="s">
        <v>24</v>
      </c>
      <c r="O1224">
        <v>28698</v>
      </c>
      <c r="P1224">
        <v>165</v>
      </c>
      <c r="Q1224" t="s">
        <v>23</v>
      </c>
      <c r="R1224" t="str">
        <f t="shared" si="20"/>
        <v>Yes</v>
      </c>
    </row>
    <row r="1225" spans="1:18" x14ac:dyDescent="0.35">
      <c r="A1225" s="1">
        <v>40363</v>
      </c>
      <c r="B1225">
        <v>0</v>
      </c>
      <c r="C1225" t="s">
        <v>73</v>
      </c>
      <c r="D1225" t="s">
        <v>66</v>
      </c>
      <c r="E1225" t="s">
        <v>18</v>
      </c>
      <c r="F1225">
        <v>83</v>
      </c>
      <c r="G1225" t="s">
        <v>62</v>
      </c>
      <c r="H1225" t="s">
        <v>18</v>
      </c>
      <c r="I1225">
        <v>82</v>
      </c>
      <c r="J1225">
        <v>2</v>
      </c>
      <c r="K1225">
        <v>3</v>
      </c>
      <c r="L1225">
        <v>52</v>
      </c>
      <c r="M1225" t="s">
        <v>38</v>
      </c>
      <c r="N1225" t="s">
        <v>81</v>
      </c>
      <c r="O1225">
        <v>23498</v>
      </c>
      <c r="P1225">
        <v>140</v>
      </c>
      <c r="Q1225" t="s">
        <v>62</v>
      </c>
      <c r="R1225" t="str">
        <f t="shared" si="20"/>
        <v>Yes</v>
      </c>
    </row>
    <row r="1226" spans="1:18" x14ac:dyDescent="0.35">
      <c r="A1226" s="1">
        <v>40363</v>
      </c>
      <c r="B1226">
        <v>0</v>
      </c>
      <c r="C1226" t="s">
        <v>73</v>
      </c>
      <c r="D1226" t="s">
        <v>68</v>
      </c>
      <c r="E1226" t="s">
        <v>18</v>
      </c>
      <c r="F1226">
        <v>82</v>
      </c>
      <c r="G1226" t="s">
        <v>52</v>
      </c>
      <c r="H1226" t="s">
        <v>18</v>
      </c>
      <c r="I1226">
        <v>82</v>
      </c>
      <c r="J1226">
        <v>1</v>
      </c>
      <c r="K1226">
        <v>7</v>
      </c>
      <c r="L1226">
        <v>51</v>
      </c>
      <c r="M1226" t="s">
        <v>38</v>
      </c>
      <c r="N1226" t="s">
        <v>82</v>
      </c>
      <c r="O1226">
        <v>38581</v>
      </c>
      <c r="P1226">
        <v>142</v>
      </c>
      <c r="Q1226" t="s">
        <v>52</v>
      </c>
      <c r="R1226" t="str">
        <f t="shared" si="20"/>
        <v>Yes</v>
      </c>
    </row>
    <row r="1227" spans="1:18" x14ac:dyDescent="0.35">
      <c r="A1227" s="1">
        <v>40363</v>
      </c>
      <c r="B1227">
        <v>0</v>
      </c>
      <c r="C1227" t="s">
        <v>73</v>
      </c>
      <c r="D1227" t="s">
        <v>19</v>
      </c>
      <c r="E1227" t="s">
        <v>18</v>
      </c>
      <c r="F1227">
        <v>82</v>
      </c>
      <c r="G1227" t="s">
        <v>26</v>
      </c>
      <c r="H1227" t="s">
        <v>18</v>
      </c>
      <c r="I1227">
        <v>83</v>
      </c>
      <c r="J1227">
        <v>9</v>
      </c>
      <c r="K1227">
        <v>5</v>
      </c>
      <c r="L1227">
        <v>54</v>
      </c>
      <c r="M1227" t="s">
        <v>38</v>
      </c>
      <c r="N1227" t="s">
        <v>27</v>
      </c>
      <c r="O1227">
        <v>29234</v>
      </c>
      <c r="P1227">
        <v>229</v>
      </c>
      <c r="Q1227" t="s">
        <v>19</v>
      </c>
      <c r="R1227" t="str">
        <f t="shared" si="20"/>
        <v>No</v>
      </c>
    </row>
    <row r="1228" spans="1:18" x14ac:dyDescent="0.35">
      <c r="A1228" s="1">
        <v>40364</v>
      </c>
      <c r="B1228">
        <v>0</v>
      </c>
      <c r="C1228" t="s">
        <v>74</v>
      </c>
      <c r="D1228" t="s">
        <v>31</v>
      </c>
      <c r="E1228" t="s">
        <v>30</v>
      </c>
      <c r="F1228">
        <v>85</v>
      </c>
      <c r="G1228" t="s">
        <v>34</v>
      </c>
      <c r="H1228" t="s">
        <v>30</v>
      </c>
      <c r="I1228">
        <v>81</v>
      </c>
      <c r="J1228">
        <v>2</v>
      </c>
      <c r="K1228">
        <v>9</v>
      </c>
      <c r="L1228">
        <v>51</v>
      </c>
      <c r="M1228" t="s">
        <v>20</v>
      </c>
      <c r="N1228" t="s">
        <v>35</v>
      </c>
      <c r="O1228">
        <v>38092</v>
      </c>
      <c r="P1228">
        <v>169</v>
      </c>
      <c r="Q1228" t="s">
        <v>34</v>
      </c>
      <c r="R1228" t="str">
        <f t="shared" si="20"/>
        <v>Yes</v>
      </c>
    </row>
    <row r="1229" spans="1:18" x14ac:dyDescent="0.35">
      <c r="A1229" s="1">
        <v>40364</v>
      </c>
      <c r="B1229">
        <v>0</v>
      </c>
      <c r="C1229" t="s">
        <v>74</v>
      </c>
      <c r="D1229" t="s">
        <v>43</v>
      </c>
      <c r="E1229" t="s">
        <v>30</v>
      </c>
      <c r="F1229">
        <v>82</v>
      </c>
      <c r="G1229" t="s">
        <v>36</v>
      </c>
      <c r="H1229" t="s">
        <v>30</v>
      </c>
      <c r="I1229">
        <v>81</v>
      </c>
      <c r="J1229">
        <v>9</v>
      </c>
      <c r="K1229">
        <v>12</v>
      </c>
      <c r="L1229">
        <v>51</v>
      </c>
      <c r="M1229" t="s">
        <v>38</v>
      </c>
      <c r="N1229" t="s">
        <v>57</v>
      </c>
      <c r="O1229">
        <v>26432</v>
      </c>
      <c r="P1229">
        <v>224</v>
      </c>
      <c r="Q1229" t="s">
        <v>36</v>
      </c>
      <c r="R1229" t="str">
        <f t="shared" si="20"/>
        <v>Yes</v>
      </c>
    </row>
    <row r="1230" spans="1:18" x14ac:dyDescent="0.35">
      <c r="A1230" s="1">
        <v>40364</v>
      </c>
      <c r="B1230">
        <v>0</v>
      </c>
      <c r="C1230" t="s">
        <v>74</v>
      </c>
      <c r="D1230" t="s">
        <v>59</v>
      </c>
      <c r="E1230" t="s">
        <v>30</v>
      </c>
      <c r="F1230">
        <v>82</v>
      </c>
      <c r="G1230" t="s">
        <v>41</v>
      </c>
      <c r="H1230" t="s">
        <v>30</v>
      </c>
      <c r="I1230">
        <v>84</v>
      </c>
      <c r="J1230">
        <v>3</v>
      </c>
      <c r="K1230">
        <v>1</v>
      </c>
      <c r="L1230">
        <v>54</v>
      </c>
      <c r="M1230" t="s">
        <v>20</v>
      </c>
      <c r="N1230" t="s">
        <v>42</v>
      </c>
      <c r="O1230">
        <v>27405</v>
      </c>
      <c r="P1230">
        <v>155</v>
      </c>
      <c r="Q1230" t="s">
        <v>59</v>
      </c>
      <c r="R1230" t="str">
        <f t="shared" si="20"/>
        <v>No</v>
      </c>
    </row>
    <row r="1231" spans="1:18" x14ac:dyDescent="0.35">
      <c r="A1231" s="1">
        <v>40364</v>
      </c>
      <c r="B1231">
        <v>0</v>
      </c>
      <c r="C1231" t="s">
        <v>74</v>
      </c>
      <c r="D1231" t="s">
        <v>37</v>
      </c>
      <c r="E1231" t="s">
        <v>30</v>
      </c>
      <c r="F1231">
        <v>83</v>
      </c>
      <c r="G1231" t="s">
        <v>40</v>
      </c>
      <c r="H1231" t="s">
        <v>30</v>
      </c>
      <c r="I1231">
        <v>82</v>
      </c>
      <c r="J1231">
        <v>6</v>
      </c>
      <c r="K1231">
        <v>4</v>
      </c>
      <c r="L1231">
        <v>60</v>
      </c>
      <c r="M1231" t="s">
        <v>20</v>
      </c>
      <c r="N1231" t="s">
        <v>77</v>
      </c>
      <c r="O1231">
        <v>22617</v>
      </c>
      <c r="P1231">
        <v>203</v>
      </c>
      <c r="Q1231" t="s">
        <v>37</v>
      </c>
      <c r="R1231" t="str">
        <f t="shared" si="20"/>
        <v>No</v>
      </c>
    </row>
    <row r="1232" spans="1:18" x14ac:dyDescent="0.35">
      <c r="A1232" s="1">
        <v>40364</v>
      </c>
      <c r="B1232">
        <v>0</v>
      </c>
      <c r="C1232" t="s">
        <v>74</v>
      </c>
      <c r="D1232" t="s">
        <v>58</v>
      </c>
      <c r="E1232" t="s">
        <v>30</v>
      </c>
      <c r="F1232">
        <v>83</v>
      </c>
      <c r="G1232" t="s">
        <v>44</v>
      </c>
      <c r="H1232" t="s">
        <v>30</v>
      </c>
      <c r="I1232">
        <v>82</v>
      </c>
      <c r="J1232">
        <v>5</v>
      </c>
      <c r="K1232">
        <v>6</v>
      </c>
      <c r="L1232">
        <v>51</v>
      </c>
      <c r="M1232" t="s">
        <v>20</v>
      </c>
      <c r="N1232" t="s">
        <v>45</v>
      </c>
      <c r="O1232">
        <v>28528</v>
      </c>
      <c r="P1232">
        <v>220</v>
      </c>
      <c r="Q1232" t="s">
        <v>44</v>
      </c>
      <c r="R1232" t="str">
        <f t="shared" si="20"/>
        <v>Yes</v>
      </c>
    </row>
    <row r="1233" spans="1:18" x14ac:dyDescent="0.35">
      <c r="A1233" s="1">
        <v>40364</v>
      </c>
      <c r="B1233">
        <v>0</v>
      </c>
      <c r="C1233" t="s">
        <v>74</v>
      </c>
      <c r="D1233" t="s">
        <v>33</v>
      </c>
      <c r="E1233" t="s">
        <v>30</v>
      </c>
      <c r="F1233">
        <v>82</v>
      </c>
      <c r="G1233" t="s">
        <v>47</v>
      </c>
      <c r="H1233" t="s">
        <v>30</v>
      </c>
      <c r="I1233">
        <v>82</v>
      </c>
      <c r="J1233">
        <v>9</v>
      </c>
      <c r="K1233">
        <v>3</v>
      </c>
      <c r="L1233">
        <v>54</v>
      </c>
      <c r="M1233" t="s">
        <v>20</v>
      </c>
      <c r="N1233" t="s">
        <v>48</v>
      </c>
      <c r="O1233">
        <v>25165</v>
      </c>
      <c r="P1233">
        <v>222</v>
      </c>
      <c r="Q1233" t="s">
        <v>33</v>
      </c>
      <c r="R1233" t="str">
        <f t="shared" si="20"/>
        <v>No</v>
      </c>
    </row>
    <row r="1234" spans="1:18" x14ac:dyDescent="0.35">
      <c r="A1234" s="1">
        <v>40364</v>
      </c>
      <c r="B1234">
        <v>0</v>
      </c>
      <c r="C1234" t="s">
        <v>74</v>
      </c>
      <c r="D1234" t="s">
        <v>49</v>
      </c>
      <c r="E1234" t="s">
        <v>18</v>
      </c>
      <c r="F1234">
        <v>83</v>
      </c>
      <c r="G1234" t="s">
        <v>60</v>
      </c>
      <c r="H1234" t="s">
        <v>18</v>
      </c>
      <c r="I1234">
        <v>83</v>
      </c>
      <c r="J1234">
        <v>9</v>
      </c>
      <c r="K1234">
        <v>4</v>
      </c>
      <c r="L1234">
        <v>54</v>
      </c>
      <c r="M1234" t="s">
        <v>38</v>
      </c>
      <c r="N1234" t="s">
        <v>61</v>
      </c>
      <c r="O1234">
        <v>26250</v>
      </c>
      <c r="P1234">
        <v>187</v>
      </c>
      <c r="Q1234" t="s">
        <v>49</v>
      </c>
      <c r="R1234" t="str">
        <f t="shared" si="20"/>
        <v>No</v>
      </c>
    </row>
    <row r="1235" spans="1:18" x14ac:dyDescent="0.35">
      <c r="A1235" s="1">
        <v>40364</v>
      </c>
      <c r="B1235">
        <v>0</v>
      </c>
      <c r="C1235" t="s">
        <v>74</v>
      </c>
      <c r="D1235" t="s">
        <v>17</v>
      </c>
      <c r="E1235" t="s">
        <v>18</v>
      </c>
      <c r="F1235">
        <v>82</v>
      </c>
      <c r="G1235" t="s">
        <v>22</v>
      </c>
      <c r="H1235" t="s">
        <v>18</v>
      </c>
      <c r="I1235">
        <v>82</v>
      </c>
      <c r="J1235">
        <v>6</v>
      </c>
      <c r="K1235">
        <v>5</v>
      </c>
      <c r="L1235">
        <v>54</v>
      </c>
      <c r="M1235" t="s">
        <v>20</v>
      </c>
      <c r="N1235" t="s">
        <v>85</v>
      </c>
      <c r="O1235">
        <v>47801</v>
      </c>
      <c r="P1235">
        <v>164</v>
      </c>
      <c r="Q1235" t="s">
        <v>17</v>
      </c>
      <c r="R1235" t="str">
        <f t="shared" si="20"/>
        <v>No</v>
      </c>
    </row>
    <row r="1236" spans="1:18" x14ac:dyDescent="0.35">
      <c r="A1236" s="1">
        <v>40364</v>
      </c>
      <c r="B1236">
        <v>0</v>
      </c>
      <c r="C1236" t="s">
        <v>74</v>
      </c>
      <c r="D1236" t="s">
        <v>70</v>
      </c>
      <c r="E1236" t="s">
        <v>18</v>
      </c>
      <c r="F1236">
        <v>82</v>
      </c>
      <c r="G1236" t="s">
        <v>68</v>
      </c>
      <c r="H1236" t="s">
        <v>18</v>
      </c>
      <c r="I1236">
        <v>83</v>
      </c>
      <c r="J1236">
        <v>6</v>
      </c>
      <c r="K1236">
        <v>1</v>
      </c>
      <c r="L1236">
        <v>54</v>
      </c>
      <c r="M1236" t="s">
        <v>38</v>
      </c>
      <c r="N1236" t="s">
        <v>69</v>
      </c>
      <c r="O1236">
        <v>36185</v>
      </c>
      <c r="P1236">
        <v>198</v>
      </c>
      <c r="Q1236" t="s">
        <v>70</v>
      </c>
      <c r="R1236" t="str">
        <f t="shared" si="20"/>
        <v>No</v>
      </c>
    </row>
    <row r="1237" spans="1:18" x14ac:dyDescent="0.35">
      <c r="A1237" s="1">
        <v>40364</v>
      </c>
      <c r="B1237">
        <v>0</v>
      </c>
      <c r="C1237" t="s">
        <v>74</v>
      </c>
      <c r="D1237" t="s">
        <v>53</v>
      </c>
      <c r="E1237" t="s">
        <v>18</v>
      </c>
      <c r="F1237">
        <v>84</v>
      </c>
      <c r="G1237" t="s">
        <v>19</v>
      </c>
      <c r="H1237" t="s">
        <v>18</v>
      </c>
      <c r="I1237">
        <v>83</v>
      </c>
      <c r="J1237">
        <v>8</v>
      </c>
      <c r="K1237">
        <v>6</v>
      </c>
      <c r="L1237">
        <v>54</v>
      </c>
      <c r="M1237" t="s">
        <v>20</v>
      </c>
      <c r="N1237" t="s">
        <v>21</v>
      </c>
      <c r="O1237">
        <v>36764</v>
      </c>
      <c r="P1237">
        <v>190</v>
      </c>
      <c r="Q1237" t="s">
        <v>53</v>
      </c>
      <c r="R1237" t="str">
        <f t="shared" si="20"/>
        <v>No</v>
      </c>
    </row>
    <row r="1238" spans="1:18" x14ac:dyDescent="0.35">
      <c r="A1238" s="1">
        <v>40364</v>
      </c>
      <c r="B1238">
        <v>0</v>
      </c>
      <c r="C1238" t="s">
        <v>74</v>
      </c>
      <c r="D1238" t="s">
        <v>50</v>
      </c>
      <c r="E1238" t="s">
        <v>18</v>
      </c>
      <c r="F1238">
        <v>83</v>
      </c>
      <c r="G1238" t="s">
        <v>25</v>
      </c>
      <c r="H1238" t="s">
        <v>18</v>
      </c>
      <c r="I1238">
        <v>81</v>
      </c>
      <c r="J1238">
        <v>1</v>
      </c>
      <c r="K1238">
        <v>3</v>
      </c>
      <c r="L1238">
        <v>51</v>
      </c>
      <c r="M1238" t="s">
        <v>20</v>
      </c>
      <c r="N1238" t="s">
        <v>80</v>
      </c>
      <c r="O1238">
        <v>45404</v>
      </c>
      <c r="P1238">
        <v>134</v>
      </c>
      <c r="Q1238" t="s">
        <v>25</v>
      </c>
      <c r="R1238" t="str">
        <f t="shared" si="20"/>
        <v>Yes</v>
      </c>
    </row>
    <row r="1239" spans="1:18" x14ac:dyDescent="0.35">
      <c r="A1239" s="1">
        <v>40365</v>
      </c>
      <c r="B1239">
        <v>0</v>
      </c>
      <c r="C1239" t="s">
        <v>83</v>
      </c>
      <c r="D1239" t="s">
        <v>31</v>
      </c>
      <c r="E1239" t="s">
        <v>30</v>
      </c>
      <c r="F1239">
        <v>86</v>
      </c>
      <c r="G1239" t="s">
        <v>34</v>
      </c>
      <c r="H1239" t="s">
        <v>30</v>
      </c>
      <c r="I1239">
        <v>82</v>
      </c>
      <c r="J1239">
        <v>1</v>
      </c>
      <c r="K1239">
        <v>4</v>
      </c>
      <c r="L1239">
        <v>51</v>
      </c>
      <c r="M1239" t="s">
        <v>20</v>
      </c>
      <c r="N1239" t="s">
        <v>35</v>
      </c>
      <c r="O1239">
        <v>21889</v>
      </c>
      <c r="P1239">
        <v>174</v>
      </c>
      <c r="Q1239" t="s">
        <v>34</v>
      </c>
      <c r="R1239" t="str">
        <f t="shared" si="20"/>
        <v>Yes</v>
      </c>
    </row>
    <row r="1240" spans="1:18" x14ac:dyDescent="0.35">
      <c r="A1240" s="1">
        <v>40365</v>
      </c>
      <c r="B1240">
        <v>0</v>
      </c>
      <c r="C1240" t="s">
        <v>83</v>
      </c>
      <c r="D1240" t="s">
        <v>43</v>
      </c>
      <c r="E1240" t="s">
        <v>30</v>
      </c>
      <c r="F1240">
        <v>83</v>
      </c>
      <c r="G1240" t="s">
        <v>36</v>
      </c>
      <c r="H1240" t="s">
        <v>30</v>
      </c>
      <c r="I1240">
        <v>82</v>
      </c>
      <c r="J1240">
        <v>5</v>
      </c>
      <c r="K1240">
        <v>7</v>
      </c>
      <c r="L1240">
        <v>63</v>
      </c>
      <c r="M1240" t="s">
        <v>20</v>
      </c>
      <c r="N1240" t="s">
        <v>57</v>
      </c>
      <c r="O1240">
        <v>22532</v>
      </c>
      <c r="P1240">
        <v>236</v>
      </c>
      <c r="Q1240" t="s">
        <v>36</v>
      </c>
      <c r="R1240" t="str">
        <f t="shared" si="20"/>
        <v>Yes</v>
      </c>
    </row>
    <row r="1241" spans="1:18" x14ac:dyDescent="0.35">
      <c r="A1241" s="1">
        <v>40365</v>
      </c>
      <c r="B1241">
        <v>0</v>
      </c>
      <c r="C1241" t="s">
        <v>83</v>
      </c>
      <c r="D1241" t="s">
        <v>59</v>
      </c>
      <c r="E1241" t="s">
        <v>30</v>
      </c>
      <c r="F1241">
        <v>83</v>
      </c>
      <c r="G1241" t="s">
        <v>41</v>
      </c>
      <c r="H1241" t="s">
        <v>30</v>
      </c>
      <c r="I1241">
        <v>85</v>
      </c>
      <c r="J1241">
        <v>6</v>
      </c>
      <c r="K1241">
        <v>1</v>
      </c>
      <c r="L1241">
        <v>54</v>
      </c>
      <c r="M1241" t="s">
        <v>20</v>
      </c>
      <c r="N1241" t="s">
        <v>42</v>
      </c>
      <c r="O1241">
        <v>20473</v>
      </c>
      <c r="P1241">
        <v>164</v>
      </c>
      <c r="Q1241" t="s">
        <v>59</v>
      </c>
      <c r="R1241" t="str">
        <f t="shared" si="20"/>
        <v>No</v>
      </c>
    </row>
    <row r="1242" spans="1:18" x14ac:dyDescent="0.35">
      <c r="A1242" s="1">
        <v>40365</v>
      </c>
      <c r="B1242">
        <v>0</v>
      </c>
      <c r="C1242" t="s">
        <v>83</v>
      </c>
      <c r="D1242" t="s">
        <v>37</v>
      </c>
      <c r="E1242" t="s">
        <v>30</v>
      </c>
      <c r="F1242">
        <v>84</v>
      </c>
      <c r="G1242" t="s">
        <v>40</v>
      </c>
      <c r="H1242" t="s">
        <v>30</v>
      </c>
      <c r="I1242">
        <v>83</v>
      </c>
      <c r="J1242">
        <v>3</v>
      </c>
      <c r="K1242">
        <v>2</v>
      </c>
      <c r="L1242">
        <v>54</v>
      </c>
      <c r="M1242" t="s">
        <v>20</v>
      </c>
      <c r="N1242" t="s">
        <v>77</v>
      </c>
      <c r="O1242">
        <v>17555</v>
      </c>
      <c r="P1242">
        <v>149</v>
      </c>
      <c r="Q1242" t="s">
        <v>37</v>
      </c>
      <c r="R1242" t="str">
        <f t="shared" si="20"/>
        <v>No</v>
      </c>
    </row>
    <row r="1243" spans="1:18" x14ac:dyDescent="0.35">
      <c r="A1243" s="1">
        <v>40365</v>
      </c>
      <c r="B1243">
        <v>0</v>
      </c>
      <c r="C1243" t="s">
        <v>83</v>
      </c>
      <c r="D1243" t="s">
        <v>58</v>
      </c>
      <c r="E1243" t="s">
        <v>30</v>
      </c>
      <c r="F1243">
        <v>84</v>
      </c>
      <c r="G1243" t="s">
        <v>44</v>
      </c>
      <c r="H1243" t="s">
        <v>30</v>
      </c>
      <c r="I1243">
        <v>83</v>
      </c>
      <c r="J1243">
        <v>2</v>
      </c>
      <c r="K1243">
        <v>3</v>
      </c>
      <c r="L1243">
        <v>51</v>
      </c>
      <c r="M1243" t="s">
        <v>20</v>
      </c>
      <c r="N1243" t="s">
        <v>45</v>
      </c>
      <c r="O1243">
        <v>19902</v>
      </c>
      <c r="P1243">
        <v>202</v>
      </c>
      <c r="Q1243" t="s">
        <v>44</v>
      </c>
      <c r="R1243" t="str">
        <f t="shared" si="20"/>
        <v>Yes</v>
      </c>
    </row>
    <row r="1244" spans="1:18" x14ac:dyDescent="0.35">
      <c r="A1244" s="1">
        <v>40365</v>
      </c>
      <c r="B1244">
        <v>0</v>
      </c>
      <c r="C1244" t="s">
        <v>83</v>
      </c>
      <c r="D1244" t="s">
        <v>33</v>
      </c>
      <c r="E1244" t="s">
        <v>30</v>
      </c>
      <c r="F1244">
        <v>83</v>
      </c>
      <c r="G1244" t="s">
        <v>47</v>
      </c>
      <c r="H1244" t="s">
        <v>30</v>
      </c>
      <c r="I1244">
        <v>83</v>
      </c>
      <c r="J1244">
        <v>1</v>
      </c>
      <c r="K1244">
        <v>12</v>
      </c>
      <c r="L1244">
        <v>51</v>
      </c>
      <c r="M1244" t="s">
        <v>20</v>
      </c>
      <c r="N1244" t="s">
        <v>48</v>
      </c>
      <c r="O1244">
        <v>20428</v>
      </c>
      <c r="P1244">
        <v>169</v>
      </c>
      <c r="Q1244" t="s">
        <v>47</v>
      </c>
      <c r="R1244" t="str">
        <f t="shared" si="20"/>
        <v>Yes</v>
      </c>
    </row>
    <row r="1245" spans="1:18" x14ac:dyDescent="0.35">
      <c r="A1245" s="1">
        <v>40365</v>
      </c>
      <c r="B1245">
        <v>0</v>
      </c>
      <c r="C1245" t="s">
        <v>83</v>
      </c>
      <c r="D1245" t="s">
        <v>29</v>
      </c>
      <c r="E1245" t="s">
        <v>30</v>
      </c>
      <c r="F1245">
        <v>83</v>
      </c>
      <c r="G1245" t="s">
        <v>46</v>
      </c>
      <c r="H1245" t="s">
        <v>30</v>
      </c>
      <c r="I1245">
        <v>84</v>
      </c>
      <c r="J1245">
        <v>7</v>
      </c>
      <c r="K1245">
        <v>6</v>
      </c>
      <c r="L1245">
        <v>54</v>
      </c>
      <c r="M1245" t="s">
        <v>20</v>
      </c>
      <c r="N1245" t="s">
        <v>78</v>
      </c>
      <c r="O1245">
        <v>15072</v>
      </c>
      <c r="P1245">
        <v>155</v>
      </c>
      <c r="Q1245" t="s">
        <v>29</v>
      </c>
      <c r="R1245" t="str">
        <f t="shared" si="20"/>
        <v>No</v>
      </c>
    </row>
    <row r="1246" spans="1:18" x14ac:dyDescent="0.35">
      <c r="A1246" s="1">
        <v>40365</v>
      </c>
      <c r="B1246">
        <v>0</v>
      </c>
      <c r="C1246" t="s">
        <v>83</v>
      </c>
      <c r="D1246" t="s">
        <v>49</v>
      </c>
      <c r="E1246" t="s">
        <v>18</v>
      </c>
      <c r="F1246">
        <v>84</v>
      </c>
      <c r="G1246" t="s">
        <v>60</v>
      </c>
      <c r="H1246" t="s">
        <v>18</v>
      </c>
      <c r="I1246">
        <v>84</v>
      </c>
      <c r="J1246">
        <v>6</v>
      </c>
      <c r="K1246">
        <v>4</v>
      </c>
      <c r="L1246">
        <v>54</v>
      </c>
      <c r="M1246" t="s">
        <v>20</v>
      </c>
      <c r="N1246" t="s">
        <v>61</v>
      </c>
      <c r="O1246">
        <v>20067</v>
      </c>
      <c r="P1246">
        <v>163</v>
      </c>
      <c r="Q1246" t="s">
        <v>49</v>
      </c>
      <c r="R1246" t="str">
        <f t="shared" si="20"/>
        <v>No</v>
      </c>
    </row>
    <row r="1247" spans="1:18" x14ac:dyDescent="0.35">
      <c r="A1247" s="1">
        <v>40365</v>
      </c>
      <c r="B1247">
        <v>0</v>
      </c>
      <c r="C1247" t="s">
        <v>83</v>
      </c>
      <c r="D1247" t="s">
        <v>52</v>
      </c>
      <c r="E1247" t="s">
        <v>18</v>
      </c>
      <c r="F1247">
        <v>83</v>
      </c>
      <c r="G1247" t="s">
        <v>63</v>
      </c>
      <c r="H1247" t="s">
        <v>18</v>
      </c>
      <c r="I1247">
        <v>83</v>
      </c>
      <c r="J1247">
        <v>9</v>
      </c>
      <c r="K1247">
        <v>12</v>
      </c>
      <c r="L1247">
        <v>53</v>
      </c>
      <c r="M1247" t="s">
        <v>20</v>
      </c>
      <c r="N1247" t="s">
        <v>64</v>
      </c>
      <c r="O1247">
        <v>32922</v>
      </c>
      <c r="P1247">
        <v>199</v>
      </c>
      <c r="Q1247" t="s">
        <v>63</v>
      </c>
      <c r="R1247" t="str">
        <f t="shared" si="20"/>
        <v>Yes</v>
      </c>
    </row>
    <row r="1248" spans="1:18" x14ac:dyDescent="0.35">
      <c r="A1248" s="1">
        <v>40365</v>
      </c>
      <c r="B1248">
        <v>0</v>
      </c>
      <c r="C1248" t="s">
        <v>83</v>
      </c>
      <c r="D1248" t="s">
        <v>23</v>
      </c>
      <c r="E1248" t="s">
        <v>18</v>
      </c>
      <c r="F1248">
        <v>83</v>
      </c>
      <c r="G1248" t="s">
        <v>66</v>
      </c>
      <c r="H1248" t="s">
        <v>18</v>
      </c>
      <c r="I1248">
        <v>84</v>
      </c>
      <c r="J1248">
        <v>2</v>
      </c>
      <c r="K1248">
        <v>6</v>
      </c>
      <c r="L1248">
        <v>51</v>
      </c>
      <c r="M1248" t="s">
        <v>20</v>
      </c>
      <c r="N1248" t="s">
        <v>67</v>
      </c>
      <c r="O1248">
        <v>23210</v>
      </c>
      <c r="P1248">
        <v>162</v>
      </c>
      <c r="Q1248" t="s">
        <v>66</v>
      </c>
      <c r="R1248" t="str">
        <f t="shared" si="20"/>
        <v>Yes</v>
      </c>
    </row>
    <row r="1249" spans="1:18" x14ac:dyDescent="0.35">
      <c r="A1249" s="1">
        <v>40365</v>
      </c>
      <c r="B1249">
        <v>0</v>
      </c>
      <c r="C1249" t="s">
        <v>83</v>
      </c>
      <c r="D1249" t="s">
        <v>17</v>
      </c>
      <c r="E1249" t="s">
        <v>18</v>
      </c>
      <c r="F1249">
        <v>83</v>
      </c>
      <c r="G1249" t="s">
        <v>22</v>
      </c>
      <c r="H1249" t="s">
        <v>18</v>
      </c>
      <c r="I1249">
        <v>83</v>
      </c>
      <c r="J1249">
        <v>3</v>
      </c>
      <c r="K1249">
        <v>7</v>
      </c>
      <c r="L1249">
        <v>51</v>
      </c>
      <c r="M1249" t="s">
        <v>20</v>
      </c>
      <c r="N1249" t="s">
        <v>85</v>
      </c>
      <c r="O1249">
        <v>41575</v>
      </c>
      <c r="P1249">
        <v>191</v>
      </c>
      <c r="Q1249" t="s">
        <v>22</v>
      </c>
      <c r="R1249" t="str">
        <f t="shared" si="20"/>
        <v>Yes</v>
      </c>
    </row>
    <row r="1250" spans="1:18" x14ac:dyDescent="0.35">
      <c r="A1250" s="1">
        <v>40365</v>
      </c>
      <c r="B1250">
        <v>0</v>
      </c>
      <c r="C1250" t="s">
        <v>83</v>
      </c>
      <c r="D1250" t="s">
        <v>70</v>
      </c>
      <c r="E1250" t="s">
        <v>18</v>
      </c>
      <c r="F1250">
        <v>83</v>
      </c>
      <c r="G1250" t="s">
        <v>68</v>
      </c>
      <c r="H1250" t="s">
        <v>18</v>
      </c>
      <c r="I1250">
        <v>84</v>
      </c>
      <c r="J1250">
        <v>6</v>
      </c>
      <c r="K1250">
        <v>1</v>
      </c>
      <c r="L1250">
        <v>54</v>
      </c>
      <c r="M1250" t="s">
        <v>20</v>
      </c>
      <c r="N1250" t="s">
        <v>69</v>
      </c>
      <c r="O1250">
        <v>30896</v>
      </c>
      <c r="P1250">
        <v>163</v>
      </c>
      <c r="Q1250" t="s">
        <v>70</v>
      </c>
      <c r="R1250" t="str">
        <f t="shared" si="20"/>
        <v>No</v>
      </c>
    </row>
    <row r="1251" spans="1:18" x14ac:dyDescent="0.35">
      <c r="A1251" s="1">
        <v>40365</v>
      </c>
      <c r="B1251">
        <v>0</v>
      </c>
      <c r="C1251" t="s">
        <v>83</v>
      </c>
      <c r="D1251" t="s">
        <v>53</v>
      </c>
      <c r="E1251" t="s">
        <v>18</v>
      </c>
      <c r="F1251">
        <v>85</v>
      </c>
      <c r="G1251" t="s">
        <v>19</v>
      </c>
      <c r="H1251" t="s">
        <v>18</v>
      </c>
      <c r="I1251">
        <v>84</v>
      </c>
      <c r="J1251">
        <v>0</v>
      </c>
      <c r="K1251">
        <v>3</v>
      </c>
      <c r="L1251">
        <v>51</v>
      </c>
      <c r="M1251" t="s">
        <v>20</v>
      </c>
      <c r="N1251" t="s">
        <v>21</v>
      </c>
      <c r="O1251">
        <v>27473</v>
      </c>
      <c r="P1251">
        <v>149</v>
      </c>
      <c r="Q1251" t="s">
        <v>19</v>
      </c>
      <c r="R1251" t="str">
        <f t="shared" si="20"/>
        <v>Yes</v>
      </c>
    </row>
    <row r="1252" spans="1:18" x14ac:dyDescent="0.35">
      <c r="A1252" s="1">
        <v>40365</v>
      </c>
      <c r="B1252">
        <v>0</v>
      </c>
      <c r="C1252" t="s">
        <v>83</v>
      </c>
      <c r="D1252" t="s">
        <v>50</v>
      </c>
      <c r="E1252" t="s">
        <v>18</v>
      </c>
      <c r="F1252">
        <v>84</v>
      </c>
      <c r="G1252" t="s">
        <v>25</v>
      </c>
      <c r="H1252" t="s">
        <v>18</v>
      </c>
      <c r="I1252">
        <v>82</v>
      </c>
      <c r="J1252">
        <v>6</v>
      </c>
      <c r="K1252">
        <v>3</v>
      </c>
      <c r="L1252">
        <v>66</v>
      </c>
      <c r="M1252" t="s">
        <v>20</v>
      </c>
      <c r="N1252" t="s">
        <v>80</v>
      </c>
      <c r="O1252">
        <v>44715</v>
      </c>
      <c r="P1252">
        <v>211</v>
      </c>
      <c r="Q1252" t="s">
        <v>50</v>
      </c>
      <c r="R1252" t="str">
        <f t="shared" si="20"/>
        <v>No</v>
      </c>
    </row>
    <row r="1253" spans="1:18" x14ac:dyDescent="0.35">
      <c r="A1253" s="1">
        <v>40365</v>
      </c>
      <c r="B1253">
        <v>0</v>
      </c>
      <c r="C1253" t="s">
        <v>83</v>
      </c>
      <c r="D1253" t="s">
        <v>62</v>
      </c>
      <c r="E1253" t="s">
        <v>18</v>
      </c>
      <c r="F1253">
        <v>83</v>
      </c>
      <c r="G1253" t="s">
        <v>26</v>
      </c>
      <c r="H1253" t="s">
        <v>18</v>
      </c>
      <c r="I1253">
        <v>84</v>
      </c>
      <c r="J1253">
        <v>5</v>
      </c>
      <c r="K1253">
        <v>6</v>
      </c>
      <c r="L1253">
        <v>51</v>
      </c>
      <c r="M1253" t="s">
        <v>20</v>
      </c>
      <c r="N1253" t="s">
        <v>27</v>
      </c>
      <c r="O1253">
        <v>14039</v>
      </c>
      <c r="P1253">
        <v>176</v>
      </c>
      <c r="Q1253" t="s">
        <v>26</v>
      </c>
      <c r="R1253" t="str">
        <f t="shared" si="20"/>
        <v>Yes</v>
      </c>
    </row>
    <row r="1254" spans="1:18" x14ac:dyDescent="0.35">
      <c r="A1254" s="1">
        <v>40366</v>
      </c>
      <c r="B1254">
        <v>0</v>
      </c>
      <c r="C1254" t="s">
        <v>16</v>
      </c>
      <c r="D1254" t="s">
        <v>31</v>
      </c>
      <c r="E1254" t="s">
        <v>30</v>
      </c>
      <c r="F1254">
        <v>87</v>
      </c>
      <c r="G1254" t="s">
        <v>34</v>
      </c>
      <c r="H1254" t="s">
        <v>30</v>
      </c>
      <c r="I1254">
        <v>83</v>
      </c>
      <c r="J1254">
        <v>2</v>
      </c>
      <c r="K1254">
        <v>5</v>
      </c>
      <c r="L1254">
        <v>51</v>
      </c>
      <c r="M1254" t="s">
        <v>20</v>
      </c>
      <c r="N1254" t="s">
        <v>35</v>
      </c>
      <c r="O1254">
        <v>21135</v>
      </c>
      <c r="P1254">
        <v>168</v>
      </c>
      <c r="Q1254" t="s">
        <v>34</v>
      </c>
      <c r="R1254" t="str">
        <f t="shared" si="20"/>
        <v>Yes</v>
      </c>
    </row>
    <row r="1255" spans="1:18" x14ac:dyDescent="0.35">
      <c r="A1255" s="1">
        <v>40366</v>
      </c>
      <c r="B1255">
        <v>0</v>
      </c>
      <c r="C1255" t="s">
        <v>16</v>
      </c>
      <c r="D1255" t="s">
        <v>43</v>
      </c>
      <c r="E1255" t="s">
        <v>30</v>
      </c>
      <c r="F1255">
        <v>84</v>
      </c>
      <c r="G1255" t="s">
        <v>36</v>
      </c>
      <c r="H1255" t="s">
        <v>30</v>
      </c>
      <c r="I1255">
        <v>83</v>
      </c>
      <c r="J1255">
        <v>2</v>
      </c>
      <c r="K1255">
        <v>4</v>
      </c>
      <c r="L1255">
        <v>51</v>
      </c>
      <c r="M1255" t="s">
        <v>20</v>
      </c>
      <c r="N1255" t="s">
        <v>57</v>
      </c>
      <c r="O1255">
        <v>22837</v>
      </c>
      <c r="P1255">
        <v>142</v>
      </c>
      <c r="Q1255" t="s">
        <v>36</v>
      </c>
      <c r="R1255" t="str">
        <f t="shared" si="20"/>
        <v>Yes</v>
      </c>
    </row>
    <row r="1256" spans="1:18" x14ac:dyDescent="0.35">
      <c r="A1256" s="1">
        <v>40366</v>
      </c>
      <c r="B1256">
        <v>0</v>
      </c>
      <c r="C1256" t="s">
        <v>16</v>
      </c>
      <c r="D1256" t="s">
        <v>59</v>
      </c>
      <c r="E1256" t="s">
        <v>30</v>
      </c>
      <c r="F1256">
        <v>84</v>
      </c>
      <c r="G1256" t="s">
        <v>41</v>
      </c>
      <c r="H1256" t="s">
        <v>30</v>
      </c>
      <c r="I1256">
        <v>86</v>
      </c>
      <c r="J1256">
        <v>6</v>
      </c>
      <c r="K1256">
        <v>2</v>
      </c>
      <c r="L1256">
        <v>54</v>
      </c>
      <c r="M1256" t="s">
        <v>20</v>
      </c>
      <c r="N1256" t="s">
        <v>42</v>
      </c>
      <c r="O1256">
        <v>31518</v>
      </c>
      <c r="P1256">
        <v>178</v>
      </c>
      <c r="Q1256" t="s">
        <v>59</v>
      </c>
      <c r="R1256" t="str">
        <f t="shared" si="20"/>
        <v>No</v>
      </c>
    </row>
    <row r="1257" spans="1:18" x14ac:dyDescent="0.35">
      <c r="A1257" s="1">
        <v>40366</v>
      </c>
      <c r="B1257">
        <v>0</v>
      </c>
      <c r="C1257" t="s">
        <v>16</v>
      </c>
      <c r="D1257" t="s">
        <v>37</v>
      </c>
      <c r="E1257" t="s">
        <v>30</v>
      </c>
      <c r="F1257">
        <v>85</v>
      </c>
      <c r="G1257" t="s">
        <v>40</v>
      </c>
      <c r="H1257" t="s">
        <v>30</v>
      </c>
      <c r="I1257">
        <v>84</v>
      </c>
      <c r="J1257">
        <v>7</v>
      </c>
      <c r="K1257">
        <v>3</v>
      </c>
      <c r="L1257">
        <v>54</v>
      </c>
      <c r="M1257" t="s">
        <v>20</v>
      </c>
      <c r="N1257" t="s">
        <v>77</v>
      </c>
      <c r="O1257">
        <v>16954</v>
      </c>
      <c r="P1257">
        <v>175</v>
      </c>
      <c r="Q1257" t="s">
        <v>37</v>
      </c>
      <c r="R1257" t="str">
        <f t="shared" si="20"/>
        <v>No</v>
      </c>
    </row>
    <row r="1258" spans="1:18" x14ac:dyDescent="0.35">
      <c r="A1258" s="1">
        <v>40366</v>
      </c>
      <c r="B1258">
        <v>0</v>
      </c>
      <c r="C1258" t="s">
        <v>16</v>
      </c>
      <c r="D1258" t="s">
        <v>58</v>
      </c>
      <c r="E1258" t="s">
        <v>30</v>
      </c>
      <c r="F1258">
        <v>85</v>
      </c>
      <c r="G1258" t="s">
        <v>44</v>
      </c>
      <c r="H1258" t="s">
        <v>30</v>
      </c>
      <c r="I1258">
        <v>84</v>
      </c>
      <c r="J1258">
        <v>4</v>
      </c>
      <c r="K1258">
        <v>6</v>
      </c>
      <c r="L1258">
        <v>51</v>
      </c>
      <c r="M1258" t="s">
        <v>20</v>
      </c>
      <c r="N1258" t="s">
        <v>45</v>
      </c>
      <c r="O1258">
        <v>24356</v>
      </c>
      <c r="P1258">
        <v>190</v>
      </c>
      <c r="Q1258" t="s">
        <v>44</v>
      </c>
      <c r="R1258" t="str">
        <f t="shared" si="20"/>
        <v>Yes</v>
      </c>
    </row>
    <row r="1259" spans="1:18" x14ac:dyDescent="0.35">
      <c r="A1259" s="1">
        <v>40366</v>
      </c>
      <c r="B1259">
        <v>0</v>
      </c>
      <c r="C1259" t="s">
        <v>16</v>
      </c>
      <c r="D1259" t="s">
        <v>33</v>
      </c>
      <c r="E1259" t="s">
        <v>30</v>
      </c>
      <c r="F1259">
        <v>84</v>
      </c>
      <c r="G1259" t="s">
        <v>47</v>
      </c>
      <c r="H1259" t="s">
        <v>30</v>
      </c>
      <c r="I1259">
        <v>84</v>
      </c>
      <c r="J1259">
        <v>3</v>
      </c>
      <c r="K1259">
        <v>4</v>
      </c>
      <c r="L1259">
        <v>51</v>
      </c>
      <c r="M1259" t="s">
        <v>20</v>
      </c>
      <c r="N1259" t="s">
        <v>48</v>
      </c>
      <c r="O1259">
        <v>24427</v>
      </c>
      <c r="P1259">
        <v>176</v>
      </c>
      <c r="Q1259" t="s">
        <v>47</v>
      </c>
      <c r="R1259" t="str">
        <f t="shared" si="20"/>
        <v>Yes</v>
      </c>
    </row>
    <row r="1260" spans="1:18" x14ac:dyDescent="0.35">
      <c r="A1260" s="1">
        <v>40366</v>
      </c>
      <c r="B1260">
        <v>0</v>
      </c>
      <c r="C1260" t="s">
        <v>16</v>
      </c>
      <c r="D1260" t="s">
        <v>29</v>
      </c>
      <c r="E1260" t="s">
        <v>30</v>
      </c>
      <c r="F1260">
        <v>84</v>
      </c>
      <c r="G1260" t="s">
        <v>46</v>
      </c>
      <c r="H1260" t="s">
        <v>30</v>
      </c>
      <c r="I1260">
        <v>85</v>
      </c>
      <c r="J1260">
        <v>5</v>
      </c>
      <c r="K1260">
        <v>6</v>
      </c>
      <c r="L1260">
        <v>51</v>
      </c>
      <c r="M1260" t="s">
        <v>20</v>
      </c>
      <c r="N1260" t="s">
        <v>78</v>
      </c>
      <c r="O1260">
        <v>14886</v>
      </c>
      <c r="P1260">
        <v>174</v>
      </c>
      <c r="Q1260" t="s">
        <v>46</v>
      </c>
      <c r="R1260" t="str">
        <f t="shared" si="20"/>
        <v>Yes</v>
      </c>
    </row>
    <row r="1261" spans="1:18" x14ac:dyDescent="0.35">
      <c r="A1261" s="1">
        <v>40366</v>
      </c>
      <c r="B1261">
        <v>0</v>
      </c>
      <c r="C1261" t="s">
        <v>16</v>
      </c>
      <c r="D1261" t="s">
        <v>49</v>
      </c>
      <c r="E1261" t="s">
        <v>18</v>
      </c>
      <c r="F1261">
        <v>85</v>
      </c>
      <c r="G1261" t="s">
        <v>60</v>
      </c>
      <c r="H1261" t="s">
        <v>18</v>
      </c>
      <c r="I1261">
        <v>85</v>
      </c>
      <c r="J1261">
        <v>8</v>
      </c>
      <c r="K1261">
        <v>3</v>
      </c>
      <c r="L1261">
        <v>54</v>
      </c>
      <c r="M1261" t="s">
        <v>20</v>
      </c>
      <c r="N1261" t="s">
        <v>61</v>
      </c>
      <c r="O1261">
        <v>20914</v>
      </c>
      <c r="P1261">
        <v>183</v>
      </c>
      <c r="Q1261" t="s">
        <v>49</v>
      </c>
      <c r="R1261" t="str">
        <f t="shared" si="20"/>
        <v>No</v>
      </c>
    </row>
    <row r="1262" spans="1:18" x14ac:dyDescent="0.35">
      <c r="A1262" s="1">
        <v>40366</v>
      </c>
      <c r="B1262">
        <v>0</v>
      </c>
      <c r="C1262" t="s">
        <v>16</v>
      </c>
      <c r="D1262" t="s">
        <v>52</v>
      </c>
      <c r="E1262" t="s">
        <v>18</v>
      </c>
      <c r="F1262">
        <v>84</v>
      </c>
      <c r="G1262" t="s">
        <v>63</v>
      </c>
      <c r="H1262" t="s">
        <v>18</v>
      </c>
      <c r="I1262">
        <v>84</v>
      </c>
      <c r="J1262">
        <v>7</v>
      </c>
      <c r="K1262">
        <v>8</v>
      </c>
      <c r="L1262">
        <v>51</v>
      </c>
      <c r="M1262" t="s">
        <v>20</v>
      </c>
      <c r="N1262" t="s">
        <v>64</v>
      </c>
      <c r="O1262">
        <v>33251</v>
      </c>
      <c r="P1262">
        <v>187</v>
      </c>
      <c r="Q1262" t="s">
        <v>63</v>
      </c>
      <c r="R1262" t="str">
        <f t="shared" si="20"/>
        <v>Yes</v>
      </c>
    </row>
    <row r="1263" spans="1:18" x14ac:dyDescent="0.35">
      <c r="A1263" s="1">
        <v>40366</v>
      </c>
      <c r="B1263">
        <v>0</v>
      </c>
      <c r="C1263" t="s">
        <v>16</v>
      </c>
      <c r="D1263" t="s">
        <v>23</v>
      </c>
      <c r="E1263" t="s">
        <v>18</v>
      </c>
      <c r="F1263">
        <v>84</v>
      </c>
      <c r="G1263" t="s">
        <v>66</v>
      </c>
      <c r="H1263" t="s">
        <v>18</v>
      </c>
      <c r="I1263">
        <v>85</v>
      </c>
      <c r="J1263">
        <v>3</v>
      </c>
      <c r="K1263">
        <v>6</v>
      </c>
      <c r="L1263">
        <v>51</v>
      </c>
      <c r="M1263" t="s">
        <v>20</v>
      </c>
      <c r="N1263" t="s">
        <v>67</v>
      </c>
      <c r="O1263">
        <v>23123</v>
      </c>
      <c r="P1263">
        <v>188</v>
      </c>
      <c r="Q1263" t="s">
        <v>66</v>
      </c>
      <c r="R1263" t="str">
        <f t="shared" si="20"/>
        <v>Yes</v>
      </c>
    </row>
    <row r="1264" spans="1:18" x14ac:dyDescent="0.35">
      <c r="A1264" s="1">
        <v>40366</v>
      </c>
      <c r="B1264">
        <v>0</v>
      </c>
      <c r="C1264" t="s">
        <v>16</v>
      </c>
      <c r="D1264" t="s">
        <v>17</v>
      </c>
      <c r="E1264" t="s">
        <v>18</v>
      </c>
      <c r="F1264">
        <v>84</v>
      </c>
      <c r="G1264" t="s">
        <v>22</v>
      </c>
      <c r="H1264" t="s">
        <v>18</v>
      </c>
      <c r="I1264">
        <v>84</v>
      </c>
      <c r="J1264">
        <v>4</v>
      </c>
      <c r="K1264">
        <v>0</v>
      </c>
      <c r="L1264">
        <v>54</v>
      </c>
      <c r="M1264" t="s">
        <v>20</v>
      </c>
      <c r="N1264" t="s">
        <v>85</v>
      </c>
      <c r="O1264">
        <v>41947</v>
      </c>
      <c r="P1264">
        <v>151</v>
      </c>
      <c r="Q1264" t="s">
        <v>17</v>
      </c>
      <c r="R1264" t="str">
        <f t="shared" si="20"/>
        <v>No</v>
      </c>
    </row>
    <row r="1265" spans="1:18" x14ac:dyDescent="0.35">
      <c r="A1265" s="1">
        <v>40366</v>
      </c>
      <c r="B1265">
        <v>0</v>
      </c>
      <c r="C1265" t="s">
        <v>16</v>
      </c>
      <c r="D1265" t="s">
        <v>70</v>
      </c>
      <c r="E1265" t="s">
        <v>18</v>
      </c>
      <c r="F1265">
        <v>84</v>
      </c>
      <c r="G1265" t="s">
        <v>68</v>
      </c>
      <c r="H1265" t="s">
        <v>18</v>
      </c>
      <c r="I1265">
        <v>85</v>
      </c>
      <c r="J1265">
        <v>15</v>
      </c>
      <c r="K1265">
        <v>2</v>
      </c>
      <c r="L1265">
        <v>54</v>
      </c>
      <c r="M1265" t="s">
        <v>20</v>
      </c>
      <c r="N1265" t="s">
        <v>69</v>
      </c>
      <c r="O1265">
        <v>29387</v>
      </c>
      <c r="P1265">
        <v>196</v>
      </c>
      <c r="Q1265" t="s">
        <v>70</v>
      </c>
      <c r="R1265" t="str">
        <f t="shared" si="20"/>
        <v>No</v>
      </c>
    </row>
    <row r="1266" spans="1:18" x14ac:dyDescent="0.35">
      <c r="A1266" s="1">
        <v>40366</v>
      </c>
      <c r="B1266">
        <v>0</v>
      </c>
      <c r="C1266" t="s">
        <v>16</v>
      </c>
      <c r="D1266" t="s">
        <v>53</v>
      </c>
      <c r="E1266" t="s">
        <v>18</v>
      </c>
      <c r="F1266">
        <v>86</v>
      </c>
      <c r="G1266" t="s">
        <v>19</v>
      </c>
      <c r="H1266" t="s">
        <v>18</v>
      </c>
      <c r="I1266">
        <v>85</v>
      </c>
      <c r="J1266">
        <v>3</v>
      </c>
      <c r="K1266">
        <v>1</v>
      </c>
      <c r="L1266">
        <v>54</v>
      </c>
      <c r="M1266" t="s">
        <v>20</v>
      </c>
      <c r="N1266" t="s">
        <v>21</v>
      </c>
      <c r="O1266">
        <v>30029</v>
      </c>
      <c r="P1266">
        <v>145</v>
      </c>
      <c r="Q1266" t="s">
        <v>53</v>
      </c>
      <c r="R1266" t="str">
        <f t="shared" si="20"/>
        <v>No</v>
      </c>
    </row>
    <row r="1267" spans="1:18" x14ac:dyDescent="0.35">
      <c r="A1267" s="1">
        <v>40366</v>
      </c>
      <c r="B1267">
        <v>0</v>
      </c>
      <c r="C1267" t="s">
        <v>16</v>
      </c>
      <c r="D1267" t="s">
        <v>50</v>
      </c>
      <c r="E1267" t="s">
        <v>18</v>
      </c>
      <c r="F1267">
        <v>85</v>
      </c>
      <c r="G1267" t="s">
        <v>25</v>
      </c>
      <c r="H1267" t="s">
        <v>18</v>
      </c>
      <c r="I1267">
        <v>83</v>
      </c>
      <c r="J1267">
        <v>7</v>
      </c>
      <c r="K1267">
        <v>5</v>
      </c>
      <c r="L1267">
        <v>54</v>
      </c>
      <c r="M1267" t="s">
        <v>20</v>
      </c>
      <c r="N1267" t="s">
        <v>80</v>
      </c>
      <c r="O1267">
        <v>44282</v>
      </c>
      <c r="P1267">
        <v>173</v>
      </c>
      <c r="Q1267" t="s">
        <v>50</v>
      </c>
      <c r="R1267" t="str">
        <f t="shared" si="20"/>
        <v>No</v>
      </c>
    </row>
    <row r="1268" spans="1:18" x14ac:dyDescent="0.35">
      <c r="A1268" s="1">
        <v>40366</v>
      </c>
      <c r="B1268">
        <v>0</v>
      </c>
      <c r="C1268" t="s">
        <v>16</v>
      </c>
      <c r="D1268" t="s">
        <v>62</v>
      </c>
      <c r="E1268" t="s">
        <v>18</v>
      </c>
      <c r="F1268">
        <v>84</v>
      </c>
      <c r="G1268" t="s">
        <v>26</v>
      </c>
      <c r="H1268" t="s">
        <v>18</v>
      </c>
      <c r="I1268">
        <v>85</v>
      </c>
      <c r="J1268">
        <v>6</v>
      </c>
      <c r="K1268">
        <v>7</v>
      </c>
      <c r="L1268">
        <v>51</v>
      </c>
      <c r="M1268" t="s">
        <v>20</v>
      </c>
      <c r="N1268" t="s">
        <v>27</v>
      </c>
      <c r="O1268">
        <v>13762</v>
      </c>
      <c r="P1268">
        <v>173</v>
      </c>
      <c r="Q1268" t="s">
        <v>26</v>
      </c>
      <c r="R1268" t="str">
        <f t="shared" si="20"/>
        <v>Yes</v>
      </c>
    </row>
    <row r="1269" spans="1:18" x14ac:dyDescent="0.35">
      <c r="A1269" s="1">
        <v>40367</v>
      </c>
      <c r="B1269">
        <v>0</v>
      </c>
      <c r="C1269" t="s">
        <v>28</v>
      </c>
      <c r="D1269" t="s">
        <v>31</v>
      </c>
      <c r="E1269" t="s">
        <v>30</v>
      </c>
      <c r="F1269">
        <v>88</v>
      </c>
      <c r="G1269" t="s">
        <v>34</v>
      </c>
      <c r="H1269" t="s">
        <v>30</v>
      </c>
      <c r="I1269">
        <v>84</v>
      </c>
      <c r="J1269">
        <v>0</v>
      </c>
      <c r="K1269">
        <v>1</v>
      </c>
      <c r="L1269">
        <v>51</v>
      </c>
      <c r="M1269" t="s">
        <v>38</v>
      </c>
      <c r="N1269" t="s">
        <v>35</v>
      </c>
      <c r="O1269">
        <v>27734</v>
      </c>
      <c r="P1269">
        <v>110</v>
      </c>
      <c r="Q1269" t="s">
        <v>34</v>
      </c>
      <c r="R1269" t="str">
        <f t="shared" si="20"/>
        <v>Yes</v>
      </c>
    </row>
    <row r="1270" spans="1:18" x14ac:dyDescent="0.35">
      <c r="A1270" s="1">
        <v>40367</v>
      </c>
      <c r="B1270">
        <v>0</v>
      </c>
      <c r="C1270" t="s">
        <v>28</v>
      </c>
      <c r="D1270" t="s">
        <v>59</v>
      </c>
      <c r="E1270" t="s">
        <v>30</v>
      </c>
      <c r="F1270">
        <v>85</v>
      </c>
      <c r="G1270" t="s">
        <v>40</v>
      </c>
      <c r="H1270" t="s">
        <v>30</v>
      </c>
      <c r="I1270">
        <v>85</v>
      </c>
      <c r="J1270">
        <v>3</v>
      </c>
      <c r="K1270">
        <v>1</v>
      </c>
      <c r="L1270">
        <v>54</v>
      </c>
      <c r="M1270" t="s">
        <v>20</v>
      </c>
      <c r="N1270" t="s">
        <v>77</v>
      </c>
      <c r="O1270">
        <v>37432</v>
      </c>
      <c r="P1270">
        <v>168</v>
      </c>
      <c r="Q1270" t="s">
        <v>59</v>
      </c>
      <c r="R1270" t="str">
        <f t="shared" si="20"/>
        <v>No</v>
      </c>
    </row>
    <row r="1271" spans="1:18" x14ac:dyDescent="0.35">
      <c r="A1271" s="1">
        <v>40367</v>
      </c>
      <c r="B1271">
        <v>0</v>
      </c>
      <c r="C1271" t="s">
        <v>28</v>
      </c>
      <c r="D1271" t="s">
        <v>33</v>
      </c>
      <c r="E1271" t="s">
        <v>30</v>
      </c>
      <c r="F1271">
        <v>85</v>
      </c>
      <c r="G1271" t="s">
        <v>44</v>
      </c>
      <c r="H1271" t="s">
        <v>30</v>
      </c>
      <c r="I1271">
        <v>85</v>
      </c>
      <c r="J1271">
        <v>2</v>
      </c>
      <c r="K1271">
        <v>5</v>
      </c>
      <c r="L1271">
        <v>51</v>
      </c>
      <c r="M1271" t="s">
        <v>20</v>
      </c>
      <c r="N1271" t="s">
        <v>45</v>
      </c>
      <c r="O1271">
        <v>16892</v>
      </c>
      <c r="P1271">
        <v>162</v>
      </c>
      <c r="Q1271" t="s">
        <v>44</v>
      </c>
      <c r="R1271" t="str">
        <f t="shared" si="20"/>
        <v>Yes</v>
      </c>
    </row>
    <row r="1272" spans="1:18" x14ac:dyDescent="0.35">
      <c r="A1272" s="1">
        <v>40367</v>
      </c>
      <c r="B1272">
        <v>0</v>
      </c>
      <c r="C1272" t="s">
        <v>28</v>
      </c>
      <c r="D1272" t="s">
        <v>43</v>
      </c>
      <c r="E1272" t="s">
        <v>30</v>
      </c>
      <c r="F1272">
        <v>85</v>
      </c>
      <c r="G1272" t="s">
        <v>47</v>
      </c>
      <c r="H1272" t="s">
        <v>30</v>
      </c>
      <c r="I1272">
        <v>85</v>
      </c>
      <c r="J1272">
        <v>6</v>
      </c>
      <c r="K1272">
        <v>4</v>
      </c>
      <c r="L1272">
        <v>54</v>
      </c>
      <c r="M1272" t="s">
        <v>20</v>
      </c>
      <c r="N1272" t="s">
        <v>48</v>
      </c>
      <c r="O1272">
        <v>16240</v>
      </c>
      <c r="P1272">
        <v>194</v>
      </c>
      <c r="Q1272" t="s">
        <v>43</v>
      </c>
      <c r="R1272" t="str">
        <f t="shared" si="20"/>
        <v>No</v>
      </c>
    </row>
    <row r="1273" spans="1:18" x14ac:dyDescent="0.35">
      <c r="A1273" s="1">
        <v>40367</v>
      </c>
      <c r="B1273">
        <v>0</v>
      </c>
      <c r="C1273" t="s">
        <v>28</v>
      </c>
      <c r="D1273" t="s">
        <v>29</v>
      </c>
      <c r="E1273" t="s">
        <v>30</v>
      </c>
      <c r="F1273">
        <v>85</v>
      </c>
      <c r="G1273" t="s">
        <v>46</v>
      </c>
      <c r="H1273" t="s">
        <v>30</v>
      </c>
      <c r="I1273">
        <v>86</v>
      </c>
      <c r="J1273">
        <v>1</v>
      </c>
      <c r="K1273">
        <v>8</v>
      </c>
      <c r="L1273">
        <v>51</v>
      </c>
      <c r="M1273" t="s">
        <v>20</v>
      </c>
      <c r="N1273" t="s">
        <v>78</v>
      </c>
      <c r="O1273">
        <v>15601</v>
      </c>
      <c r="P1273">
        <v>135</v>
      </c>
      <c r="Q1273" t="s">
        <v>46</v>
      </c>
      <c r="R1273" t="str">
        <f t="shared" si="20"/>
        <v>Yes</v>
      </c>
    </row>
    <row r="1274" spans="1:18" x14ac:dyDescent="0.35">
      <c r="A1274" s="1">
        <v>40367</v>
      </c>
      <c r="B1274">
        <v>0</v>
      </c>
      <c r="C1274" t="s">
        <v>28</v>
      </c>
      <c r="D1274" t="s">
        <v>17</v>
      </c>
      <c r="E1274" t="s">
        <v>18</v>
      </c>
      <c r="F1274">
        <v>85</v>
      </c>
      <c r="G1274" t="s">
        <v>60</v>
      </c>
      <c r="H1274" t="s">
        <v>18</v>
      </c>
      <c r="I1274">
        <v>86</v>
      </c>
      <c r="J1274">
        <v>4</v>
      </c>
      <c r="K1274">
        <v>10</v>
      </c>
      <c r="L1274">
        <v>51</v>
      </c>
      <c r="M1274" t="s">
        <v>20</v>
      </c>
      <c r="N1274" t="s">
        <v>61</v>
      </c>
      <c r="O1274">
        <v>16664</v>
      </c>
      <c r="P1274">
        <v>166</v>
      </c>
      <c r="Q1274" t="s">
        <v>60</v>
      </c>
      <c r="R1274" t="str">
        <f t="shared" si="20"/>
        <v>Yes</v>
      </c>
    </row>
    <row r="1275" spans="1:18" x14ac:dyDescent="0.35">
      <c r="A1275" s="1">
        <v>40367</v>
      </c>
      <c r="B1275">
        <v>0</v>
      </c>
      <c r="C1275" t="s">
        <v>28</v>
      </c>
      <c r="D1275" t="s">
        <v>52</v>
      </c>
      <c r="E1275" t="s">
        <v>18</v>
      </c>
      <c r="F1275">
        <v>85</v>
      </c>
      <c r="G1275" t="s">
        <v>63</v>
      </c>
      <c r="H1275" t="s">
        <v>18</v>
      </c>
      <c r="I1275">
        <v>85</v>
      </c>
      <c r="J1275">
        <v>2</v>
      </c>
      <c r="K1275">
        <v>4</v>
      </c>
      <c r="L1275">
        <v>51</v>
      </c>
      <c r="M1275" t="s">
        <v>38</v>
      </c>
      <c r="N1275" t="s">
        <v>64</v>
      </c>
      <c r="O1275">
        <v>37456</v>
      </c>
      <c r="P1275">
        <v>137</v>
      </c>
      <c r="Q1275" t="s">
        <v>63</v>
      </c>
      <c r="R1275" t="str">
        <f t="shared" si="20"/>
        <v>Yes</v>
      </c>
    </row>
    <row r="1276" spans="1:18" x14ac:dyDescent="0.35">
      <c r="A1276" s="1">
        <v>40367</v>
      </c>
      <c r="B1276">
        <v>0</v>
      </c>
      <c r="C1276" t="s">
        <v>28</v>
      </c>
      <c r="D1276" t="s">
        <v>23</v>
      </c>
      <c r="E1276" t="s">
        <v>18</v>
      </c>
      <c r="F1276">
        <v>85</v>
      </c>
      <c r="G1276" t="s">
        <v>66</v>
      </c>
      <c r="H1276" t="s">
        <v>18</v>
      </c>
      <c r="I1276">
        <v>86</v>
      </c>
      <c r="J1276">
        <v>0</v>
      </c>
      <c r="K1276">
        <v>2</v>
      </c>
      <c r="L1276">
        <v>51</v>
      </c>
      <c r="M1276" t="s">
        <v>38</v>
      </c>
      <c r="N1276" t="s">
        <v>67</v>
      </c>
      <c r="O1276">
        <v>24416</v>
      </c>
      <c r="P1276">
        <v>148</v>
      </c>
      <c r="Q1276" t="s">
        <v>66</v>
      </c>
      <c r="R1276" t="str">
        <f t="shared" si="20"/>
        <v>Yes</v>
      </c>
    </row>
    <row r="1277" spans="1:18" x14ac:dyDescent="0.35">
      <c r="A1277" s="1">
        <v>40367</v>
      </c>
      <c r="B1277">
        <v>0</v>
      </c>
      <c r="C1277" t="s">
        <v>28</v>
      </c>
      <c r="D1277" t="s">
        <v>49</v>
      </c>
      <c r="E1277" t="s">
        <v>18</v>
      </c>
      <c r="F1277">
        <v>86</v>
      </c>
      <c r="G1277" t="s">
        <v>22</v>
      </c>
      <c r="H1277" t="s">
        <v>18</v>
      </c>
      <c r="I1277">
        <v>85</v>
      </c>
      <c r="J1277">
        <v>2</v>
      </c>
      <c r="K1277">
        <v>3</v>
      </c>
      <c r="L1277">
        <v>51</v>
      </c>
      <c r="M1277" t="s">
        <v>20</v>
      </c>
      <c r="N1277" t="s">
        <v>85</v>
      </c>
      <c r="O1277">
        <v>43640</v>
      </c>
      <c r="P1277">
        <v>135</v>
      </c>
      <c r="Q1277" t="s">
        <v>22</v>
      </c>
      <c r="R1277" t="str">
        <f t="shared" si="20"/>
        <v>Yes</v>
      </c>
    </row>
    <row r="1278" spans="1:18" x14ac:dyDescent="0.35">
      <c r="A1278" s="1">
        <v>40367</v>
      </c>
      <c r="B1278">
        <v>0</v>
      </c>
      <c r="C1278" t="s">
        <v>28</v>
      </c>
      <c r="D1278" t="s">
        <v>70</v>
      </c>
      <c r="E1278" t="s">
        <v>18</v>
      </c>
      <c r="F1278">
        <v>85</v>
      </c>
      <c r="G1278" t="s">
        <v>68</v>
      </c>
      <c r="H1278" t="s">
        <v>18</v>
      </c>
      <c r="I1278">
        <v>86</v>
      </c>
      <c r="J1278">
        <v>9</v>
      </c>
      <c r="K1278">
        <v>3</v>
      </c>
      <c r="L1278">
        <v>54</v>
      </c>
      <c r="M1278" t="s">
        <v>38</v>
      </c>
      <c r="N1278" t="s">
        <v>69</v>
      </c>
      <c r="O1278">
        <v>34590</v>
      </c>
      <c r="P1278">
        <v>214</v>
      </c>
      <c r="Q1278" t="s">
        <v>70</v>
      </c>
      <c r="R1278" t="str">
        <f t="shared" si="20"/>
        <v>No</v>
      </c>
    </row>
    <row r="1279" spans="1:18" x14ac:dyDescent="0.35">
      <c r="A1279" s="1">
        <v>40367</v>
      </c>
      <c r="B1279">
        <v>0</v>
      </c>
      <c r="C1279" t="s">
        <v>28</v>
      </c>
      <c r="D1279" t="s">
        <v>53</v>
      </c>
      <c r="E1279" t="s">
        <v>18</v>
      </c>
      <c r="F1279">
        <v>87</v>
      </c>
      <c r="G1279" t="s">
        <v>25</v>
      </c>
      <c r="H1279" t="s">
        <v>18</v>
      </c>
      <c r="I1279">
        <v>84</v>
      </c>
      <c r="J1279">
        <v>3</v>
      </c>
      <c r="K1279">
        <v>4</v>
      </c>
      <c r="L1279">
        <v>70</v>
      </c>
      <c r="M1279" t="s">
        <v>20</v>
      </c>
      <c r="N1279" t="s">
        <v>80</v>
      </c>
      <c r="O1279">
        <v>45086</v>
      </c>
      <c r="P1279">
        <v>222</v>
      </c>
      <c r="Q1279" t="s">
        <v>25</v>
      </c>
      <c r="R1279" t="str">
        <f t="shared" si="20"/>
        <v>Yes</v>
      </c>
    </row>
    <row r="1280" spans="1:18" x14ac:dyDescent="0.35">
      <c r="A1280" s="1">
        <v>40367</v>
      </c>
      <c r="B1280">
        <v>0</v>
      </c>
      <c r="C1280" t="s">
        <v>28</v>
      </c>
      <c r="D1280" t="s">
        <v>62</v>
      </c>
      <c r="E1280" t="s">
        <v>18</v>
      </c>
      <c r="F1280">
        <v>85</v>
      </c>
      <c r="G1280" t="s">
        <v>26</v>
      </c>
      <c r="H1280" t="s">
        <v>18</v>
      </c>
      <c r="I1280">
        <v>86</v>
      </c>
      <c r="J1280">
        <v>7</v>
      </c>
      <c r="K1280">
        <v>1</v>
      </c>
      <c r="L1280">
        <v>54</v>
      </c>
      <c r="M1280" t="s">
        <v>20</v>
      </c>
      <c r="N1280" t="s">
        <v>27</v>
      </c>
      <c r="O1280">
        <v>17364</v>
      </c>
      <c r="P1280">
        <v>153</v>
      </c>
      <c r="Q1280" t="s">
        <v>62</v>
      </c>
      <c r="R1280" t="str">
        <f t="shared" si="20"/>
        <v>No</v>
      </c>
    </row>
    <row r="1281" spans="1:18" x14ac:dyDescent="0.35">
      <c r="A1281" s="1">
        <v>40368</v>
      </c>
      <c r="B1281">
        <v>0</v>
      </c>
      <c r="C1281" t="s">
        <v>55</v>
      </c>
      <c r="D1281" t="s">
        <v>37</v>
      </c>
      <c r="E1281" t="s">
        <v>30</v>
      </c>
      <c r="F1281">
        <v>86</v>
      </c>
      <c r="G1281" t="s">
        <v>34</v>
      </c>
      <c r="H1281" t="s">
        <v>30</v>
      </c>
      <c r="I1281">
        <v>85</v>
      </c>
      <c r="J1281">
        <v>2</v>
      </c>
      <c r="K1281">
        <v>8</v>
      </c>
      <c r="L1281">
        <v>51</v>
      </c>
      <c r="M1281" t="s">
        <v>20</v>
      </c>
      <c r="N1281" t="s">
        <v>35</v>
      </c>
      <c r="O1281">
        <v>25572</v>
      </c>
      <c r="P1281">
        <v>158</v>
      </c>
      <c r="Q1281" t="s">
        <v>34</v>
      </c>
      <c r="R1281" t="str">
        <f t="shared" si="20"/>
        <v>Yes</v>
      </c>
    </row>
    <row r="1282" spans="1:18" x14ac:dyDescent="0.35">
      <c r="A1282" s="1">
        <v>40368</v>
      </c>
      <c r="B1282">
        <v>0</v>
      </c>
      <c r="C1282" t="s">
        <v>55</v>
      </c>
      <c r="D1282" t="s">
        <v>29</v>
      </c>
      <c r="E1282" t="s">
        <v>30</v>
      </c>
      <c r="F1282">
        <v>86</v>
      </c>
      <c r="G1282" t="s">
        <v>36</v>
      </c>
      <c r="H1282" t="s">
        <v>30</v>
      </c>
      <c r="I1282">
        <v>84</v>
      </c>
      <c r="J1282">
        <v>3</v>
      </c>
      <c r="K1282">
        <v>7</v>
      </c>
      <c r="L1282">
        <v>51</v>
      </c>
      <c r="M1282" t="s">
        <v>20</v>
      </c>
      <c r="N1282" t="s">
        <v>57</v>
      </c>
      <c r="O1282">
        <v>42549</v>
      </c>
      <c r="P1282">
        <v>193</v>
      </c>
      <c r="Q1282" t="s">
        <v>36</v>
      </c>
      <c r="R1282" t="str">
        <f t="shared" si="20"/>
        <v>Yes</v>
      </c>
    </row>
    <row r="1283" spans="1:18" x14ac:dyDescent="0.35">
      <c r="A1283" s="1">
        <v>40368</v>
      </c>
      <c r="B1283">
        <v>0</v>
      </c>
      <c r="C1283" t="s">
        <v>55</v>
      </c>
      <c r="D1283" t="s">
        <v>31</v>
      </c>
      <c r="E1283" t="s">
        <v>30</v>
      </c>
      <c r="F1283">
        <v>89</v>
      </c>
      <c r="G1283" t="s">
        <v>41</v>
      </c>
      <c r="H1283" t="s">
        <v>30</v>
      </c>
      <c r="I1283">
        <v>87</v>
      </c>
      <c r="J1283">
        <v>6</v>
      </c>
      <c r="K1283">
        <v>5</v>
      </c>
      <c r="L1283">
        <v>60</v>
      </c>
      <c r="M1283" t="s">
        <v>20</v>
      </c>
      <c r="N1283" t="s">
        <v>42</v>
      </c>
      <c r="O1283">
        <v>13156</v>
      </c>
      <c r="P1283">
        <v>179</v>
      </c>
      <c r="Q1283" t="s">
        <v>31</v>
      </c>
      <c r="R1283" t="str">
        <f t="shared" ref="R1283:R1346" si="21">IF(K1283&gt;J1283,"Yes","No")</f>
        <v>No</v>
      </c>
    </row>
    <row r="1284" spans="1:18" x14ac:dyDescent="0.35">
      <c r="A1284" s="1">
        <v>40368</v>
      </c>
      <c r="B1284">
        <v>0</v>
      </c>
      <c r="C1284" t="s">
        <v>55</v>
      </c>
      <c r="D1284" t="s">
        <v>59</v>
      </c>
      <c r="E1284" t="s">
        <v>30</v>
      </c>
      <c r="F1284">
        <v>86</v>
      </c>
      <c r="G1284" t="s">
        <v>40</v>
      </c>
      <c r="H1284" t="s">
        <v>30</v>
      </c>
      <c r="I1284">
        <v>86</v>
      </c>
      <c r="J1284">
        <v>6</v>
      </c>
      <c r="K1284">
        <v>1</v>
      </c>
      <c r="L1284">
        <v>54</v>
      </c>
      <c r="M1284" t="s">
        <v>20</v>
      </c>
      <c r="N1284" t="s">
        <v>77</v>
      </c>
      <c r="O1284">
        <v>39645</v>
      </c>
      <c r="P1284">
        <v>175</v>
      </c>
      <c r="Q1284" t="s">
        <v>59</v>
      </c>
      <c r="R1284" t="str">
        <f t="shared" si="21"/>
        <v>No</v>
      </c>
    </row>
    <row r="1285" spans="1:18" x14ac:dyDescent="0.35">
      <c r="A1285" s="1">
        <v>40368</v>
      </c>
      <c r="B1285">
        <v>0</v>
      </c>
      <c r="C1285" t="s">
        <v>55</v>
      </c>
      <c r="D1285" t="s">
        <v>33</v>
      </c>
      <c r="E1285" t="s">
        <v>30</v>
      </c>
      <c r="F1285">
        <v>86</v>
      </c>
      <c r="G1285" t="s">
        <v>44</v>
      </c>
      <c r="H1285" t="s">
        <v>30</v>
      </c>
      <c r="I1285">
        <v>86</v>
      </c>
      <c r="J1285">
        <v>9</v>
      </c>
      <c r="K1285">
        <v>3</v>
      </c>
      <c r="L1285">
        <v>54</v>
      </c>
      <c r="M1285" t="s">
        <v>20</v>
      </c>
      <c r="N1285" t="s">
        <v>45</v>
      </c>
      <c r="O1285">
        <v>23116</v>
      </c>
      <c r="P1285">
        <v>189</v>
      </c>
      <c r="Q1285" t="s">
        <v>33</v>
      </c>
      <c r="R1285" t="str">
        <f t="shared" si="21"/>
        <v>No</v>
      </c>
    </row>
    <row r="1286" spans="1:18" x14ac:dyDescent="0.35">
      <c r="A1286" s="1">
        <v>40368</v>
      </c>
      <c r="B1286">
        <v>0</v>
      </c>
      <c r="C1286" t="s">
        <v>55</v>
      </c>
      <c r="D1286" t="s">
        <v>43</v>
      </c>
      <c r="E1286" t="s">
        <v>30</v>
      </c>
      <c r="F1286">
        <v>86</v>
      </c>
      <c r="G1286" t="s">
        <v>47</v>
      </c>
      <c r="H1286" t="s">
        <v>30</v>
      </c>
      <c r="I1286">
        <v>86</v>
      </c>
      <c r="J1286">
        <v>7</v>
      </c>
      <c r="K1286">
        <v>6</v>
      </c>
      <c r="L1286">
        <v>60</v>
      </c>
      <c r="M1286" t="s">
        <v>20</v>
      </c>
      <c r="N1286" t="s">
        <v>48</v>
      </c>
      <c r="O1286">
        <v>24216</v>
      </c>
      <c r="P1286">
        <v>231</v>
      </c>
      <c r="Q1286" t="s">
        <v>43</v>
      </c>
      <c r="R1286" t="str">
        <f t="shared" si="21"/>
        <v>No</v>
      </c>
    </row>
    <row r="1287" spans="1:18" x14ac:dyDescent="0.35">
      <c r="A1287" s="1">
        <v>40368</v>
      </c>
      <c r="B1287">
        <v>0</v>
      </c>
      <c r="C1287" t="s">
        <v>55</v>
      </c>
      <c r="D1287" t="s">
        <v>58</v>
      </c>
      <c r="E1287" t="s">
        <v>30</v>
      </c>
      <c r="F1287">
        <v>86</v>
      </c>
      <c r="G1287" t="s">
        <v>46</v>
      </c>
      <c r="H1287" t="s">
        <v>30</v>
      </c>
      <c r="I1287">
        <v>87</v>
      </c>
      <c r="J1287">
        <v>14</v>
      </c>
      <c r="K1287">
        <v>3</v>
      </c>
      <c r="L1287">
        <v>54</v>
      </c>
      <c r="M1287" t="s">
        <v>20</v>
      </c>
      <c r="N1287" t="s">
        <v>78</v>
      </c>
      <c r="O1287">
        <v>27567</v>
      </c>
      <c r="P1287">
        <v>193</v>
      </c>
      <c r="Q1287" t="s">
        <v>58</v>
      </c>
      <c r="R1287" t="str">
        <f t="shared" si="21"/>
        <v>No</v>
      </c>
    </row>
    <row r="1288" spans="1:18" x14ac:dyDescent="0.35">
      <c r="A1288" s="1">
        <v>40368</v>
      </c>
      <c r="B1288">
        <v>0</v>
      </c>
      <c r="C1288" t="s">
        <v>55</v>
      </c>
      <c r="D1288" t="s">
        <v>17</v>
      </c>
      <c r="E1288" t="s">
        <v>18</v>
      </c>
      <c r="F1288">
        <v>86</v>
      </c>
      <c r="G1288" t="s">
        <v>60</v>
      </c>
      <c r="H1288" t="s">
        <v>18</v>
      </c>
      <c r="I1288">
        <v>87</v>
      </c>
      <c r="J1288">
        <v>3</v>
      </c>
      <c r="K1288">
        <v>2</v>
      </c>
      <c r="L1288">
        <v>54</v>
      </c>
      <c r="M1288" t="s">
        <v>20</v>
      </c>
      <c r="N1288" t="s">
        <v>61</v>
      </c>
      <c r="O1288">
        <v>18117</v>
      </c>
      <c r="P1288">
        <v>162</v>
      </c>
      <c r="Q1288" t="s">
        <v>17</v>
      </c>
      <c r="R1288" t="str">
        <f t="shared" si="21"/>
        <v>No</v>
      </c>
    </row>
    <row r="1289" spans="1:18" x14ac:dyDescent="0.35">
      <c r="A1289" s="1">
        <v>40368</v>
      </c>
      <c r="B1289">
        <v>0</v>
      </c>
      <c r="C1289" t="s">
        <v>55</v>
      </c>
      <c r="D1289" t="s">
        <v>62</v>
      </c>
      <c r="E1289" t="s">
        <v>18</v>
      </c>
      <c r="F1289">
        <v>86</v>
      </c>
      <c r="G1289" t="s">
        <v>63</v>
      </c>
      <c r="H1289" t="s">
        <v>18</v>
      </c>
      <c r="I1289">
        <v>86</v>
      </c>
      <c r="J1289">
        <v>8</v>
      </c>
      <c r="K1289">
        <v>10</v>
      </c>
      <c r="L1289">
        <v>51</v>
      </c>
      <c r="M1289" t="s">
        <v>20</v>
      </c>
      <c r="N1289" t="s">
        <v>64</v>
      </c>
      <c r="O1289">
        <v>36123</v>
      </c>
      <c r="P1289">
        <v>205</v>
      </c>
      <c r="Q1289" t="s">
        <v>63</v>
      </c>
      <c r="R1289" t="str">
        <f t="shared" si="21"/>
        <v>Yes</v>
      </c>
    </row>
    <row r="1290" spans="1:18" x14ac:dyDescent="0.35">
      <c r="A1290" s="1">
        <v>40368</v>
      </c>
      <c r="B1290">
        <v>0</v>
      </c>
      <c r="C1290" t="s">
        <v>55</v>
      </c>
      <c r="D1290" t="s">
        <v>52</v>
      </c>
      <c r="E1290" t="s">
        <v>18</v>
      </c>
      <c r="F1290">
        <v>86</v>
      </c>
      <c r="G1290" t="s">
        <v>66</v>
      </c>
      <c r="H1290" t="s">
        <v>18</v>
      </c>
      <c r="I1290">
        <v>87</v>
      </c>
      <c r="J1290">
        <v>8</v>
      </c>
      <c r="K1290">
        <v>0</v>
      </c>
      <c r="L1290">
        <v>54</v>
      </c>
      <c r="M1290" t="s">
        <v>20</v>
      </c>
      <c r="N1290" t="s">
        <v>67</v>
      </c>
      <c r="O1290">
        <v>33224</v>
      </c>
      <c r="P1290">
        <v>159</v>
      </c>
      <c r="Q1290" t="s">
        <v>52</v>
      </c>
      <c r="R1290" t="str">
        <f t="shared" si="21"/>
        <v>No</v>
      </c>
    </row>
    <row r="1291" spans="1:18" x14ac:dyDescent="0.35">
      <c r="A1291" s="1">
        <v>40368</v>
      </c>
      <c r="B1291">
        <v>0</v>
      </c>
      <c r="C1291" t="s">
        <v>55</v>
      </c>
      <c r="D1291" t="s">
        <v>49</v>
      </c>
      <c r="E1291" t="s">
        <v>18</v>
      </c>
      <c r="F1291">
        <v>87</v>
      </c>
      <c r="G1291" t="s">
        <v>22</v>
      </c>
      <c r="H1291" t="s">
        <v>18</v>
      </c>
      <c r="I1291">
        <v>86</v>
      </c>
      <c r="J1291">
        <v>7</v>
      </c>
      <c r="K1291">
        <v>9</v>
      </c>
      <c r="L1291">
        <v>51</v>
      </c>
      <c r="M1291" t="s">
        <v>20</v>
      </c>
      <c r="N1291" t="s">
        <v>85</v>
      </c>
      <c r="O1291">
        <v>43790</v>
      </c>
      <c r="P1291">
        <v>181</v>
      </c>
      <c r="Q1291" t="s">
        <v>22</v>
      </c>
      <c r="R1291" t="str">
        <f t="shared" si="21"/>
        <v>Yes</v>
      </c>
    </row>
    <row r="1292" spans="1:18" x14ac:dyDescent="0.35">
      <c r="A1292" s="1">
        <v>40368</v>
      </c>
      <c r="B1292">
        <v>0</v>
      </c>
      <c r="C1292" t="s">
        <v>55</v>
      </c>
      <c r="D1292" t="s">
        <v>23</v>
      </c>
      <c r="E1292" t="s">
        <v>18</v>
      </c>
      <c r="F1292">
        <v>86</v>
      </c>
      <c r="G1292" t="s">
        <v>68</v>
      </c>
      <c r="H1292" t="s">
        <v>18</v>
      </c>
      <c r="I1292">
        <v>87</v>
      </c>
      <c r="J1292">
        <v>4</v>
      </c>
      <c r="K1292">
        <v>5</v>
      </c>
      <c r="L1292">
        <v>59</v>
      </c>
      <c r="M1292" t="s">
        <v>20</v>
      </c>
      <c r="N1292" t="s">
        <v>69</v>
      </c>
      <c r="O1292">
        <v>27767</v>
      </c>
      <c r="P1292">
        <v>180</v>
      </c>
      <c r="Q1292" t="s">
        <v>68</v>
      </c>
      <c r="R1292" t="str">
        <f t="shared" si="21"/>
        <v>Yes</v>
      </c>
    </row>
    <row r="1293" spans="1:18" x14ac:dyDescent="0.35">
      <c r="A1293" s="1">
        <v>40368</v>
      </c>
      <c r="B1293">
        <v>0</v>
      </c>
      <c r="C1293" t="s">
        <v>55</v>
      </c>
      <c r="D1293" t="s">
        <v>50</v>
      </c>
      <c r="E1293" t="s">
        <v>18</v>
      </c>
      <c r="F1293">
        <v>86</v>
      </c>
      <c r="G1293" t="s">
        <v>19</v>
      </c>
      <c r="H1293" t="s">
        <v>18</v>
      </c>
      <c r="I1293">
        <v>86</v>
      </c>
      <c r="J1293">
        <v>4</v>
      </c>
      <c r="K1293">
        <v>2</v>
      </c>
      <c r="L1293">
        <v>54</v>
      </c>
      <c r="M1293" t="s">
        <v>20</v>
      </c>
      <c r="N1293" t="s">
        <v>21</v>
      </c>
      <c r="O1293">
        <v>36356</v>
      </c>
      <c r="P1293">
        <v>186</v>
      </c>
      <c r="Q1293" t="s">
        <v>50</v>
      </c>
      <c r="R1293" t="str">
        <f t="shared" si="21"/>
        <v>No</v>
      </c>
    </row>
    <row r="1294" spans="1:18" x14ac:dyDescent="0.35">
      <c r="A1294" s="1">
        <v>40368</v>
      </c>
      <c r="B1294">
        <v>0</v>
      </c>
      <c r="C1294" t="s">
        <v>55</v>
      </c>
      <c r="D1294" t="s">
        <v>53</v>
      </c>
      <c r="E1294" t="s">
        <v>18</v>
      </c>
      <c r="F1294">
        <v>88</v>
      </c>
      <c r="G1294" t="s">
        <v>25</v>
      </c>
      <c r="H1294" t="s">
        <v>18</v>
      </c>
      <c r="I1294">
        <v>85</v>
      </c>
      <c r="J1294">
        <v>7</v>
      </c>
      <c r="K1294">
        <v>9</v>
      </c>
      <c r="L1294">
        <v>57</v>
      </c>
      <c r="M1294" t="s">
        <v>20</v>
      </c>
      <c r="N1294" t="s">
        <v>80</v>
      </c>
      <c r="O1294">
        <v>45029</v>
      </c>
      <c r="P1294">
        <v>183</v>
      </c>
      <c r="Q1294" t="s">
        <v>25</v>
      </c>
      <c r="R1294" t="str">
        <f t="shared" si="21"/>
        <v>Yes</v>
      </c>
    </row>
    <row r="1295" spans="1:18" x14ac:dyDescent="0.35">
      <c r="A1295" s="1">
        <v>40368</v>
      </c>
      <c r="B1295">
        <v>0</v>
      </c>
      <c r="C1295" t="s">
        <v>55</v>
      </c>
      <c r="D1295" t="s">
        <v>70</v>
      </c>
      <c r="E1295" t="s">
        <v>18</v>
      </c>
      <c r="F1295">
        <v>86</v>
      </c>
      <c r="G1295" t="s">
        <v>26</v>
      </c>
      <c r="H1295" t="s">
        <v>18</v>
      </c>
      <c r="I1295">
        <v>87</v>
      </c>
      <c r="J1295">
        <v>1</v>
      </c>
      <c r="K1295">
        <v>8</v>
      </c>
      <c r="L1295">
        <v>51</v>
      </c>
      <c r="M1295" t="s">
        <v>20</v>
      </c>
      <c r="N1295" t="s">
        <v>27</v>
      </c>
      <c r="O1295">
        <v>34723</v>
      </c>
      <c r="P1295">
        <v>161</v>
      </c>
      <c r="Q1295" t="s">
        <v>26</v>
      </c>
      <c r="R1295" t="str">
        <f t="shared" si="21"/>
        <v>Yes</v>
      </c>
    </row>
    <row r="1296" spans="1:18" x14ac:dyDescent="0.35">
      <c r="A1296" s="1">
        <v>40369</v>
      </c>
      <c r="B1296">
        <v>0</v>
      </c>
      <c r="C1296" t="s">
        <v>72</v>
      </c>
      <c r="D1296" t="s">
        <v>37</v>
      </c>
      <c r="E1296" t="s">
        <v>30</v>
      </c>
      <c r="F1296">
        <v>87</v>
      </c>
      <c r="G1296" t="s">
        <v>34</v>
      </c>
      <c r="H1296" t="s">
        <v>30</v>
      </c>
      <c r="I1296">
        <v>86</v>
      </c>
      <c r="J1296">
        <v>1</v>
      </c>
      <c r="K1296">
        <v>5</v>
      </c>
      <c r="L1296">
        <v>51</v>
      </c>
      <c r="M1296" t="s">
        <v>20</v>
      </c>
      <c r="N1296" t="s">
        <v>35</v>
      </c>
      <c r="O1296">
        <v>32339</v>
      </c>
      <c r="P1296">
        <v>142</v>
      </c>
      <c r="Q1296" t="s">
        <v>34</v>
      </c>
      <c r="R1296" t="str">
        <f t="shared" si="21"/>
        <v>Yes</v>
      </c>
    </row>
    <row r="1297" spans="1:18" x14ac:dyDescent="0.35">
      <c r="A1297" s="1">
        <v>40369</v>
      </c>
      <c r="B1297">
        <v>0</v>
      </c>
      <c r="C1297" t="s">
        <v>72</v>
      </c>
      <c r="D1297" t="s">
        <v>29</v>
      </c>
      <c r="E1297" t="s">
        <v>30</v>
      </c>
      <c r="F1297">
        <v>87</v>
      </c>
      <c r="G1297" t="s">
        <v>36</v>
      </c>
      <c r="H1297" t="s">
        <v>30</v>
      </c>
      <c r="I1297">
        <v>85</v>
      </c>
      <c r="J1297">
        <v>4</v>
      </c>
      <c r="K1297">
        <v>7</v>
      </c>
      <c r="L1297">
        <v>51</v>
      </c>
      <c r="M1297" t="s">
        <v>38</v>
      </c>
      <c r="N1297" t="s">
        <v>57</v>
      </c>
      <c r="O1297">
        <v>41461</v>
      </c>
      <c r="P1297">
        <v>158</v>
      </c>
      <c r="Q1297" t="s">
        <v>36</v>
      </c>
      <c r="R1297" t="str">
        <f t="shared" si="21"/>
        <v>Yes</v>
      </c>
    </row>
    <row r="1298" spans="1:18" x14ac:dyDescent="0.35">
      <c r="A1298" s="1">
        <v>40369</v>
      </c>
      <c r="B1298">
        <v>0</v>
      </c>
      <c r="C1298" t="s">
        <v>72</v>
      </c>
      <c r="D1298" t="s">
        <v>31</v>
      </c>
      <c r="E1298" t="s">
        <v>30</v>
      </c>
      <c r="F1298">
        <v>90</v>
      </c>
      <c r="G1298" t="s">
        <v>41</v>
      </c>
      <c r="H1298" t="s">
        <v>30</v>
      </c>
      <c r="I1298">
        <v>88</v>
      </c>
      <c r="J1298">
        <v>1</v>
      </c>
      <c r="K1298">
        <v>15</v>
      </c>
      <c r="L1298">
        <v>51</v>
      </c>
      <c r="M1298" t="s">
        <v>20</v>
      </c>
      <c r="N1298" t="s">
        <v>42</v>
      </c>
      <c r="O1298">
        <v>30035</v>
      </c>
      <c r="P1298">
        <v>152</v>
      </c>
      <c r="Q1298" t="s">
        <v>41</v>
      </c>
      <c r="R1298" t="str">
        <f t="shared" si="21"/>
        <v>Yes</v>
      </c>
    </row>
    <row r="1299" spans="1:18" x14ac:dyDescent="0.35">
      <c r="A1299" s="1">
        <v>40369</v>
      </c>
      <c r="B1299">
        <v>0</v>
      </c>
      <c r="C1299" t="s">
        <v>72</v>
      </c>
      <c r="D1299" t="s">
        <v>59</v>
      </c>
      <c r="E1299" t="s">
        <v>30</v>
      </c>
      <c r="F1299">
        <v>87</v>
      </c>
      <c r="G1299" t="s">
        <v>40</v>
      </c>
      <c r="H1299" t="s">
        <v>30</v>
      </c>
      <c r="I1299">
        <v>87</v>
      </c>
      <c r="J1299">
        <v>1</v>
      </c>
      <c r="K1299">
        <v>4</v>
      </c>
      <c r="L1299">
        <v>51</v>
      </c>
      <c r="M1299" t="s">
        <v>20</v>
      </c>
      <c r="N1299" t="s">
        <v>77</v>
      </c>
      <c r="O1299">
        <v>42558</v>
      </c>
      <c r="P1299">
        <v>165</v>
      </c>
      <c r="Q1299" t="s">
        <v>40</v>
      </c>
      <c r="R1299" t="str">
        <f t="shared" si="21"/>
        <v>Yes</v>
      </c>
    </row>
    <row r="1300" spans="1:18" x14ac:dyDescent="0.35">
      <c r="A1300" s="1">
        <v>40369</v>
      </c>
      <c r="B1300">
        <v>0</v>
      </c>
      <c r="C1300" t="s">
        <v>72</v>
      </c>
      <c r="D1300" t="s">
        <v>33</v>
      </c>
      <c r="E1300" t="s">
        <v>30</v>
      </c>
      <c r="F1300">
        <v>87</v>
      </c>
      <c r="G1300" t="s">
        <v>44</v>
      </c>
      <c r="H1300" t="s">
        <v>30</v>
      </c>
      <c r="I1300">
        <v>87</v>
      </c>
      <c r="J1300">
        <v>0</v>
      </c>
      <c r="K1300">
        <v>4</v>
      </c>
      <c r="L1300">
        <v>51</v>
      </c>
      <c r="M1300" t="s">
        <v>20</v>
      </c>
      <c r="N1300" t="s">
        <v>45</v>
      </c>
      <c r="O1300">
        <v>20091</v>
      </c>
      <c r="P1300">
        <v>175</v>
      </c>
      <c r="Q1300" t="s">
        <v>44</v>
      </c>
      <c r="R1300" t="str">
        <f t="shared" si="21"/>
        <v>Yes</v>
      </c>
    </row>
    <row r="1301" spans="1:18" x14ac:dyDescent="0.35">
      <c r="A1301" s="1">
        <v>40369</v>
      </c>
      <c r="B1301">
        <v>0</v>
      </c>
      <c r="C1301" t="s">
        <v>72</v>
      </c>
      <c r="D1301" t="s">
        <v>43</v>
      </c>
      <c r="E1301" t="s">
        <v>30</v>
      </c>
      <c r="F1301">
        <v>87</v>
      </c>
      <c r="G1301" t="s">
        <v>47</v>
      </c>
      <c r="H1301" t="s">
        <v>30</v>
      </c>
      <c r="I1301">
        <v>87</v>
      </c>
      <c r="J1301">
        <v>6</v>
      </c>
      <c r="K1301">
        <v>1</v>
      </c>
      <c r="L1301">
        <v>54</v>
      </c>
      <c r="M1301" t="s">
        <v>20</v>
      </c>
      <c r="N1301" t="s">
        <v>48</v>
      </c>
      <c r="O1301">
        <v>41093</v>
      </c>
      <c r="P1301">
        <v>140</v>
      </c>
      <c r="Q1301" t="s">
        <v>43</v>
      </c>
      <c r="R1301" t="str">
        <f t="shared" si="21"/>
        <v>No</v>
      </c>
    </row>
    <row r="1302" spans="1:18" x14ac:dyDescent="0.35">
      <c r="A1302" s="1">
        <v>40369</v>
      </c>
      <c r="B1302">
        <v>0</v>
      </c>
      <c r="C1302" t="s">
        <v>72</v>
      </c>
      <c r="D1302" t="s">
        <v>58</v>
      </c>
      <c r="E1302" t="s">
        <v>30</v>
      </c>
      <c r="F1302">
        <v>87</v>
      </c>
      <c r="G1302" t="s">
        <v>46</v>
      </c>
      <c r="H1302" t="s">
        <v>30</v>
      </c>
      <c r="I1302">
        <v>88</v>
      </c>
      <c r="J1302">
        <v>5</v>
      </c>
      <c r="K1302">
        <v>9</v>
      </c>
      <c r="L1302">
        <v>51</v>
      </c>
      <c r="M1302" t="s">
        <v>38</v>
      </c>
      <c r="N1302" t="s">
        <v>78</v>
      </c>
      <c r="O1302">
        <v>35037</v>
      </c>
      <c r="P1302">
        <v>209</v>
      </c>
      <c r="Q1302" t="s">
        <v>46</v>
      </c>
      <c r="R1302" t="str">
        <f t="shared" si="21"/>
        <v>Yes</v>
      </c>
    </row>
    <row r="1303" spans="1:18" x14ac:dyDescent="0.35">
      <c r="A1303" s="1">
        <v>40369</v>
      </c>
      <c r="B1303">
        <v>0</v>
      </c>
      <c r="C1303" t="s">
        <v>72</v>
      </c>
      <c r="D1303" t="s">
        <v>17</v>
      </c>
      <c r="E1303" t="s">
        <v>18</v>
      </c>
      <c r="F1303">
        <v>87</v>
      </c>
      <c r="G1303" t="s">
        <v>60</v>
      </c>
      <c r="H1303" t="s">
        <v>18</v>
      </c>
      <c r="I1303">
        <v>88</v>
      </c>
      <c r="J1303">
        <v>4</v>
      </c>
      <c r="K1303">
        <v>5</v>
      </c>
      <c r="L1303">
        <v>51</v>
      </c>
      <c r="M1303" t="s">
        <v>20</v>
      </c>
      <c r="N1303" t="s">
        <v>61</v>
      </c>
      <c r="O1303">
        <v>21627</v>
      </c>
      <c r="P1303">
        <v>171</v>
      </c>
      <c r="Q1303" t="s">
        <v>60</v>
      </c>
      <c r="R1303" t="str">
        <f t="shared" si="21"/>
        <v>Yes</v>
      </c>
    </row>
    <row r="1304" spans="1:18" x14ac:dyDescent="0.35">
      <c r="A1304" s="1">
        <v>40369</v>
      </c>
      <c r="B1304">
        <v>0</v>
      </c>
      <c r="C1304" t="s">
        <v>72</v>
      </c>
      <c r="D1304" t="s">
        <v>62</v>
      </c>
      <c r="E1304" t="s">
        <v>18</v>
      </c>
      <c r="F1304">
        <v>87</v>
      </c>
      <c r="G1304" t="s">
        <v>63</v>
      </c>
      <c r="H1304" t="s">
        <v>18</v>
      </c>
      <c r="I1304">
        <v>87</v>
      </c>
      <c r="J1304">
        <v>2</v>
      </c>
      <c r="K1304">
        <v>4</v>
      </c>
      <c r="L1304">
        <v>51</v>
      </c>
      <c r="M1304" t="s">
        <v>20</v>
      </c>
      <c r="N1304" t="s">
        <v>64</v>
      </c>
      <c r="O1304">
        <v>45069</v>
      </c>
      <c r="P1304">
        <v>163</v>
      </c>
      <c r="Q1304" t="s">
        <v>63</v>
      </c>
      <c r="R1304" t="str">
        <f t="shared" si="21"/>
        <v>Yes</v>
      </c>
    </row>
    <row r="1305" spans="1:18" x14ac:dyDescent="0.35">
      <c r="A1305" s="1">
        <v>40369</v>
      </c>
      <c r="B1305">
        <v>0</v>
      </c>
      <c r="C1305" t="s">
        <v>72</v>
      </c>
      <c r="D1305" t="s">
        <v>52</v>
      </c>
      <c r="E1305" t="s">
        <v>18</v>
      </c>
      <c r="F1305">
        <v>87</v>
      </c>
      <c r="G1305" t="s">
        <v>66</v>
      </c>
      <c r="H1305" t="s">
        <v>18</v>
      </c>
      <c r="I1305">
        <v>88</v>
      </c>
      <c r="J1305">
        <v>1</v>
      </c>
      <c r="K1305">
        <v>4</v>
      </c>
      <c r="L1305">
        <v>51</v>
      </c>
      <c r="M1305" t="s">
        <v>20</v>
      </c>
      <c r="N1305" t="s">
        <v>67</v>
      </c>
      <c r="O1305">
        <v>37518</v>
      </c>
      <c r="P1305">
        <v>139</v>
      </c>
      <c r="Q1305" t="s">
        <v>66</v>
      </c>
      <c r="R1305" t="str">
        <f t="shared" si="21"/>
        <v>Yes</v>
      </c>
    </row>
    <row r="1306" spans="1:18" x14ac:dyDescent="0.35">
      <c r="A1306" s="1">
        <v>40369</v>
      </c>
      <c r="B1306">
        <v>0</v>
      </c>
      <c r="C1306" t="s">
        <v>72</v>
      </c>
      <c r="D1306" t="s">
        <v>49</v>
      </c>
      <c r="E1306" t="s">
        <v>18</v>
      </c>
      <c r="F1306">
        <v>88</v>
      </c>
      <c r="G1306" t="s">
        <v>22</v>
      </c>
      <c r="H1306" t="s">
        <v>18</v>
      </c>
      <c r="I1306">
        <v>87</v>
      </c>
      <c r="J1306">
        <v>7</v>
      </c>
      <c r="K1306">
        <v>3</v>
      </c>
      <c r="L1306">
        <v>54</v>
      </c>
      <c r="M1306" t="s">
        <v>38</v>
      </c>
      <c r="N1306" t="s">
        <v>85</v>
      </c>
      <c r="O1306">
        <v>49016</v>
      </c>
      <c r="P1306">
        <v>175</v>
      </c>
      <c r="Q1306" t="s">
        <v>49</v>
      </c>
      <c r="R1306" t="str">
        <f t="shared" si="21"/>
        <v>No</v>
      </c>
    </row>
    <row r="1307" spans="1:18" x14ac:dyDescent="0.35">
      <c r="A1307" s="1">
        <v>40369</v>
      </c>
      <c r="B1307">
        <v>0</v>
      </c>
      <c r="C1307" t="s">
        <v>72</v>
      </c>
      <c r="D1307" t="s">
        <v>23</v>
      </c>
      <c r="E1307" t="s">
        <v>18</v>
      </c>
      <c r="F1307">
        <v>87</v>
      </c>
      <c r="G1307" t="s">
        <v>68</v>
      </c>
      <c r="H1307" t="s">
        <v>18</v>
      </c>
      <c r="I1307">
        <v>88</v>
      </c>
      <c r="J1307">
        <v>3</v>
      </c>
      <c r="K1307">
        <v>4</v>
      </c>
      <c r="L1307">
        <v>51</v>
      </c>
      <c r="M1307" t="s">
        <v>20</v>
      </c>
      <c r="N1307" t="s">
        <v>69</v>
      </c>
      <c r="O1307">
        <v>38588</v>
      </c>
      <c r="P1307">
        <v>169</v>
      </c>
      <c r="Q1307" t="s">
        <v>68</v>
      </c>
      <c r="R1307" t="str">
        <f t="shared" si="21"/>
        <v>Yes</v>
      </c>
    </row>
    <row r="1308" spans="1:18" x14ac:dyDescent="0.35">
      <c r="A1308" s="1">
        <v>40369</v>
      </c>
      <c r="B1308">
        <v>0</v>
      </c>
      <c r="C1308" t="s">
        <v>72</v>
      </c>
      <c r="D1308" t="s">
        <v>50</v>
      </c>
      <c r="E1308" t="s">
        <v>18</v>
      </c>
      <c r="F1308">
        <v>87</v>
      </c>
      <c r="G1308" t="s">
        <v>19</v>
      </c>
      <c r="H1308" t="s">
        <v>18</v>
      </c>
      <c r="I1308">
        <v>87</v>
      </c>
      <c r="J1308">
        <v>4</v>
      </c>
      <c r="K1308">
        <v>0</v>
      </c>
      <c r="L1308">
        <v>54</v>
      </c>
      <c r="M1308" t="s">
        <v>38</v>
      </c>
      <c r="N1308" t="s">
        <v>21</v>
      </c>
      <c r="O1308">
        <v>37793</v>
      </c>
      <c r="P1308">
        <v>183</v>
      </c>
      <c r="Q1308" t="s">
        <v>50</v>
      </c>
      <c r="R1308" t="str">
        <f t="shared" si="21"/>
        <v>No</v>
      </c>
    </row>
    <row r="1309" spans="1:18" x14ac:dyDescent="0.35">
      <c r="A1309" s="1">
        <v>40369</v>
      </c>
      <c r="B1309">
        <v>0</v>
      </c>
      <c r="C1309" t="s">
        <v>72</v>
      </c>
      <c r="D1309" t="s">
        <v>53</v>
      </c>
      <c r="E1309" t="s">
        <v>18</v>
      </c>
      <c r="F1309">
        <v>89</v>
      </c>
      <c r="G1309" t="s">
        <v>25</v>
      </c>
      <c r="H1309" t="s">
        <v>18</v>
      </c>
      <c r="I1309">
        <v>86</v>
      </c>
      <c r="J1309">
        <v>0</v>
      </c>
      <c r="K1309">
        <v>1</v>
      </c>
      <c r="L1309">
        <v>65</v>
      </c>
      <c r="M1309" t="s">
        <v>20</v>
      </c>
      <c r="N1309" t="s">
        <v>80</v>
      </c>
      <c r="O1309">
        <v>45347</v>
      </c>
      <c r="P1309">
        <v>191</v>
      </c>
      <c r="Q1309" t="s">
        <v>25</v>
      </c>
      <c r="R1309" t="str">
        <f t="shared" si="21"/>
        <v>Yes</v>
      </c>
    </row>
    <row r="1310" spans="1:18" x14ac:dyDescent="0.35">
      <c r="A1310" s="1">
        <v>40369</v>
      </c>
      <c r="B1310">
        <v>0</v>
      </c>
      <c r="C1310" t="s">
        <v>72</v>
      </c>
      <c r="D1310" t="s">
        <v>70</v>
      </c>
      <c r="E1310" t="s">
        <v>18</v>
      </c>
      <c r="F1310">
        <v>87</v>
      </c>
      <c r="G1310" t="s">
        <v>26</v>
      </c>
      <c r="H1310" t="s">
        <v>18</v>
      </c>
      <c r="I1310">
        <v>88</v>
      </c>
      <c r="J1310">
        <v>10</v>
      </c>
      <c r="K1310">
        <v>5</v>
      </c>
      <c r="L1310">
        <v>54</v>
      </c>
      <c r="M1310" t="s">
        <v>20</v>
      </c>
      <c r="N1310" t="s">
        <v>27</v>
      </c>
      <c r="O1310">
        <v>23977</v>
      </c>
      <c r="P1310">
        <v>203</v>
      </c>
      <c r="Q1310" t="s">
        <v>70</v>
      </c>
      <c r="R1310" t="str">
        <f t="shared" si="21"/>
        <v>No</v>
      </c>
    </row>
    <row r="1311" spans="1:18" x14ac:dyDescent="0.35">
      <c r="A1311" s="1">
        <v>40370</v>
      </c>
      <c r="B1311">
        <v>0</v>
      </c>
      <c r="C1311" t="s">
        <v>73</v>
      </c>
      <c r="D1311" t="s">
        <v>37</v>
      </c>
      <c r="E1311" t="s">
        <v>30</v>
      </c>
      <c r="F1311">
        <v>88</v>
      </c>
      <c r="G1311" t="s">
        <v>34</v>
      </c>
      <c r="H1311" t="s">
        <v>30</v>
      </c>
      <c r="I1311">
        <v>87</v>
      </c>
      <c r="J1311">
        <v>5</v>
      </c>
      <c r="K1311">
        <v>15</v>
      </c>
      <c r="L1311">
        <v>51</v>
      </c>
      <c r="M1311" t="s">
        <v>38</v>
      </c>
      <c r="N1311" t="s">
        <v>35</v>
      </c>
      <c r="O1311">
        <v>29040</v>
      </c>
      <c r="P1311">
        <v>163</v>
      </c>
      <c r="Q1311" t="s">
        <v>34</v>
      </c>
      <c r="R1311" t="str">
        <f t="shared" si="21"/>
        <v>Yes</v>
      </c>
    </row>
    <row r="1312" spans="1:18" x14ac:dyDescent="0.35">
      <c r="A1312" s="1">
        <v>40370</v>
      </c>
      <c r="B1312">
        <v>0</v>
      </c>
      <c r="C1312" t="s">
        <v>73</v>
      </c>
      <c r="D1312" t="s">
        <v>29</v>
      </c>
      <c r="E1312" t="s">
        <v>30</v>
      </c>
      <c r="F1312">
        <v>88</v>
      </c>
      <c r="G1312" t="s">
        <v>36</v>
      </c>
      <c r="H1312" t="s">
        <v>30</v>
      </c>
      <c r="I1312">
        <v>86</v>
      </c>
      <c r="J1312">
        <v>6</v>
      </c>
      <c r="K1312">
        <v>3</v>
      </c>
      <c r="L1312">
        <v>54</v>
      </c>
      <c r="M1312" t="s">
        <v>38</v>
      </c>
      <c r="N1312" t="s">
        <v>57</v>
      </c>
      <c r="O1312">
        <v>39689</v>
      </c>
      <c r="P1312">
        <v>167</v>
      </c>
      <c r="Q1312" t="s">
        <v>29</v>
      </c>
      <c r="R1312" t="str">
        <f t="shared" si="21"/>
        <v>No</v>
      </c>
    </row>
    <row r="1313" spans="1:18" x14ac:dyDescent="0.35">
      <c r="A1313" s="1">
        <v>40370</v>
      </c>
      <c r="B1313">
        <v>0</v>
      </c>
      <c r="C1313" t="s">
        <v>73</v>
      </c>
      <c r="D1313" t="s">
        <v>31</v>
      </c>
      <c r="E1313" t="s">
        <v>30</v>
      </c>
      <c r="F1313">
        <v>91</v>
      </c>
      <c r="G1313" t="s">
        <v>41</v>
      </c>
      <c r="H1313" t="s">
        <v>30</v>
      </c>
      <c r="I1313">
        <v>89</v>
      </c>
      <c r="J1313">
        <v>2</v>
      </c>
      <c r="K1313">
        <v>5</v>
      </c>
      <c r="L1313">
        <v>51</v>
      </c>
      <c r="M1313" t="s">
        <v>38</v>
      </c>
      <c r="N1313" t="s">
        <v>42</v>
      </c>
      <c r="O1313">
        <v>15164</v>
      </c>
      <c r="P1313">
        <v>163</v>
      </c>
      <c r="Q1313" t="s">
        <v>41</v>
      </c>
      <c r="R1313" t="str">
        <f t="shared" si="21"/>
        <v>Yes</v>
      </c>
    </row>
    <row r="1314" spans="1:18" x14ac:dyDescent="0.35">
      <c r="A1314" s="1">
        <v>40370</v>
      </c>
      <c r="B1314">
        <v>0</v>
      </c>
      <c r="C1314" t="s">
        <v>73</v>
      </c>
      <c r="D1314" t="s">
        <v>59</v>
      </c>
      <c r="E1314" t="s">
        <v>30</v>
      </c>
      <c r="F1314">
        <v>88</v>
      </c>
      <c r="G1314" t="s">
        <v>40</v>
      </c>
      <c r="H1314" t="s">
        <v>30</v>
      </c>
      <c r="I1314">
        <v>88</v>
      </c>
      <c r="J1314">
        <v>8</v>
      </c>
      <c r="K1314">
        <v>2</v>
      </c>
      <c r="L1314">
        <v>54</v>
      </c>
      <c r="M1314" t="s">
        <v>38</v>
      </c>
      <c r="N1314" t="s">
        <v>77</v>
      </c>
      <c r="O1314">
        <v>42069</v>
      </c>
      <c r="P1314">
        <v>158</v>
      </c>
      <c r="Q1314" t="s">
        <v>59</v>
      </c>
      <c r="R1314" t="str">
        <f t="shared" si="21"/>
        <v>No</v>
      </c>
    </row>
    <row r="1315" spans="1:18" x14ac:dyDescent="0.35">
      <c r="A1315" s="1">
        <v>40370</v>
      </c>
      <c r="B1315">
        <v>0</v>
      </c>
      <c r="C1315" t="s">
        <v>73</v>
      </c>
      <c r="D1315" t="s">
        <v>33</v>
      </c>
      <c r="E1315" t="s">
        <v>30</v>
      </c>
      <c r="F1315">
        <v>88</v>
      </c>
      <c r="G1315" t="s">
        <v>44</v>
      </c>
      <c r="H1315" t="s">
        <v>30</v>
      </c>
      <c r="I1315">
        <v>88</v>
      </c>
      <c r="J1315">
        <v>5</v>
      </c>
      <c r="K1315">
        <v>6</v>
      </c>
      <c r="L1315">
        <v>58</v>
      </c>
      <c r="M1315" t="s">
        <v>38</v>
      </c>
      <c r="N1315" t="s">
        <v>45</v>
      </c>
      <c r="O1315">
        <v>24687</v>
      </c>
      <c r="P1315">
        <v>218</v>
      </c>
      <c r="Q1315" t="s">
        <v>44</v>
      </c>
      <c r="R1315" t="str">
        <f t="shared" si="21"/>
        <v>Yes</v>
      </c>
    </row>
    <row r="1316" spans="1:18" x14ac:dyDescent="0.35">
      <c r="A1316" s="1">
        <v>40370</v>
      </c>
      <c r="B1316">
        <v>0</v>
      </c>
      <c r="C1316" t="s">
        <v>73</v>
      </c>
      <c r="D1316" t="s">
        <v>43</v>
      </c>
      <c r="E1316" t="s">
        <v>30</v>
      </c>
      <c r="F1316">
        <v>88</v>
      </c>
      <c r="G1316" t="s">
        <v>47</v>
      </c>
      <c r="H1316" t="s">
        <v>30</v>
      </c>
      <c r="I1316">
        <v>88</v>
      </c>
      <c r="J1316">
        <v>4</v>
      </c>
      <c r="K1316">
        <v>1</v>
      </c>
      <c r="L1316">
        <v>54</v>
      </c>
      <c r="M1316" t="s">
        <v>38</v>
      </c>
      <c r="N1316" t="s">
        <v>48</v>
      </c>
      <c r="O1316">
        <v>24566</v>
      </c>
      <c r="P1316">
        <v>204</v>
      </c>
      <c r="Q1316" t="s">
        <v>43</v>
      </c>
      <c r="R1316" t="str">
        <f t="shared" si="21"/>
        <v>No</v>
      </c>
    </row>
    <row r="1317" spans="1:18" x14ac:dyDescent="0.35">
      <c r="A1317" s="1">
        <v>40370</v>
      </c>
      <c r="B1317">
        <v>0</v>
      </c>
      <c r="C1317" t="s">
        <v>73</v>
      </c>
      <c r="D1317" t="s">
        <v>58</v>
      </c>
      <c r="E1317" t="s">
        <v>30</v>
      </c>
      <c r="F1317">
        <v>88</v>
      </c>
      <c r="G1317" t="s">
        <v>46</v>
      </c>
      <c r="H1317" t="s">
        <v>30</v>
      </c>
      <c r="I1317">
        <v>89</v>
      </c>
      <c r="J1317">
        <v>3</v>
      </c>
      <c r="K1317">
        <v>2</v>
      </c>
      <c r="L1317">
        <v>54</v>
      </c>
      <c r="M1317" t="s">
        <v>38</v>
      </c>
      <c r="N1317" t="s">
        <v>78</v>
      </c>
      <c r="O1317">
        <v>26062</v>
      </c>
      <c r="P1317">
        <v>152</v>
      </c>
      <c r="Q1317" t="s">
        <v>58</v>
      </c>
      <c r="R1317" t="str">
        <f t="shared" si="21"/>
        <v>No</v>
      </c>
    </row>
    <row r="1318" spans="1:18" x14ac:dyDescent="0.35">
      <c r="A1318" s="1">
        <v>40370</v>
      </c>
      <c r="B1318">
        <v>0</v>
      </c>
      <c r="C1318" t="s">
        <v>73</v>
      </c>
      <c r="D1318" t="s">
        <v>17</v>
      </c>
      <c r="E1318" t="s">
        <v>18</v>
      </c>
      <c r="F1318">
        <v>88</v>
      </c>
      <c r="G1318" t="s">
        <v>60</v>
      </c>
      <c r="H1318" t="s">
        <v>18</v>
      </c>
      <c r="I1318">
        <v>89</v>
      </c>
      <c r="J1318">
        <v>2</v>
      </c>
      <c r="K1318">
        <v>0</v>
      </c>
      <c r="L1318">
        <v>54</v>
      </c>
      <c r="M1318" t="s">
        <v>38</v>
      </c>
      <c r="N1318" t="s">
        <v>61</v>
      </c>
      <c r="O1318">
        <v>21037</v>
      </c>
      <c r="P1318">
        <v>154</v>
      </c>
      <c r="Q1318" t="s">
        <v>17</v>
      </c>
      <c r="R1318" t="str">
        <f t="shared" si="21"/>
        <v>No</v>
      </c>
    </row>
    <row r="1319" spans="1:18" x14ac:dyDescent="0.35">
      <c r="A1319" s="1">
        <v>40370</v>
      </c>
      <c r="B1319">
        <v>0</v>
      </c>
      <c r="C1319" t="s">
        <v>73</v>
      </c>
      <c r="D1319" t="s">
        <v>62</v>
      </c>
      <c r="E1319" t="s">
        <v>18</v>
      </c>
      <c r="F1319">
        <v>88</v>
      </c>
      <c r="G1319" t="s">
        <v>63</v>
      </c>
      <c r="H1319" t="s">
        <v>18</v>
      </c>
      <c r="I1319">
        <v>88</v>
      </c>
      <c r="J1319">
        <v>9</v>
      </c>
      <c r="K1319">
        <v>7</v>
      </c>
      <c r="L1319">
        <v>54</v>
      </c>
      <c r="M1319" t="s">
        <v>38</v>
      </c>
      <c r="N1319" t="s">
        <v>64</v>
      </c>
      <c r="O1319">
        <v>40460</v>
      </c>
      <c r="P1319">
        <v>201</v>
      </c>
      <c r="Q1319" t="s">
        <v>62</v>
      </c>
      <c r="R1319" t="str">
        <f t="shared" si="21"/>
        <v>No</v>
      </c>
    </row>
    <row r="1320" spans="1:18" x14ac:dyDescent="0.35">
      <c r="A1320" s="1">
        <v>40370</v>
      </c>
      <c r="B1320">
        <v>0</v>
      </c>
      <c r="C1320" t="s">
        <v>73</v>
      </c>
      <c r="D1320" t="s">
        <v>52</v>
      </c>
      <c r="E1320" t="s">
        <v>18</v>
      </c>
      <c r="F1320">
        <v>88</v>
      </c>
      <c r="G1320" t="s">
        <v>66</v>
      </c>
      <c r="H1320" t="s">
        <v>18</v>
      </c>
      <c r="I1320">
        <v>89</v>
      </c>
      <c r="J1320">
        <v>4</v>
      </c>
      <c r="K1320">
        <v>2</v>
      </c>
      <c r="L1320">
        <v>54</v>
      </c>
      <c r="M1320" t="s">
        <v>38</v>
      </c>
      <c r="N1320" t="s">
        <v>67</v>
      </c>
      <c r="O1320">
        <v>32975</v>
      </c>
      <c r="P1320">
        <v>169</v>
      </c>
      <c r="Q1320" t="s">
        <v>52</v>
      </c>
      <c r="R1320" t="str">
        <f t="shared" si="21"/>
        <v>No</v>
      </c>
    </row>
    <row r="1321" spans="1:18" x14ac:dyDescent="0.35">
      <c r="A1321" s="1">
        <v>40370</v>
      </c>
      <c r="B1321">
        <v>0</v>
      </c>
      <c r="C1321" t="s">
        <v>73</v>
      </c>
      <c r="D1321" t="s">
        <v>49</v>
      </c>
      <c r="E1321" t="s">
        <v>18</v>
      </c>
      <c r="F1321">
        <v>89</v>
      </c>
      <c r="G1321" t="s">
        <v>22</v>
      </c>
      <c r="H1321" t="s">
        <v>18</v>
      </c>
      <c r="I1321">
        <v>88</v>
      </c>
      <c r="J1321">
        <v>0</v>
      </c>
      <c r="K1321">
        <v>7</v>
      </c>
      <c r="L1321">
        <v>51</v>
      </c>
      <c r="M1321" t="s">
        <v>20</v>
      </c>
      <c r="N1321" t="s">
        <v>85</v>
      </c>
      <c r="O1321">
        <v>45398</v>
      </c>
      <c r="P1321">
        <v>157</v>
      </c>
      <c r="Q1321" t="s">
        <v>22</v>
      </c>
      <c r="R1321" t="str">
        <f t="shared" si="21"/>
        <v>Yes</v>
      </c>
    </row>
    <row r="1322" spans="1:18" x14ac:dyDescent="0.35">
      <c r="A1322" s="1">
        <v>40370</v>
      </c>
      <c r="B1322">
        <v>0</v>
      </c>
      <c r="C1322" t="s">
        <v>73</v>
      </c>
      <c r="D1322" t="s">
        <v>23</v>
      </c>
      <c r="E1322" t="s">
        <v>18</v>
      </c>
      <c r="F1322">
        <v>88</v>
      </c>
      <c r="G1322" t="s">
        <v>68</v>
      </c>
      <c r="H1322" t="s">
        <v>18</v>
      </c>
      <c r="I1322">
        <v>89</v>
      </c>
      <c r="J1322">
        <v>5</v>
      </c>
      <c r="K1322">
        <v>6</v>
      </c>
      <c r="L1322">
        <v>52</v>
      </c>
      <c r="M1322" t="s">
        <v>38</v>
      </c>
      <c r="N1322" t="s">
        <v>69</v>
      </c>
      <c r="O1322">
        <v>34598</v>
      </c>
      <c r="P1322">
        <v>181</v>
      </c>
      <c r="Q1322" t="s">
        <v>68</v>
      </c>
      <c r="R1322" t="str">
        <f t="shared" si="21"/>
        <v>Yes</v>
      </c>
    </row>
    <row r="1323" spans="1:18" x14ac:dyDescent="0.35">
      <c r="A1323" s="1">
        <v>40370</v>
      </c>
      <c r="B1323">
        <v>0</v>
      </c>
      <c r="C1323" t="s">
        <v>73</v>
      </c>
      <c r="D1323" t="s">
        <v>50</v>
      </c>
      <c r="E1323" t="s">
        <v>18</v>
      </c>
      <c r="F1323">
        <v>88</v>
      </c>
      <c r="G1323" t="s">
        <v>19</v>
      </c>
      <c r="H1323" t="s">
        <v>18</v>
      </c>
      <c r="I1323">
        <v>88</v>
      </c>
      <c r="J1323">
        <v>0</v>
      </c>
      <c r="K1323">
        <v>3</v>
      </c>
      <c r="L1323">
        <v>51</v>
      </c>
      <c r="M1323" t="s">
        <v>38</v>
      </c>
      <c r="N1323" t="s">
        <v>21</v>
      </c>
      <c r="O1323">
        <v>36402</v>
      </c>
      <c r="P1323">
        <v>170</v>
      </c>
      <c r="Q1323" t="s">
        <v>19</v>
      </c>
      <c r="R1323" t="str">
        <f t="shared" si="21"/>
        <v>Yes</v>
      </c>
    </row>
    <row r="1324" spans="1:18" x14ac:dyDescent="0.35">
      <c r="A1324" s="1">
        <v>40370</v>
      </c>
      <c r="B1324">
        <v>0</v>
      </c>
      <c r="C1324" t="s">
        <v>73</v>
      </c>
      <c r="D1324" t="s">
        <v>53</v>
      </c>
      <c r="E1324" t="s">
        <v>18</v>
      </c>
      <c r="F1324">
        <v>90</v>
      </c>
      <c r="G1324" t="s">
        <v>25</v>
      </c>
      <c r="H1324" t="s">
        <v>18</v>
      </c>
      <c r="I1324">
        <v>87</v>
      </c>
      <c r="J1324">
        <v>0</v>
      </c>
      <c r="K1324">
        <v>1</v>
      </c>
      <c r="L1324">
        <v>51</v>
      </c>
      <c r="M1324" t="s">
        <v>38</v>
      </c>
      <c r="N1324" t="s">
        <v>80</v>
      </c>
      <c r="O1324">
        <v>44913</v>
      </c>
      <c r="P1324">
        <v>156</v>
      </c>
      <c r="Q1324" t="s">
        <v>25</v>
      </c>
      <c r="R1324" t="str">
        <f t="shared" si="21"/>
        <v>Yes</v>
      </c>
    </row>
    <row r="1325" spans="1:18" x14ac:dyDescent="0.35">
      <c r="A1325" s="1">
        <v>40370</v>
      </c>
      <c r="B1325">
        <v>0</v>
      </c>
      <c r="C1325" t="s">
        <v>73</v>
      </c>
      <c r="D1325" t="s">
        <v>70</v>
      </c>
      <c r="E1325" t="s">
        <v>18</v>
      </c>
      <c r="F1325">
        <v>88</v>
      </c>
      <c r="G1325" t="s">
        <v>26</v>
      </c>
      <c r="H1325" t="s">
        <v>18</v>
      </c>
      <c r="I1325">
        <v>89</v>
      </c>
      <c r="J1325">
        <v>6</v>
      </c>
      <c r="K1325">
        <v>2</v>
      </c>
      <c r="L1325">
        <v>54</v>
      </c>
      <c r="M1325" t="s">
        <v>38</v>
      </c>
      <c r="N1325" t="s">
        <v>27</v>
      </c>
      <c r="O1325">
        <v>22403</v>
      </c>
      <c r="P1325">
        <v>184</v>
      </c>
      <c r="Q1325" t="s">
        <v>70</v>
      </c>
      <c r="R1325" t="str">
        <f t="shared" si="21"/>
        <v>No</v>
      </c>
    </row>
    <row r="1326" spans="1:18" x14ac:dyDescent="0.35">
      <c r="A1326" s="1">
        <v>40374</v>
      </c>
      <c r="B1326">
        <v>0</v>
      </c>
      <c r="C1326" t="s">
        <v>28</v>
      </c>
      <c r="D1326" t="s">
        <v>40</v>
      </c>
      <c r="E1326" t="s">
        <v>30</v>
      </c>
      <c r="F1326">
        <v>89</v>
      </c>
      <c r="G1326" t="s">
        <v>31</v>
      </c>
      <c r="H1326" t="s">
        <v>30</v>
      </c>
      <c r="I1326">
        <v>92</v>
      </c>
      <c r="J1326">
        <v>3</v>
      </c>
      <c r="K1326">
        <v>8</v>
      </c>
      <c r="L1326">
        <v>51</v>
      </c>
      <c r="M1326" t="s">
        <v>20</v>
      </c>
      <c r="N1326" t="s">
        <v>32</v>
      </c>
      <c r="O1326">
        <v>41959</v>
      </c>
      <c r="P1326">
        <v>162</v>
      </c>
      <c r="Q1326" t="s">
        <v>31</v>
      </c>
      <c r="R1326" t="str">
        <f t="shared" si="21"/>
        <v>Yes</v>
      </c>
    </row>
    <row r="1327" spans="1:18" x14ac:dyDescent="0.35">
      <c r="A1327" s="1">
        <v>40374</v>
      </c>
      <c r="B1327">
        <v>0</v>
      </c>
      <c r="C1327" t="s">
        <v>28</v>
      </c>
      <c r="D1327" t="s">
        <v>47</v>
      </c>
      <c r="E1327" t="s">
        <v>30</v>
      </c>
      <c r="F1327">
        <v>89</v>
      </c>
      <c r="G1327" t="s">
        <v>58</v>
      </c>
      <c r="H1327" t="s">
        <v>30</v>
      </c>
      <c r="I1327">
        <v>89</v>
      </c>
      <c r="J1327">
        <v>7</v>
      </c>
      <c r="K1327">
        <v>2</v>
      </c>
      <c r="L1327">
        <v>54</v>
      </c>
      <c r="M1327" t="s">
        <v>20</v>
      </c>
      <c r="N1327" t="s">
        <v>86</v>
      </c>
      <c r="O1327">
        <v>38062</v>
      </c>
      <c r="P1327">
        <v>191</v>
      </c>
      <c r="Q1327" t="s">
        <v>47</v>
      </c>
      <c r="R1327" t="str">
        <f t="shared" si="21"/>
        <v>No</v>
      </c>
    </row>
    <row r="1328" spans="1:18" x14ac:dyDescent="0.35">
      <c r="A1328" s="1">
        <v>40374</v>
      </c>
      <c r="B1328">
        <v>0</v>
      </c>
      <c r="C1328" t="s">
        <v>28</v>
      </c>
      <c r="D1328" t="s">
        <v>34</v>
      </c>
      <c r="E1328" t="s">
        <v>30</v>
      </c>
      <c r="F1328">
        <v>88</v>
      </c>
      <c r="G1328" t="s">
        <v>29</v>
      </c>
      <c r="H1328" t="s">
        <v>30</v>
      </c>
      <c r="I1328">
        <v>89</v>
      </c>
      <c r="J1328">
        <v>8</v>
      </c>
      <c r="K1328">
        <v>7</v>
      </c>
      <c r="L1328">
        <v>54</v>
      </c>
      <c r="M1328" t="s">
        <v>20</v>
      </c>
      <c r="N1328" t="s">
        <v>76</v>
      </c>
      <c r="O1328">
        <v>40697</v>
      </c>
      <c r="P1328">
        <v>214</v>
      </c>
      <c r="Q1328" t="s">
        <v>34</v>
      </c>
      <c r="R1328" t="str">
        <f t="shared" si="21"/>
        <v>No</v>
      </c>
    </row>
    <row r="1329" spans="1:18" x14ac:dyDescent="0.35">
      <c r="A1329" s="1">
        <v>40374</v>
      </c>
      <c r="B1329">
        <v>0</v>
      </c>
      <c r="C1329" t="s">
        <v>28</v>
      </c>
      <c r="D1329" t="s">
        <v>68</v>
      </c>
      <c r="E1329" t="s">
        <v>18</v>
      </c>
      <c r="F1329">
        <v>90</v>
      </c>
      <c r="G1329" t="s">
        <v>50</v>
      </c>
      <c r="H1329" t="s">
        <v>18</v>
      </c>
      <c r="I1329">
        <v>89</v>
      </c>
      <c r="J1329">
        <v>1</v>
      </c>
      <c r="K1329">
        <v>2</v>
      </c>
      <c r="L1329">
        <v>51</v>
      </c>
      <c r="M1329" t="s">
        <v>20</v>
      </c>
      <c r="N1329" t="s">
        <v>51</v>
      </c>
      <c r="O1329">
        <v>35057</v>
      </c>
      <c r="P1329">
        <v>166</v>
      </c>
      <c r="Q1329" t="s">
        <v>50</v>
      </c>
      <c r="R1329" t="str">
        <f t="shared" si="21"/>
        <v>Yes</v>
      </c>
    </row>
    <row r="1330" spans="1:18" x14ac:dyDescent="0.35">
      <c r="A1330" s="1">
        <v>40374</v>
      </c>
      <c r="B1330">
        <v>0</v>
      </c>
      <c r="C1330" t="s">
        <v>28</v>
      </c>
      <c r="D1330" t="s">
        <v>25</v>
      </c>
      <c r="E1330" t="s">
        <v>18</v>
      </c>
      <c r="F1330">
        <v>88</v>
      </c>
      <c r="G1330" t="s">
        <v>49</v>
      </c>
      <c r="H1330" t="s">
        <v>18</v>
      </c>
      <c r="I1330">
        <v>90</v>
      </c>
      <c r="J1330">
        <v>6</v>
      </c>
      <c r="K1330">
        <v>12</v>
      </c>
      <c r="L1330">
        <v>51</v>
      </c>
      <c r="M1330" t="s">
        <v>20</v>
      </c>
      <c r="N1330" t="s">
        <v>79</v>
      </c>
      <c r="O1330">
        <v>40879</v>
      </c>
      <c r="P1330">
        <v>177</v>
      </c>
      <c r="Q1330" t="s">
        <v>49</v>
      </c>
      <c r="R1330" t="str">
        <f t="shared" si="21"/>
        <v>Yes</v>
      </c>
    </row>
    <row r="1331" spans="1:18" x14ac:dyDescent="0.35">
      <c r="A1331" s="1">
        <v>40374</v>
      </c>
      <c r="B1331">
        <v>0</v>
      </c>
      <c r="C1331" t="s">
        <v>28</v>
      </c>
      <c r="D1331" t="s">
        <v>19</v>
      </c>
      <c r="E1331" t="s">
        <v>18</v>
      </c>
      <c r="F1331">
        <v>89</v>
      </c>
      <c r="G1331" t="s">
        <v>70</v>
      </c>
      <c r="H1331" t="s">
        <v>18</v>
      </c>
      <c r="I1331">
        <v>89</v>
      </c>
      <c r="J1331">
        <v>0</v>
      </c>
      <c r="K1331">
        <v>2</v>
      </c>
      <c r="L1331">
        <v>51</v>
      </c>
      <c r="M1331" t="s">
        <v>20</v>
      </c>
      <c r="N1331" t="s">
        <v>71</v>
      </c>
      <c r="O1331">
        <v>38416</v>
      </c>
      <c r="P1331">
        <v>131</v>
      </c>
      <c r="Q1331" t="s">
        <v>70</v>
      </c>
      <c r="R1331" t="str">
        <f t="shared" si="21"/>
        <v>Yes</v>
      </c>
    </row>
    <row r="1332" spans="1:18" x14ac:dyDescent="0.35">
      <c r="A1332" s="1">
        <v>40374</v>
      </c>
      <c r="B1332">
        <v>0</v>
      </c>
      <c r="C1332" t="s">
        <v>28</v>
      </c>
      <c r="D1332" t="s">
        <v>22</v>
      </c>
      <c r="E1332" t="s">
        <v>18</v>
      </c>
      <c r="F1332">
        <v>89</v>
      </c>
      <c r="G1332" t="s">
        <v>52</v>
      </c>
      <c r="H1332" t="s">
        <v>18</v>
      </c>
      <c r="I1332">
        <v>89</v>
      </c>
      <c r="J1332">
        <v>1</v>
      </c>
      <c r="K1332">
        <v>7</v>
      </c>
      <c r="L1332">
        <v>51</v>
      </c>
      <c r="M1332" t="s">
        <v>20</v>
      </c>
      <c r="N1332" t="s">
        <v>82</v>
      </c>
      <c r="O1332">
        <v>41771</v>
      </c>
      <c r="P1332">
        <v>160</v>
      </c>
      <c r="Q1332" t="s">
        <v>52</v>
      </c>
      <c r="R1332" t="str">
        <f t="shared" si="21"/>
        <v>Yes</v>
      </c>
    </row>
    <row r="1333" spans="1:18" x14ac:dyDescent="0.35">
      <c r="A1333" s="1">
        <v>40375</v>
      </c>
      <c r="B1333">
        <v>0</v>
      </c>
      <c r="C1333" t="s">
        <v>55</v>
      </c>
      <c r="D1333" t="s">
        <v>40</v>
      </c>
      <c r="E1333" t="s">
        <v>30</v>
      </c>
      <c r="F1333">
        <v>90</v>
      </c>
      <c r="G1333" t="s">
        <v>31</v>
      </c>
      <c r="H1333" t="s">
        <v>30</v>
      </c>
      <c r="I1333">
        <v>93</v>
      </c>
      <c r="J1333">
        <v>2</v>
      </c>
      <c r="K1333">
        <v>3</v>
      </c>
      <c r="L1333">
        <v>51</v>
      </c>
      <c r="M1333" t="s">
        <v>20</v>
      </c>
      <c r="N1333" t="s">
        <v>32</v>
      </c>
      <c r="O1333">
        <v>41449</v>
      </c>
      <c r="P1333">
        <v>142</v>
      </c>
      <c r="Q1333" t="s">
        <v>31</v>
      </c>
      <c r="R1333" t="str">
        <f t="shared" si="21"/>
        <v>Yes</v>
      </c>
    </row>
    <row r="1334" spans="1:18" x14ac:dyDescent="0.35">
      <c r="A1334" s="1">
        <v>40375</v>
      </c>
      <c r="B1334">
        <v>0</v>
      </c>
      <c r="C1334" t="s">
        <v>55</v>
      </c>
      <c r="D1334" t="s">
        <v>46</v>
      </c>
      <c r="E1334" t="s">
        <v>30</v>
      </c>
      <c r="F1334">
        <v>90</v>
      </c>
      <c r="G1334" t="s">
        <v>43</v>
      </c>
      <c r="H1334" t="s">
        <v>30</v>
      </c>
      <c r="I1334">
        <v>89</v>
      </c>
      <c r="J1334">
        <v>4</v>
      </c>
      <c r="K1334">
        <v>2</v>
      </c>
      <c r="L1334">
        <v>54</v>
      </c>
      <c r="M1334" t="s">
        <v>20</v>
      </c>
      <c r="N1334" t="s">
        <v>56</v>
      </c>
      <c r="O1334">
        <v>18120</v>
      </c>
      <c r="P1334">
        <v>164</v>
      </c>
      <c r="Q1334" t="s">
        <v>46</v>
      </c>
      <c r="R1334" t="str">
        <f t="shared" si="21"/>
        <v>No</v>
      </c>
    </row>
    <row r="1335" spans="1:18" x14ac:dyDescent="0.35">
      <c r="A1335" s="1">
        <v>40375</v>
      </c>
      <c r="B1335">
        <v>0</v>
      </c>
      <c r="C1335" t="s">
        <v>55</v>
      </c>
      <c r="D1335" t="s">
        <v>47</v>
      </c>
      <c r="E1335" t="s">
        <v>30</v>
      </c>
      <c r="F1335">
        <v>90</v>
      </c>
      <c r="G1335" t="s">
        <v>58</v>
      </c>
      <c r="H1335" t="s">
        <v>30</v>
      </c>
      <c r="I1335">
        <v>90</v>
      </c>
      <c r="J1335">
        <v>8</v>
      </c>
      <c r="K1335">
        <v>4</v>
      </c>
      <c r="L1335">
        <v>54</v>
      </c>
      <c r="M1335" t="s">
        <v>20</v>
      </c>
      <c r="N1335" t="s">
        <v>86</v>
      </c>
      <c r="O1335">
        <v>37669</v>
      </c>
      <c r="P1335">
        <v>201</v>
      </c>
      <c r="Q1335" t="s">
        <v>47</v>
      </c>
      <c r="R1335" t="str">
        <f t="shared" si="21"/>
        <v>No</v>
      </c>
    </row>
    <row r="1336" spans="1:18" x14ac:dyDescent="0.35">
      <c r="A1336" s="1">
        <v>40375</v>
      </c>
      <c r="B1336">
        <v>0</v>
      </c>
      <c r="C1336" t="s">
        <v>55</v>
      </c>
      <c r="D1336" t="s">
        <v>36</v>
      </c>
      <c r="E1336" t="s">
        <v>30</v>
      </c>
      <c r="F1336">
        <v>87</v>
      </c>
      <c r="G1336" t="s">
        <v>33</v>
      </c>
      <c r="H1336" t="s">
        <v>30</v>
      </c>
      <c r="I1336">
        <v>89</v>
      </c>
      <c r="J1336">
        <v>2</v>
      </c>
      <c r="K1336">
        <v>8</v>
      </c>
      <c r="L1336">
        <v>51</v>
      </c>
      <c r="M1336" t="s">
        <v>20</v>
      </c>
      <c r="N1336" t="s">
        <v>75</v>
      </c>
      <c r="O1336">
        <v>22295</v>
      </c>
      <c r="P1336">
        <v>183</v>
      </c>
      <c r="Q1336" t="s">
        <v>33</v>
      </c>
      <c r="R1336" t="str">
        <f t="shared" si="21"/>
        <v>Yes</v>
      </c>
    </row>
    <row r="1337" spans="1:18" x14ac:dyDescent="0.35">
      <c r="A1337" s="1">
        <v>40375</v>
      </c>
      <c r="B1337">
        <v>0</v>
      </c>
      <c r="C1337" t="s">
        <v>55</v>
      </c>
      <c r="D1337" t="s">
        <v>41</v>
      </c>
      <c r="E1337" t="s">
        <v>30</v>
      </c>
      <c r="F1337">
        <v>90</v>
      </c>
      <c r="G1337" t="s">
        <v>37</v>
      </c>
      <c r="H1337" t="s">
        <v>30</v>
      </c>
      <c r="I1337">
        <v>89</v>
      </c>
      <c r="J1337">
        <v>5</v>
      </c>
      <c r="K1337">
        <v>1</v>
      </c>
      <c r="L1337">
        <v>54</v>
      </c>
      <c r="M1337" t="s">
        <v>20</v>
      </c>
      <c r="N1337" t="s">
        <v>39</v>
      </c>
      <c r="O1337">
        <v>37312</v>
      </c>
      <c r="P1337">
        <v>153</v>
      </c>
      <c r="Q1337" t="s">
        <v>41</v>
      </c>
      <c r="R1337" t="str">
        <f t="shared" si="21"/>
        <v>No</v>
      </c>
    </row>
    <row r="1338" spans="1:18" x14ac:dyDescent="0.35">
      <c r="A1338" s="1">
        <v>40375</v>
      </c>
      <c r="B1338">
        <v>0</v>
      </c>
      <c r="C1338" t="s">
        <v>55</v>
      </c>
      <c r="D1338" t="s">
        <v>34</v>
      </c>
      <c r="E1338" t="s">
        <v>30</v>
      </c>
      <c r="F1338">
        <v>89</v>
      </c>
      <c r="G1338" t="s">
        <v>29</v>
      </c>
      <c r="H1338" t="s">
        <v>30</v>
      </c>
      <c r="I1338">
        <v>90</v>
      </c>
      <c r="J1338">
        <v>4</v>
      </c>
      <c r="K1338">
        <v>7</v>
      </c>
      <c r="L1338">
        <v>51</v>
      </c>
      <c r="M1338" t="s">
        <v>20</v>
      </c>
      <c r="N1338" t="s">
        <v>76</v>
      </c>
      <c r="O1338">
        <v>40427</v>
      </c>
      <c r="P1338">
        <v>189</v>
      </c>
      <c r="Q1338" t="s">
        <v>29</v>
      </c>
      <c r="R1338" t="str">
        <f t="shared" si="21"/>
        <v>Yes</v>
      </c>
    </row>
    <row r="1339" spans="1:18" x14ac:dyDescent="0.35">
      <c r="A1339" s="1">
        <v>40375</v>
      </c>
      <c r="B1339">
        <v>0</v>
      </c>
      <c r="C1339" t="s">
        <v>55</v>
      </c>
      <c r="D1339" t="s">
        <v>44</v>
      </c>
      <c r="E1339" t="s">
        <v>30</v>
      </c>
      <c r="F1339">
        <v>89</v>
      </c>
      <c r="G1339" t="s">
        <v>59</v>
      </c>
      <c r="H1339" t="s">
        <v>30</v>
      </c>
      <c r="I1339">
        <v>89</v>
      </c>
      <c r="J1339">
        <v>4</v>
      </c>
      <c r="K1339">
        <v>5</v>
      </c>
      <c r="L1339">
        <v>53</v>
      </c>
      <c r="M1339" t="s">
        <v>20</v>
      </c>
      <c r="N1339" t="s">
        <v>84</v>
      </c>
      <c r="O1339">
        <v>47524</v>
      </c>
      <c r="P1339">
        <v>208</v>
      </c>
      <c r="Q1339" t="s">
        <v>59</v>
      </c>
      <c r="R1339" t="str">
        <f t="shared" si="21"/>
        <v>Yes</v>
      </c>
    </row>
    <row r="1340" spans="1:18" x14ac:dyDescent="0.35">
      <c r="A1340" s="1">
        <v>40375</v>
      </c>
      <c r="B1340">
        <v>0</v>
      </c>
      <c r="C1340" t="s">
        <v>55</v>
      </c>
      <c r="D1340" t="s">
        <v>68</v>
      </c>
      <c r="E1340" t="s">
        <v>18</v>
      </c>
      <c r="F1340">
        <v>91</v>
      </c>
      <c r="G1340" t="s">
        <v>50</v>
      </c>
      <c r="H1340" t="s">
        <v>18</v>
      </c>
      <c r="I1340">
        <v>90</v>
      </c>
      <c r="J1340">
        <v>9</v>
      </c>
      <c r="K1340">
        <v>3</v>
      </c>
      <c r="L1340">
        <v>54</v>
      </c>
      <c r="M1340" t="s">
        <v>20</v>
      </c>
      <c r="N1340" t="s">
        <v>51</v>
      </c>
      <c r="O1340">
        <v>37014</v>
      </c>
      <c r="P1340">
        <v>188</v>
      </c>
      <c r="Q1340" t="s">
        <v>68</v>
      </c>
      <c r="R1340" t="str">
        <f t="shared" si="21"/>
        <v>No</v>
      </c>
    </row>
    <row r="1341" spans="1:18" x14ac:dyDescent="0.35">
      <c r="A1341" s="1">
        <v>40375</v>
      </c>
      <c r="B1341">
        <v>0</v>
      </c>
      <c r="C1341" t="s">
        <v>55</v>
      </c>
      <c r="D1341" t="s">
        <v>25</v>
      </c>
      <c r="E1341" t="s">
        <v>18</v>
      </c>
      <c r="F1341">
        <v>89</v>
      </c>
      <c r="G1341" t="s">
        <v>49</v>
      </c>
      <c r="H1341" t="s">
        <v>18</v>
      </c>
      <c r="I1341">
        <v>91</v>
      </c>
      <c r="J1341">
        <v>3</v>
      </c>
      <c r="K1341">
        <v>4</v>
      </c>
      <c r="L1341">
        <v>51</v>
      </c>
      <c r="M1341" t="s">
        <v>38</v>
      </c>
      <c r="N1341" t="s">
        <v>79</v>
      </c>
      <c r="O1341">
        <v>40622</v>
      </c>
      <c r="P1341">
        <v>132</v>
      </c>
      <c r="Q1341" t="s">
        <v>49</v>
      </c>
      <c r="R1341" t="str">
        <f t="shared" si="21"/>
        <v>Yes</v>
      </c>
    </row>
    <row r="1342" spans="1:18" x14ac:dyDescent="0.35">
      <c r="A1342" s="1">
        <v>40375</v>
      </c>
      <c r="B1342">
        <v>0</v>
      </c>
      <c r="C1342" t="s">
        <v>55</v>
      </c>
      <c r="D1342" t="s">
        <v>63</v>
      </c>
      <c r="E1342" t="s">
        <v>18</v>
      </c>
      <c r="F1342">
        <v>89</v>
      </c>
      <c r="G1342" t="s">
        <v>53</v>
      </c>
      <c r="H1342" t="s">
        <v>18</v>
      </c>
      <c r="I1342">
        <v>91</v>
      </c>
      <c r="J1342">
        <v>2</v>
      </c>
      <c r="K1342">
        <v>3</v>
      </c>
      <c r="L1342">
        <v>51</v>
      </c>
      <c r="M1342" t="s">
        <v>20</v>
      </c>
      <c r="N1342" t="s">
        <v>54</v>
      </c>
      <c r="O1342">
        <v>37188</v>
      </c>
      <c r="P1342">
        <v>159</v>
      </c>
      <c r="Q1342" t="s">
        <v>53</v>
      </c>
      <c r="R1342" t="str">
        <f t="shared" si="21"/>
        <v>Yes</v>
      </c>
    </row>
    <row r="1343" spans="1:18" x14ac:dyDescent="0.35">
      <c r="A1343" s="1">
        <v>40375</v>
      </c>
      <c r="B1343">
        <v>0</v>
      </c>
      <c r="C1343" t="s">
        <v>55</v>
      </c>
      <c r="D1343" t="s">
        <v>26</v>
      </c>
      <c r="E1343" t="s">
        <v>18</v>
      </c>
      <c r="F1343">
        <v>90</v>
      </c>
      <c r="G1343" t="s">
        <v>17</v>
      </c>
      <c r="H1343" t="s">
        <v>18</v>
      </c>
      <c r="I1343">
        <v>89</v>
      </c>
      <c r="J1343">
        <v>4</v>
      </c>
      <c r="K1343">
        <v>0</v>
      </c>
      <c r="L1343">
        <v>54</v>
      </c>
      <c r="M1343" t="s">
        <v>20</v>
      </c>
      <c r="N1343" t="s">
        <v>65</v>
      </c>
      <c r="O1343">
        <v>27037</v>
      </c>
      <c r="P1343">
        <v>172</v>
      </c>
      <c r="Q1343" t="s">
        <v>26</v>
      </c>
      <c r="R1343" t="str">
        <f t="shared" si="21"/>
        <v>No</v>
      </c>
    </row>
    <row r="1344" spans="1:18" x14ac:dyDescent="0.35">
      <c r="A1344" s="1">
        <v>40375</v>
      </c>
      <c r="B1344">
        <v>0</v>
      </c>
      <c r="C1344" t="s">
        <v>55</v>
      </c>
      <c r="D1344" t="s">
        <v>66</v>
      </c>
      <c r="E1344" t="s">
        <v>18</v>
      </c>
      <c r="F1344">
        <v>90</v>
      </c>
      <c r="G1344" t="s">
        <v>23</v>
      </c>
      <c r="H1344" t="s">
        <v>18</v>
      </c>
      <c r="I1344">
        <v>89</v>
      </c>
      <c r="J1344">
        <v>5</v>
      </c>
      <c r="K1344">
        <v>2</v>
      </c>
      <c r="L1344">
        <v>54</v>
      </c>
      <c r="M1344" t="s">
        <v>20</v>
      </c>
      <c r="N1344" t="s">
        <v>24</v>
      </c>
      <c r="O1344">
        <v>23273</v>
      </c>
      <c r="P1344">
        <v>157</v>
      </c>
      <c r="Q1344" t="s">
        <v>66</v>
      </c>
      <c r="R1344" t="str">
        <f t="shared" si="21"/>
        <v>No</v>
      </c>
    </row>
    <row r="1345" spans="1:18" x14ac:dyDescent="0.35">
      <c r="A1345" s="1">
        <v>40375</v>
      </c>
      <c r="B1345">
        <v>0</v>
      </c>
      <c r="C1345" t="s">
        <v>55</v>
      </c>
      <c r="D1345" t="s">
        <v>60</v>
      </c>
      <c r="E1345" t="s">
        <v>18</v>
      </c>
      <c r="F1345">
        <v>90</v>
      </c>
      <c r="G1345" t="s">
        <v>62</v>
      </c>
      <c r="H1345" t="s">
        <v>18</v>
      </c>
      <c r="I1345">
        <v>89</v>
      </c>
      <c r="J1345">
        <v>1</v>
      </c>
      <c r="K1345">
        <v>12</v>
      </c>
      <c r="L1345">
        <v>51</v>
      </c>
      <c r="M1345" t="s">
        <v>20</v>
      </c>
      <c r="N1345" t="s">
        <v>81</v>
      </c>
      <c r="O1345">
        <v>33177</v>
      </c>
      <c r="P1345">
        <v>193</v>
      </c>
      <c r="Q1345" t="s">
        <v>62</v>
      </c>
      <c r="R1345" t="str">
        <f t="shared" si="21"/>
        <v>Yes</v>
      </c>
    </row>
    <row r="1346" spans="1:18" x14ac:dyDescent="0.35">
      <c r="A1346" s="1">
        <v>40375</v>
      </c>
      <c r="B1346">
        <v>0</v>
      </c>
      <c r="C1346" t="s">
        <v>55</v>
      </c>
      <c r="D1346" t="s">
        <v>19</v>
      </c>
      <c r="E1346" t="s">
        <v>18</v>
      </c>
      <c r="F1346">
        <v>90</v>
      </c>
      <c r="G1346" t="s">
        <v>70</v>
      </c>
      <c r="H1346" t="s">
        <v>18</v>
      </c>
      <c r="I1346">
        <v>90</v>
      </c>
      <c r="J1346">
        <v>0</v>
      </c>
      <c r="K1346">
        <v>1</v>
      </c>
      <c r="L1346">
        <v>51</v>
      </c>
      <c r="M1346" t="s">
        <v>20</v>
      </c>
      <c r="N1346" t="s">
        <v>71</v>
      </c>
      <c r="O1346">
        <v>41869</v>
      </c>
      <c r="P1346">
        <v>133</v>
      </c>
      <c r="Q1346" t="s">
        <v>70</v>
      </c>
      <c r="R1346" t="str">
        <f t="shared" si="21"/>
        <v>Yes</v>
      </c>
    </row>
    <row r="1347" spans="1:18" x14ac:dyDescent="0.35">
      <c r="A1347" s="1">
        <v>40375</v>
      </c>
      <c r="B1347">
        <v>0</v>
      </c>
      <c r="C1347" t="s">
        <v>55</v>
      </c>
      <c r="D1347" t="s">
        <v>22</v>
      </c>
      <c r="E1347" t="s">
        <v>18</v>
      </c>
      <c r="F1347">
        <v>90</v>
      </c>
      <c r="G1347" t="s">
        <v>52</v>
      </c>
      <c r="H1347" t="s">
        <v>18</v>
      </c>
      <c r="I1347">
        <v>90</v>
      </c>
      <c r="J1347">
        <v>4</v>
      </c>
      <c r="K1347">
        <v>8</v>
      </c>
      <c r="L1347">
        <v>51</v>
      </c>
      <c r="M1347" t="s">
        <v>20</v>
      </c>
      <c r="N1347" t="s">
        <v>82</v>
      </c>
      <c r="O1347">
        <v>44074</v>
      </c>
      <c r="P1347">
        <v>191</v>
      </c>
      <c r="Q1347" t="s">
        <v>52</v>
      </c>
      <c r="R1347" t="str">
        <f t="shared" ref="R1347:R1410" si="22">IF(K1347&gt;J1347,"Yes","No")</f>
        <v>Yes</v>
      </c>
    </row>
    <row r="1348" spans="1:18" x14ac:dyDescent="0.35">
      <c r="A1348" s="1">
        <v>40376</v>
      </c>
      <c r="B1348">
        <v>0</v>
      </c>
      <c r="C1348" t="s">
        <v>72</v>
      </c>
      <c r="D1348" t="s">
        <v>40</v>
      </c>
      <c r="E1348" t="s">
        <v>30</v>
      </c>
      <c r="F1348">
        <v>91</v>
      </c>
      <c r="G1348" t="s">
        <v>31</v>
      </c>
      <c r="H1348" t="s">
        <v>30</v>
      </c>
      <c r="I1348">
        <v>94</v>
      </c>
      <c r="J1348">
        <v>6</v>
      </c>
      <c r="K1348">
        <v>7</v>
      </c>
      <c r="L1348">
        <v>51</v>
      </c>
      <c r="M1348" t="s">
        <v>20</v>
      </c>
      <c r="N1348" t="s">
        <v>32</v>
      </c>
      <c r="O1348">
        <v>42977</v>
      </c>
      <c r="P1348">
        <v>156</v>
      </c>
      <c r="Q1348" t="s">
        <v>31</v>
      </c>
      <c r="R1348" t="str">
        <f t="shared" si="22"/>
        <v>Yes</v>
      </c>
    </row>
    <row r="1349" spans="1:18" x14ac:dyDescent="0.35">
      <c r="A1349" s="1">
        <v>40376</v>
      </c>
      <c r="B1349">
        <v>0</v>
      </c>
      <c r="C1349" t="s">
        <v>72</v>
      </c>
      <c r="D1349" t="s">
        <v>46</v>
      </c>
      <c r="E1349" t="s">
        <v>30</v>
      </c>
      <c r="F1349">
        <v>91</v>
      </c>
      <c r="G1349" t="s">
        <v>43</v>
      </c>
      <c r="H1349" t="s">
        <v>30</v>
      </c>
      <c r="I1349">
        <v>90</v>
      </c>
      <c r="J1349">
        <v>3</v>
      </c>
      <c r="K1349">
        <v>2</v>
      </c>
      <c r="L1349">
        <v>54</v>
      </c>
      <c r="M1349" t="s">
        <v>20</v>
      </c>
      <c r="N1349" t="s">
        <v>56</v>
      </c>
      <c r="O1349">
        <v>28518</v>
      </c>
      <c r="P1349">
        <v>172</v>
      </c>
      <c r="Q1349" t="s">
        <v>46</v>
      </c>
      <c r="R1349" t="str">
        <f t="shared" si="22"/>
        <v>No</v>
      </c>
    </row>
    <row r="1350" spans="1:18" x14ac:dyDescent="0.35">
      <c r="A1350" s="1">
        <v>40376</v>
      </c>
      <c r="B1350">
        <v>0</v>
      </c>
      <c r="C1350" t="s">
        <v>72</v>
      </c>
      <c r="D1350" t="s">
        <v>47</v>
      </c>
      <c r="E1350" t="s">
        <v>30</v>
      </c>
      <c r="F1350">
        <v>91</v>
      </c>
      <c r="G1350" t="s">
        <v>58</v>
      </c>
      <c r="H1350" t="s">
        <v>30</v>
      </c>
      <c r="I1350">
        <v>91</v>
      </c>
      <c r="J1350">
        <v>2</v>
      </c>
      <c r="K1350">
        <v>3</v>
      </c>
      <c r="L1350">
        <v>64</v>
      </c>
      <c r="M1350" t="s">
        <v>20</v>
      </c>
      <c r="N1350" t="s">
        <v>86</v>
      </c>
      <c r="O1350">
        <v>37744</v>
      </c>
      <c r="P1350">
        <v>178</v>
      </c>
      <c r="Q1350" t="s">
        <v>58</v>
      </c>
      <c r="R1350" t="str">
        <f t="shared" si="22"/>
        <v>Yes</v>
      </c>
    </row>
    <row r="1351" spans="1:18" x14ac:dyDescent="0.35">
      <c r="A1351" s="1">
        <v>40376</v>
      </c>
      <c r="B1351">
        <v>1</v>
      </c>
      <c r="C1351" t="s">
        <v>72</v>
      </c>
      <c r="D1351" t="s">
        <v>36</v>
      </c>
      <c r="E1351" t="s">
        <v>30</v>
      </c>
      <c r="F1351">
        <v>88</v>
      </c>
      <c r="G1351" t="s">
        <v>33</v>
      </c>
      <c r="H1351" t="s">
        <v>30</v>
      </c>
      <c r="I1351">
        <v>90</v>
      </c>
      <c r="J1351">
        <v>3</v>
      </c>
      <c r="K1351">
        <v>4</v>
      </c>
      <c r="L1351">
        <v>51</v>
      </c>
      <c r="M1351" t="s">
        <v>38</v>
      </c>
      <c r="N1351" t="s">
        <v>75</v>
      </c>
      <c r="O1351">
        <v>20090</v>
      </c>
      <c r="P1351">
        <v>173</v>
      </c>
      <c r="Q1351" t="s">
        <v>33</v>
      </c>
      <c r="R1351" t="str">
        <f t="shared" si="22"/>
        <v>Yes</v>
      </c>
    </row>
    <row r="1352" spans="1:18" x14ac:dyDescent="0.35">
      <c r="A1352" s="1">
        <v>40376</v>
      </c>
      <c r="B1352">
        <v>2</v>
      </c>
      <c r="C1352" t="s">
        <v>72</v>
      </c>
      <c r="D1352" t="s">
        <v>36</v>
      </c>
      <c r="E1352" t="s">
        <v>30</v>
      </c>
      <c r="F1352">
        <v>89</v>
      </c>
      <c r="G1352" t="s">
        <v>33</v>
      </c>
      <c r="H1352" t="s">
        <v>30</v>
      </c>
      <c r="I1352">
        <v>91</v>
      </c>
      <c r="J1352">
        <v>1</v>
      </c>
      <c r="K1352">
        <v>2</v>
      </c>
      <c r="L1352">
        <v>65</v>
      </c>
      <c r="M1352" t="s">
        <v>20</v>
      </c>
      <c r="N1352" t="s">
        <v>75</v>
      </c>
      <c r="O1352">
        <v>20902</v>
      </c>
      <c r="P1352">
        <v>198</v>
      </c>
      <c r="Q1352" t="s">
        <v>33</v>
      </c>
      <c r="R1352" t="str">
        <f t="shared" si="22"/>
        <v>Yes</v>
      </c>
    </row>
    <row r="1353" spans="1:18" x14ac:dyDescent="0.35">
      <c r="A1353" s="1">
        <v>40376</v>
      </c>
      <c r="B1353">
        <v>0</v>
      </c>
      <c r="C1353" t="s">
        <v>72</v>
      </c>
      <c r="D1353" t="s">
        <v>41</v>
      </c>
      <c r="E1353" t="s">
        <v>30</v>
      </c>
      <c r="F1353">
        <v>91</v>
      </c>
      <c r="G1353" t="s">
        <v>37</v>
      </c>
      <c r="H1353" t="s">
        <v>30</v>
      </c>
      <c r="I1353">
        <v>90</v>
      </c>
      <c r="J1353">
        <v>6</v>
      </c>
      <c r="K1353">
        <v>5</v>
      </c>
      <c r="L1353">
        <v>54</v>
      </c>
      <c r="M1353" t="s">
        <v>20</v>
      </c>
      <c r="N1353" t="s">
        <v>39</v>
      </c>
      <c r="O1353">
        <v>26634</v>
      </c>
      <c r="P1353">
        <v>172</v>
      </c>
      <c r="Q1353" t="s">
        <v>41</v>
      </c>
      <c r="R1353" t="str">
        <f t="shared" si="22"/>
        <v>No</v>
      </c>
    </row>
    <row r="1354" spans="1:18" x14ac:dyDescent="0.35">
      <c r="A1354" s="1">
        <v>40376</v>
      </c>
      <c r="B1354">
        <v>0</v>
      </c>
      <c r="C1354" t="s">
        <v>72</v>
      </c>
      <c r="D1354" t="s">
        <v>34</v>
      </c>
      <c r="E1354" t="s">
        <v>30</v>
      </c>
      <c r="F1354">
        <v>90</v>
      </c>
      <c r="G1354" t="s">
        <v>29</v>
      </c>
      <c r="H1354" t="s">
        <v>30</v>
      </c>
      <c r="I1354">
        <v>91</v>
      </c>
      <c r="J1354">
        <v>2</v>
      </c>
      <c r="K1354">
        <v>3</v>
      </c>
      <c r="L1354">
        <v>51</v>
      </c>
      <c r="M1354" t="s">
        <v>20</v>
      </c>
      <c r="N1354" t="s">
        <v>76</v>
      </c>
      <c r="O1354">
        <v>40637</v>
      </c>
      <c r="P1354">
        <v>112</v>
      </c>
      <c r="Q1354" t="s">
        <v>29</v>
      </c>
      <c r="R1354" t="str">
        <f t="shared" si="22"/>
        <v>Yes</v>
      </c>
    </row>
    <row r="1355" spans="1:18" x14ac:dyDescent="0.35">
      <c r="A1355" s="1">
        <v>40376</v>
      </c>
      <c r="B1355">
        <v>0</v>
      </c>
      <c r="C1355" t="s">
        <v>72</v>
      </c>
      <c r="D1355" t="s">
        <v>44</v>
      </c>
      <c r="E1355" t="s">
        <v>30</v>
      </c>
      <c r="F1355">
        <v>90</v>
      </c>
      <c r="G1355" t="s">
        <v>59</v>
      </c>
      <c r="H1355" t="s">
        <v>30</v>
      </c>
      <c r="I1355">
        <v>90</v>
      </c>
      <c r="J1355">
        <v>10</v>
      </c>
      <c r="K1355">
        <v>5</v>
      </c>
      <c r="L1355">
        <v>54</v>
      </c>
      <c r="M1355" t="s">
        <v>38</v>
      </c>
      <c r="N1355" t="s">
        <v>84</v>
      </c>
      <c r="O1355">
        <v>48957</v>
      </c>
      <c r="P1355">
        <v>215</v>
      </c>
      <c r="Q1355" t="s">
        <v>44</v>
      </c>
      <c r="R1355" t="str">
        <f t="shared" si="22"/>
        <v>No</v>
      </c>
    </row>
    <row r="1356" spans="1:18" x14ac:dyDescent="0.35">
      <c r="A1356" s="1">
        <v>40376</v>
      </c>
      <c r="B1356">
        <v>0</v>
      </c>
      <c r="C1356" t="s">
        <v>72</v>
      </c>
      <c r="D1356" t="s">
        <v>68</v>
      </c>
      <c r="E1356" t="s">
        <v>18</v>
      </c>
      <c r="F1356">
        <v>92</v>
      </c>
      <c r="G1356" t="s">
        <v>50</v>
      </c>
      <c r="H1356" t="s">
        <v>18</v>
      </c>
      <c r="I1356">
        <v>91</v>
      </c>
      <c r="J1356">
        <v>6</v>
      </c>
      <c r="K1356">
        <v>3</v>
      </c>
      <c r="L1356">
        <v>54</v>
      </c>
      <c r="M1356" t="s">
        <v>20</v>
      </c>
      <c r="N1356" t="s">
        <v>51</v>
      </c>
      <c r="O1356">
        <v>48174</v>
      </c>
      <c r="P1356">
        <v>172</v>
      </c>
      <c r="Q1356" t="s">
        <v>68</v>
      </c>
      <c r="R1356" t="str">
        <f t="shared" si="22"/>
        <v>No</v>
      </c>
    </row>
    <row r="1357" spans="1:18" x14ac:dyDescent="0.35">
      <c r="A1357" s="1">
        <v>40376</v>
      </c>
      <c r="B1357">
        <v>0</v>
      </c>
      <c r="C1357" t="s">
        <v>72</v>
      </c>
      <c r="D1357" t="s">
        <v>25</v>
      </c>
      <c r="E1357" t="s">
        <v>18</v>
      </c>
      <c r="F1357">
        <v>90</v>
      </c>
      <c r="G1357" t="s">
        <v>49</v>
      </c>
      <c r="H1357" t="s">
        <v>18</v>
      </c>
      <c r="I1357">
        <v>92</v>
      </c>
      <c r="J1357">
        <v>4</v>
      </c>
      <c r="K1357">
        <v>1</v>
      </c>
      <c r="L1357">
        <v>54</v>
      </c>
      <c r="M1357" t="s">
        <v>38</v>
      </c>
      <c r="N1357" t="s">
        <v>79</v>
      </c>
      <c r="O1357">
        <v>40924</v>
      </c>
      <c r="P1357">
        <v>183</v>
      </c>
      <c r="Q1357" t="s">
        <v>25</v>
      </c>
      <c r="R1357" t="str">
        <f t="shared" si="22"/>
        <v>No</v>
      </c>
    </row>
    <row r="1358" spans="1:18" x14ac:dyDescent="0.35">
      <c r="A1358" s="1">
        <v>40376</v>
      </c>
      <c r="B1358">
        <v>0</v>
      </c>
      <c r="C1358" t="s">
        <v>72</v>
      </c>
      <c r="D1358" t="s">
        <v>63</v>
      </c>
      <c r="E1358" t="s">
        <v>18</v>
      </c>
      <c r="F1358">
        <v>90</v>
      </c>
      <c r="G1358" t="s">
        <v>53</v>
      </c>
      <c r="H1358" t="s">
        <v>18</v>
      </c>
      <c r="I1358">
        <v>92</v>
      </c>
      <c r="J1358">
        <v>1</v>
      </c>
      <c r="K1358">
        <v>8</v>
      </c>
      <c r="L1358">
        <v>51</v>
      </c>
      <c r="M1358" t="s">
        <v>20</v>
      </c>
      <c r="N1358" t="s">
        <v>54</v>
      </c>
      <c r="O1358">
        <v>41300</v>
      </c>
      <c r="P1358">
        <v>167</v>
      </c>
      <c r="Q1358" t="s">
        <v>53</v>
      </c>
      <c r="R1358" t="str">
        <f t="shared" si="22"/>
        <v>Yes</v>
      </c>
    </row>
    <row r="1359" spans="1:18" x14ac:dyDescent="0.35">
      <c r="A1359" s="1">
        <v>40376</v>
      </c>
      <c r="B1359">
        <v>0</v>
      </c>
      <c r="C1359" t="s">
        <v>72</v>
      </c>
      <c r="D1359" t="s">
        <v>26</v>
      </c>
      <c r="E1359" t="s">
        <v>18</v>
      </c>
      <c r="F1359">
        <v>91</v>
      </c>
      <c r="G1359" t="s">
        <v>17</v>
      </c>
      <c r="H1359" t="s">
        <v>18</v>
      </c>
      <c r="I1359">
        <v>90</v>
      </c>
      <c r="J1359">
        <v>0</v>
      </c>
      <c r="K1359">
        <v>2</v>
      </c>
      <c r="L1359">
        <v>51</v>
      </c>
      <c r="M1359" t="s">
        <v>20</v>
      </c>
      <c r="N1359" t="s">
        <v>65</v>
      </c>
      <c r="O1359">
        <v>23005</v>
      </c>
      <c r="P1359">
        <v>153</v>
      </c>
      <c r="Q1359" t="s">
        <v>17</v>
      </c>
      <c r="R1359" t="str">
        <f t="shared" si="22"/>
        <v>Yes</v>
      </c>
    </row>
    <row r="1360" spans="1:18" x14ac:dyDescent="0.35">
      <c r="A1360" s="1">
        <v>40376</v>
      </c>
      <c r="B1360">
        <v>0</v>
      </c>
      <c r="C1360" t="s">
        <v>72</v>
      </c>
      <c r="D1360" t="s">
        <v>66</v>
      </c>
      <c r="E1360" t="s">
        <v>18</v>
      </c>
      <c r="F1360">
        <v>91</v>
      </c>
      <c r="G1360" t="s">
        <v>23</v>
      </c>
      <c r="H1360" t="s">
        <v>18</v>
      </c>
      <c r="I1360">
        <v>90</v>
      </c>
      <c r="J1360">
        <v>6</v>
      </c>
      <c r="K1360">
        <v>12</v>
      </c>
      <c r="L1360">
        <v>51</v>
      </c>
      <c r="M1360" t="s">
        <v>20</v>
      </c>
      <c r="N1360" t="s">
        <v>24</v>
      </c>
      <c r="O1360">
        <v>36665</v>
      </c>
      <c r="P1360">
        <v>197</v>
      </c>
      <c r="Q1360" t="s">
        <v>23</v>
      </c>
      <c r="R1360" t="str">
        <f t="shared" si="22"/>
        <v>Yes</v>
      </c>
    </row>
    <row r="1361" spans="1:18" x14ac:dyDescent="0.35">
      <c r="A1361" s="1">
        <v>40376</v>
      </c>
      <c r="B1361">
        <v>0</v>
      </c>
      <c r="C1361" t="s">
        <v>72</v>
      </c>
      <c r="D1361" t="s">
        <v>60</v>
      </c>
      <c r="E1361" t="s">
        <v>18</v>
      </c>
      <c r="F1361">
        <v>91</v>
      </c>
      <c r="G1361" t="s">
        <v>62</v>
      </c>
      <c r="H1361" t="s">
        <v>18</v>
      </c>
      <c r="I1361">
        <v>90</v>
      </c>
      <c r="J1361">
        <v>5</v>
      </c>
      <c r="K1361">
        <v>8</v>
      </c>
      <c r="L1361">
        <v>51</v>
      </c>
      <c r="M1361" t="s">
        <v>20</v>
      </c>
      <c r="N1361" t="s">
        <v>81</v>
      </c>
      <c r="O1361">
        <v>40011</v>
      </c>
      <c r="P1361">
        <v>163</v>
      </c>
      <c r="Q1361" t="s">
        <v>62</v>
      </c>
      <c r="R1361" t="str">
        <f t="shared" si="22"/>
        <v>Yes</v>
      </c>
    </row>
    <row r="1362" spans="1:18" x14ac:dyDescent="0.35">
      <c r="A1362" s="1">
        <v>40376</v>
      </c>
      <c r="B1362">
        <v>0</v>
      </c>
      <c r="C1362" t="s">
        <v>72</v>
      </c>
      <c r="D1362" t="s">
        <v>19</v>
      </c>
      <c r="E1362" t="s">
        <v>18</v>
      </c>
      <c r="F1362">
        <v>91</v>
      </c>
      <c r="G1362" t="s">
        <v>70</v>
      </c>
      <c r="H1362" t="s">
        <v>18</v>
      </c>
      <c r="I1362">
        <v>91</v>
      </c>
      <c r="J1362">
        <v>4</v>
      </c>
      <c r="K1362">
        <v>8</v>
      </c>
      <c r="L1362">
        <v>51</v>
      </c>
      <c r="M1362" t="s">
        <v>20</v>
      </c>
      <c r="N1362" t="s">
        <v>71</v>
      </c>
      <c r="O1362">
        <v>42599</v>
      </c>
      <c r="P1362">
        <v>167</v>
      </c>
      <c r="Q1362" t="s">
        <v>70</v>
      </c>
      <c r="R1362" t="str">
        <f t="shared" si="22"/>
        <v>Yes</v>
      </c>
    </row>
    <row r="1363" spans="1:18" x14ac:dyDescent="0.35">
      <c r="A1363" s="1">
        <v>40376</v>
      </c>
      <c r="B1363">
        <v>0</v>
      </c>
      <c r="C1363" t="s">
        <v>72</v>
      </c>
      <c r="D1363" t="s">
        <v>22</v>
      </c>
      <c r="E1363" t="s">
        <v>18</v>
      </c>
      <c r="F1363">
        <v>91</v>
      </c>
      <c r="G1363" t="s">
        <v>52</v>
      </c>
      <c r="H1363" t="s">
        <v>18</v>
      </c>
      <c r="I1363">
        <v>91</v>
      </c>
      <c r="J1363">
        <v>0</v>
      </c>
      <c r="K1363">
        <v>2</v>
      </c>
      <c r="L1363">
        <v>51</v>
      </c>
      <c r="M1363" t="s">
        <v>38</v>
      </c>
      <c r="N1363" t="s">
        <v>82</v>
      </c>
      <c r="O1363">
        <v>43667</v>
      </c>
      <c r="P1363">
        <v>180</v>
      </c>
      <c r="Q1363" t="s">
        <v>52</v>
      </c>
      <c r="R1363" t="str">
        <f t="shared" si="22"/>
        <v>Yes</v>
      </c>
    </row>
    <row r="1364" spans="1:18" x14ac:dyDescent="0.35">
      <c r="A1364" s="1">
        <v>40377</v>
      </c>
      <c r="B1364">
        <v>0</v>
      </c>
      <c r="C1364" t="s">
        <v>73</v>
      </c>
      <c r="D1364" t="s">
        <v>40</v>
      </c>
      <c r="E1364" t="s">
        <v>30</v>
      </c>
      <c r="F1364">
        <v>92</v>
      </c>
      <c r="G1364" t="s">
        <v>31</v>
      </c>
      <c r="H1364" t="s">
        <v>30</v>
      </c>
      <c r="I1364">
        <v>95</v>
      </c>
      <c r="J1364">
        <v>2</v>
      </c>
      <c r="K1364">
        <v>1</v>
      </c>
      <c r="L1364">
        <v>60</v>
      </c>
      <c r="M1364" t="s">
        <v>38</v>
      </c>
      <c r="N1364" t="s">
        <v>32</v>
      </c>
      <c r="O1364">
        <v>38883</v>
      </c>
      <c r="P1364">
        <v>179</v>
      </c>
      <c r="Q1364" t="s">
        <v>40</v>
      </c>
      <c r="R1364" t="str">
        <f t="shared" si="22"/>
        <v>No</v>
      </c>
    </row>
    <row r="1365" spans="1:18" x14ac:dyDescent="0.35">
      <c r="A1365" s="1">
        <v>40377</v>
      </c>
      <c r="B1365">
        <v>0</v>
      </c>
      <c r="C1365" t="s">
        <v>73</v>
      </c>
      <c r="D1365" t="s">
        <v>46</v>
      </c>
      <c r="E1365" t="s">
        <v>30</v>
      </c>
      <c r="F1365">
        <v>92</v>
      </c>
      <c r="G1365" t="s">
        <v>43</v>
      </c>
      <c r="H1365" t="s">
        <v>30</v>
      </c>
      <c r="I1365">
        <v>91</v>
      </c>
      <c r="J1365">
        <v>10</v>
      </c>
      <c r="K1365">
        <v>1</v>
      </c>
      <c r="L1365">
        <v>54</v>
      </c>
      <c r="M1365" t="s">
        <v>38</v>
      </c>
      <c r="N1365" t="s">
        <v>56</v>
      </c>
      <c r="O1365">
        <v>14032</v>
      </c>
      <c r="P1365">
        <v>175</v>
      </c>
      <c r="Q1365" t="s">
        <v>46</v>
      </c>
      <c r="R1365" t="str">
        <f t="shared" si="22"/>
        <v>No</v>
      </c>
    </row>
    <row r="1366" spans="1:18" x14ac:dyDescent="0.35">
      <c r="A1366" s="1">
        <v>40377</v>
      </c>
      <c r="B1366">
        <v>0</v>
      </c>
      <c r="C1366" t="s">
        <v>73</v>
      </c>
      <c r="D1366" t="s">
        <v>47</v>
      </c>
      <c r="E1366" t="s">
        <v>30</v>
      </c>
      <c r="F1366">
        <v>92</v>
      </c>
      <c r="G1366" t="s">
        <v>58</v>
      </c>
      <c r="H1366" t="s">
        <v>30</v>
      </c>
      <c r="I1366">
        <v>92</v>
      </c>
      <c r="J1366">
        <v>4</v>
      </c>
      <c r="K1366">
        <v>2</v>
      </c>
      <c r="L1366">
        <v>54</v>
      </c>
      <c r="M1366" t="s">
        <v>38</v>
      </c>
      <c r="N1366" t="s">
        <v>86</v>
      </c>
      <c r="O1366">
        <v>37431</v>
      </c>
      <c r="P1366">
        <v>177</v>
      </c>
      <c r="Q1366" t="s">
        <v>47</v>
      </c>
      <c r="R1366" t="str">
        <f t="shared" si="22"/>
        <v>No</v>
      </c>
    </row>
    <row r="1367" spans="1:18" x14ac:dyDescent="0.35">
      <c r="A1367" s="1">
        <v>40377</v>
      </c>
      <c r="B1367">
        <v>0</v>
      </c>
      <c r="C1367" t="s">
        <v>73</v>
      </c>
      <c r="D1367" t="s">
        <v>36</v>
      </c>
      <c r="E1367" t="s">
        <v>30</v>
      </c>
      <c r="F1367">
        <v>90</v>
      </c>
      <c r="G1367" t="s">
        <v>33</v>
      </c>
      <c r="H1367" t="s">
        <v>30</v>
      </c>
      <c r="I1367">
        <v>92</v>
      </c>
      <c r="J1367">
        <v>2</v>
      </c>
      <c r="K1367">
        <v>7</v>
      </c>
      <c r="L1367">
        <v>51</v>
      </c>
      <c r="M1367" t="s">
        <v>38</v>
      </c>
      <c r="N1367" t="s">
        <v>75</v>
      </c>
      <c r="O1367">
        <v>19102</v>
      </c>
      <c r="P1367">
        <v>164</v>
      </c>
      <c r="Q1367" t="s">
        <v>33</v>
      </c>
      <c r="R1367" t="str">
        <f t="shared" si="22"/>
        <v>Yes</v>
      </c>
    </row>
    <row r="1368" spans="1:18" x14ac:dyDescent="0.35">
      <c r="A1368" s="1">
        <v>40377</v>
      </c>
      <c r="B1368">
        <v>0</v>
      </c>
      <c r="C1368" t="s">
        <v>73</v>
      </c>
      <c r="D1368" t="s">
        <v>41</v>
      </c>
      <c r="E1368" t="s">
        <v>30</v>
      </c>
      <c r="F1368">
        <v>92</v>
      </c>
      <c r="G1368" t="s">
        <v>37</v>
      </c>
      <c r="H1368" t="s">
        <v>30</v>
      </c>
      <c r="I1368">
        <v>91</v>
      </c>
      <c r="J1368">
        <v>9</v>
      </c>
      <c r="K1368">
        <v>6</v>
      </c>
      <c r="L1368">
        <v>54</v>
      </c>
      <c r="M1368" t="s">
        <v>38</v>
      </c>
      <c r="N1368" t="s">
        <v>39</v>
      </c>
      <c r="O1368">
        <v>18702</v>
      </c>
      <c r="P1368">
        <v>167</v>
      </c>
      <c r="Q1368" t="s">
        <v>41</v>
      </c>
      <c r="R1368" t="str">
        <f t="shared" si="22"/>
        <v>No</v>
      </c>
    </row>
    <row r="1369" spans="1:18" x14ac:dyDescent="0.35">
      <c r="A1369" s="1">
        <v>40377</v>
      </c>
      <c r="B1369">
        <v>0</v>
      </c>
      <c r="C1369" t="s">
        <v>73</v>
      </c>
      <c r="D1369" t="s">
        <v>34</v>
      </c>
      <c r="E1369" t="s">
        <v>30</v>
      </c>
      <c r="F1369">
        <v>91</v>
      </c>
      <c r="G1369" t="s">
        <v>29</v>
      </c>
      <c r="H1369" t="s">
        <v>30</v>
      </c>
      <c r="I1369">
        <v>92</v>
      </c>
      <c r="J1369">
        <v>6</v>
      </c>
      <c r="K1369">
        <v>7</v>
      </c>
      <c r="L1369">
        <v>51</v>
      </c>
      <c r="M1369" t="s">
        <v>38</v>
      </c>
      <c r="N1369" t="s">
        <v>76</v>
      </c>
      <c r="O1369">
        <v>40336</v>
      </c>
      <c r="P1369">
        <v>187</v>
      </c>
      <c r="Q1369" t="s">
        <v>29</v>
      </c>
      <c r="R1369" t="str">
        <f t="shared" si="22"/>
        <v>Yes</v>
      </c>
    </row>
    <row r="1370" spans="1:18" x14ac:dyDescent="0.35">
      <c r="A1370" s="1">
        <v>40377</v>
      </c>
      <c r="B1370">
        <v>0</v>
      </c>
      <c r="C1370" t="s">
        <v>73</v>
      </c>
      <c r="D1370" t="s">
        <v>44</v>
      </c>
      <c r="E1370" t="s">
        <v>30</v>
      </c>
      <c r="F1370">
        <v>91</v>
      </c>
      <c r="G1370" t="s">
        <v>59</v>
      </c>
      <c r="H1370" t="s">
        <v>30</v>
      </c>
      <c r="I1370">
        <v>91</v>
      </c>
      <c r="J1370">
        <v>5</v>
      </c>
      <c r="K1370">
        <v>9</v>
      </c>
      <c r="L1370">
        <v>51</v>
      </c>
      <c r="M1370" t="s">
        <v>38</v>
      </c>
      <c r="N1370" t="s">
        <v>84</v>
      </c>
      <c r="O1370">
        <v>46969</v>
      </c>
      <c r="P1370">
        <v>227</v>
      </c>
      <c r="Q1370" t="s">
        <v>59</v>
      </c>
      <c r="R1370" t="str">
        <f t="shared" si="22"/>
        <v>Yes</v>
      </c>
    </row>
    <row r="1371" spans="1:18" x14ac:dyDescent="0.35">
      <c r="A1371" s="1">
        <v>40377</v>
      </c>
      <c r="B1371">
        <v>0</v>
      </c>
      <c r="C1371" t="s">
        <v>73</v>
      </c>
      <c r="D1371" t="s">
        <v>68</v>
      </c>
      <c r="E1371" t="s">
        <v>18</v>
      </c>
      <c r="F1371">
        <v>93</v>
      </c>
      <c r="G1371" t="s">
        <v>50</v>
      </c>
      <c r="H1371" t="s">
        <v>18</v>
      </c>
      <c r="I1371">
        <v>92</v>
      </c>
      <c r="J1371">
        <v>6</v>
      </c>
      <c r="K1371">
        <v>11</v>
      </c>
      <c r="L1371">
        <v>51</v>
      </c>
      <c r="M1371" t="s">
        <v>38</v>
      </c>
      <c r="N1371" t="s">
        <v>51</v>
      </c>
      <c r="O1371">
        <v>24732</v>
      </c>
      <c r="P1371">
        <v>181</v>
      </c>
      <c r="Q1371" t="s">
        <v>50</v>
      </c>
      <c r="R1371" t="str">
        <f t="shared" si="22"/>
        <v>Yes</v>
      </c>
    </row>
    <row r="1372" spans="1:18" x14ac:dyDescent="0.35">
      <c r="A1372" s="1">
        <v>40377</v>
      </c>
      <c r="B1372">
        <v>0</v>
      </c>
      <c r="C1372" t="s">
        <v>73</v>
      </c>
      <c r="D1372" t="s">
        <v>25</v>
      </c>
      <c r="E1372" t="s">
        <v>18</v>
      </c>
      <c r="F1372">
        <v>91</v>
      </c>
      <c r="G1372" t="s">
        <v>49</v>
      </c>
      <c r="H1372" t="s">
        <v>18</v>
      </c>
      <c r="I1372">
        <v>93</v>
      </c>
      <c r="J1372">
        <v>6</v>
      </c>
      <c r="K1372">
        <v>11</v>
      </c>
      <c r="L1372">
        <v>51</v>
      </c>
      <c r="M1372" t="s">
        <v>20</v>
      </c>
      <c r="N1372" t="s">
        <v>79</v>
      </c>
      <c r="O1372">
        <v>39333</v>
      </c>
      <c r="P1372">
        <v>165</v>
      </c>
      <c r="Q1372" t="s">
        <v>49</v>
      </c>
      <c r="R1372" t="str">
        <f t="shared" si="22"/>
        <v>Yes</v>
      </c>
    </row>
    <row r="1373" spans="1:18" x14ac:dyDescent="0.35">
      <c r="A1373" s="1">
        <v>40377</v>
      </c>
      <c r="B1373">
        <v>0</v>
      </c>
      <c r="C1373" t="s">
        <v>73</v>
      </c>
      <c r="D1373" t="s">
        <v>63</v>
      </c>
      <c r="E1373" t="s">
        <v>18</v>
      </c>
      <c r="F1373">
        <v>91</v>
      </c>
      <c r="G1373" t="s">
        <v>53</v>
      </c>
      <c r="H1373" t="s">
        <v>18</v>
      </c>
      <c r="I1373">
        <v>93</v>
      </c>
      <c r="J1373">
        <v>1</v>
      </c>
      <c r="K1373">
        <v>0</v>
      </c>
      <c r="L1373">
        <v>54</v>
      </c>
      <c r="M1373" t="s">
        <v>38</v>
      </c>
      <c r="N1373" t="s">
        <v>54</v>
      </c>
      <c r="O1373">
        <v>25159</v>
      </c>
      <c r="P1373">
        <v>183</v>
      </c>
      <c r="Q1373" t="s">
        <v>63</v>
      </c>
      <c r="R1373" t="str">
        <f t="shared" si="22"/>
        <v>No</v>
      </c>
    </row>
    <row r="1374" spans="1:18" x14ac:dyDescent="0.35">
      <c r="A1374" s="1">
        <v>40377</v>
      </c>
      <c r="B1374">
        <v>0</v>
      </c>
      <c r="C1374" t="s">
        <v>73</v>
      </c>
      <c r="D1374" t="s">
        <v>26</v>
      </c>
      <c r="E1374" t="s">
        <v>18</v>
      </c>
      <c r="F1374">
        <v>92</v>
      </c>
      <c r="G1374" t="s">
        <v>17</v>
      </c>
      <c r="H1374" t="s">
        <v>18</v>
      </c>
      <c r="I1374">
        <v>91</v>
      </c>
      <c r="J1374">
        <v>0</v>
      </c>
      <c r="K1374">
        <v>1</v>
      </c>
      <c r="L1374">
        <v>51</v>
      </c>
      <c r="M1374" t="s">
        <v>38</v>
      </c>
      <c r="N1374" t="s">
        <v>65</v>
      </c>
      <c r="O1374">
        <v>21057</v>
      </c>
      <c r="P1374">
        <v>168</v>
      </c>
      <c r="Q1374" t="s">
        <v>17</v>
      </c>
      <c r="R1374" t="str">
        <f t="shared" si="22"/>
        <v>Yes</v>
      </c>
    </row>
    <row r="1375" spans="1:18" x14ac:dyDescent="0.35">
      <c r="A1375" s="1">
        <v>40377</v>
      </c>
      <c r="B1375">
        <v>0</v>
      </c>
      <c r="C1375" t="s">
        <v>73</v>
      </c>
      <c r="D1375" t="s">
        <v>66</v>
      </c>
      <c r="E1375" t="s">
        <v>18</v>
      </c>
      <c r="F1375">
        <v>92</v>
      </c>
      <c r="G1375" t="s">
        <v>23</v>
      </c>
      <c r="H1375" t="s">
        <v>18</v>
      </c>
      <c r="I1375">
        <v>91</v>
      </c>
      <c r="J1375">
        <v>0</v>
      </c>
      <c r="K1375">
        <v>9</v>
      </c>
      <c r="L1375">
        <v>51</v>
      </c>
      <c r="M1375" t="s">
        <v>38</v>
      </c>
      <c r="N1375" t="s">
        <v>24</v>
      </c>
      <c r="O1375">
        <v>16638</v>
      </c>
      <c r="P1375">
        <v>154</v>
      </c>
      <c r="Q1375" t="s">
        <v>23</v>
      </c>
      <c r="R1375" t="str">
        <f t="shared" si="22"/>
        <v>Yes</v>
      </c>
    </row>
    <row r="1376" spans="1:18" x14ac:dyDescent="0.35">
      <c r="A1376" s="1">
        <v>40377</v>
      </c>
      <c r="B1376">
        <v>0</v>
      </c>
      <c r="C1376" t="s">
        <v>73</v>
      </c>
      <c r="D1376" t="s">
        <v>60</v>
      </c>
      <c r="E1376" t="s">
        <v>18</v>
      </c>
      <c r="F1376">
        <v>92</v>
      </c>
      <c r="G1376" t="s">
        <v>62</v>
      </c>
      <c r="H1376" t="s">
        <v>18</v>
      </c>
      <c r="I1376">
        <v>91</v>
      </c>
      <c r="J1376">
        <v>4</v>
      </c>
      <c r="K1376">
        <v>6</v>
      </c>
      <c r="L1376">
        <v>51</v>
      </c>
      <c r="M1376" t="s">
        <v>38</v>
      </c>
      <c r="N1376" t="s">
        <v>81</v>
      </c>
      <c r="O1376">
        <v>25363</v>
      </c>
      <c r="P1376">
        <v>197</v>
      </c>
      <c r="Q1376" t="s">
        <v>62</v>
      </c>
      <c r="R1376" t="str">
        <f t="shared" si="22"/>
        <v>Yes</v>
      </c>
    </row>
    <row r="1377" spans="1:18" x14ac:dyDescent="0.35">
      <c r="A1377" s="1">
        <v>40377</v>
      </c>
      <c r="B1377">
        <v>0</v>
      </c>
      <c r="C1377" t="s">
        <v>73</v>
      </c>
      <c r="D1377" t="s">
        <v>19</v>
      </c>
      <c r="E1377" t="s">
        <v>18</v>
      </c>
      <c r="F1377">
        <v>92</v>
      </c>
      <c r="G1377" t="s">
        <v>70</v>
      </c>
      <c r="H1377" t="s">
        <v>18</v>
      </c>
      <c r="I1377">
        <v>92</v>
      </c>
      <c r="J1377">
        <v>4</v>
      </c>
      <c r="K1377">
        <v>3</v>
      </c>
      <c r="L1377">
        <v>60</v>
      </c>
      <c r="M1377" t="s">
        <v>38</v>
      </c>
      <c r="N1377" t="s">
        <v>71</v>
      </c>
      <c r="O1377">
        <v>37326</v>
      </c>
      <c r="P1377">
        <v>193</v>
      </c>
      <c r="Q1377" t="s">
        <v>19</v>
      </c>
      <c r="R1377" t="str">
        <f t="shared" si="22"/>
        <v>No</v>
      </c>
    </row>
    <row r="1378" spans="1:18" x14ac:dyDescent="0.35">
      <c r="A1378" s="1">
        <v>40377</v>
      </c>
      <c r="B1378">
        <v>0</v>
      </c>
      <c r="C1378" t="s">
        <v>73</v>
      </c>
      <c r="D1378" t="s">
        <v>22</v>
      </c>
      <c r="E1378" t="s">
        <v>18</v>
      </c>
      <c r="F1378">
        <v>92</v>
      </c>
      <c r="G1378" t="s">
        <v>52</v>
      </c>
      <c r="H1378" t="s">
        <v>18</v>
      </c>
      <c r="I1378">
        <v>92</v>
      </c>
      <c r="J1378">
        <v>4</v>
      </c>
      <c r="K1378">
        <v>5</v>
      </c>
      <c r="L1378">
        <v>53</v>
      </c>
      <c r="M1378" t="s">
        <v>38</v>
      </c>
      <c r="N1378" t="s">
        <v>82</v>
      </c>
      <c r="O1378">
        <v>40743</v>
      </c>
      <c r="P1378">
        <v>210</v>
      </c>
      <c r="Q1378" t="s">
        <v>52</v>
      </c>
      <c r="R1378" t="str">
        <f t="shared" si="22"/>
        <v>Yes</v>
      </c>
    </row>
    <row r="1379" spans="1:18" x14ac:dyDescent="0.35">
      <c r="A1379" s="1">
        <v>40378</v>
      </c>
      <c r="B1379">
        <v>0</v>
      </c>
      <c r="C1379" t="s">
        <v>74</v>
      </c>
      <c r="D1379" t="s">
        <v>44</v>
      </c>
      <c r="E1379" t="s">
        <v>30</v>
      </c>
      <c r="F1379">
        <v>92</v>
      </c>
      <c r="G1379" t="s">
        <v>43</v>
      </c>
      <c r="H1379" t="s">
        <v>30</v>
      </c>
      <c r="I1379">
        <v>92</v>
      </c>
      <c r="J1379">
        <v>8</v>
      </c>
      <c r="K1379">
        <v>1</v>
      </c>
      <c r="L1379">
        <v>54</v>
      </c>
      <c r="M1379" t="s">
        <v>20</v>
      </c>
      <c r="N1379" t="s">
        <v>56</v>
      </c>
      <c r="O1379">
        <v>12792</v>
      </c>
      <c r="P1379">
        <v>161</v>
      </c>
      <c r="Q1379" t="s">
        <v>44</v>
      </c>
      <c r="R1379" t="str">
        <f t="shared" si="22"/>
        <v>No</v>
      </c>
    </row>
    <row r="1380" spans="1:18" x14ac:dyDescent="0.35">
      <c r="A1380" s="1">
        <v>40378</v>
      </c>
      <c r="B1380">
        <v>0</v>
      </c>
      <c r="C1380" t="s">
        <v>74</v>
      </c>
      <c r="D1380" t="s">
        <v>47</v>
      </c>
      <c r="E1380" t="s">
        <v>30</v>
      </c>
      <c r="F1380">
        <v>93</v>
      </c>
      <c r="G1380" t="s">
        <v>36</v>
      </c>
      <c r="H1380" t="s">
        <v>30</v>
      </c>
      <c r="I1380">
        <v>91</v>
      </c>
      <c r="J1380">
        <v>8</v>
      </c>
      <c r="K1380">
        <v>6</v>
      </c>
      <c r="L1380">
        <v>84</v>
      </c>
      <c r="M1380" t="s">
        <v>20</v>
      </c>
      <c r="N1380" t="s">
        <v>57</v>
      </c>
      <c r="O1380">
        <v>26626</v>
      </c>
      <c r="P1380">
        <v>293</v>
      </c>
      <c r="Q1380" t="s">
        <v>47</v>
      </c>
      <c r="R1380" t="str">
        <f t="shared" si="22"/>
        <v>No</v>
      </c>
    </row>
    <row r="1381" spans="1:18" x14ac:dyDescent="0.35">
      <c r="A1381" s="1">
        <v>40378</v>
      </c>
      <c r="B1381">
        <v>0</v>
      </c>
      <c r="C1381" t="s">
        <v>74</v>
      </c>
      <c r="D1381" t="s">
        <v>46</v>
      </c>
      <c r="E1381" t="s">
        <v>30</v>
      </c>
      <c r="F1381">
        <v>93</v>
      </c>
      <c r="G1381" t="s">
        <v>37</v>
      </c>
      <c r="H1381" t="s">
        <v>30</v>
      </c>
      <c r="I1381">
        <v>92</v>
      </c>
      <c r="J1381">
        <v>4</v>
      </c>
      <c r="K1381">
        <v>5</v>
      </c>
      <c r="L1381">
        <v>59</v>
      </c>
      <c r="M1381" t="s">
        <v>20</v>
      </c>
      <c r="N1381" t="s">
        <v>39</v>
      </c>
      <c r="O1381">
        <v>12968</v>
      </c>
      <c r="P1381">
        <v>172</v>
      </c>
      <c r="Q1381" t="s">
        <v>37</v>
      </c>
      <c r="R1381" t="str">
        <f t="shared" si="22"/>
        <v>Yes</v>
      </c>
    </row>
    <row r="1382" spans="1:18" x14ac:dyDescent="0.35">
      <c r="A1382" s="1">
        <v>40378</v>
      </c>
      <c r="B1382">
        <v>0</v>
      </c>
      <c r="C1382" t="s">
        <v>74</v>
      </c>
      <c r="D1382" t="s">
        <v>33</v>
      </c>
      <c r="E1382" t="s">
        <v>30</v>
      </c>
      <c r="F1382">
        <v>93</v>
      </c>
      <c r="G1382" t="s">
        <v>29</v>
      </c>
      <c r="H1382" t="s">
        <v>30</v>
      </c>
      <c r="I1382">
        <v>93</v>
      </c>
      <c r="J1382">
        <v>10</v>
      </c>
      <c r="K1382">
        <v>4</v>
      </c>
      <c r="L1382">
        <v>54</v>
      </c>
      <c r="M1382" t="s">
        <v>20</v>
      </c>
      <c r="N1382" t="s">
        <v>76</v>
      </c>
      <c r="O1382">
        <v>40853</v>
      </c>
      <c r="P1382">
        <v>234</v>
      </c>
      <c r="Q1382" t="s">
        <v>33</v>
      </c>
      <c r="R1382" t="str">
        <f t="shared" si="22"/>
        <v>No</v>
      </c>
    </row>
    <row r="1383" spans="1:18" x14ac:dyDescent="0.35">
      <c r="A1383" s="1">
        <v>40378</v>
      </c>
      <c r="B1383">
        <v>0</v>
      </c>
      <c r="C1383" t="s">
        <v>74</v>
      </c>
      <c r="D1383" t="s">
        <v>58</v>
      </c>
      <c r="E1383" t="s">
        <v>30</v>
      </c>
      <c r="F1383">
        <v>93</v>
      </c>
      <c r="G1383" t="s">
        <v>41</v>
      </c>
      <c r="H1383" t="s">
        <v>30</v>
      </c>
      <c r="I1383">
        <v>93</v>
      </c>
      <c r="J1383">
        <v>2</v>
      </c>
      <c r="K1383">
        <v>1</v>
      </c>
      <c r="L1383">
        <v>54</v>
      </c>
      <c r="M1383" t="s">
        <v>20</v>
      </c>
      <c r="N1383" t="s">
        <v>42</v>
      </c>
      <c r="O1383">
        <v>19341</v>
      </c>
      <c r="P1383">
        <v>160</v>
      </c>
      <c r="Q1383" t="s">
        <v>58</v>
      </c>
      <c r="R1383" t="str">
        <f t="shared" si="22"/>
        <v>No</v>
      </c>
    </row>
    <row r="1384" spans="1:18" x14ac:dyDescent="0.35">
      <c r="A1384" s="1">
        <v>40378</v>
      </c>
      <c r="B1384">
        <v>0</v>
      </c>
      <c r="C1384" t="s">
        <v>74</v>
      </c>
      <c r="D1384" t="s">
        <v>34</v>
      </c>
      <c r="E1384" t="s">
        <v>30</v>
      </c>
      <c r="F1384">
        <v>92</v>
      </c>
      <c r="G1384" t="s">
        <v>40</v>
      </c>
      <c r="H1384" t="s">
        <v>30</v>
      </c>
      <c r="I1384">
        <v>93</v>
      </c>
      <c r="J1384">
        <v>6</v>
      </c>
      <c r="K1384">
        <v>1</v>
      </c>
      <c r="L1384">
        <v>54</v>
      </c>
      <c r="M1384" t="s">
        <v>20</v>
      </c>
      <c r="N1384" t="s">
        <v>77</v>
      </c>
      <c r="O1384">
        <v>21749</v>
      </c>
      <c r="P1384">
        <v>165</v>
      </c>
      <c r="Q1384" t="s">
        <v>34</v>
      </c>
      <c r="R1384" t="str">
        <f t="shared" si="22"/>
        <v>No</v>
      </c>
    </row>
    <row r="1385" spans="1:18" x14ac:dyDescent="0.35">
      <c r="A1385" s="1">
        <v>40378</v>
      </c>
      <c r="B1385">
        <v>0</v>
      </c>
      <c r="C1385" t="s">
        <v>74</v>
      </c>
      <c r="D1385" t="s">
        <v>19</v>
      </c>
      <c r="E1385" t="s">
        <v>18</v>
      </c>
      <c r="F1385">
        <v>93</v>
      </c>
      <c r="G1385" t="s">
        <v>60</v>
      </c>
      <c r="H1385" t="s">
        <v>18</v>
      </c>
      <c r="I1385">
        <v>93</v>
      </c>
      <c r="J1385">
        <v>2</v>
      </c>
      <c r="K1385">
        <v>13</v>
      </c>
      <c r="L1385">
        <v>51</v>
      </c>
      <c r="M1385" t="s">
        <v>20</v>
      </c>
      <c r="N1385" t="s">
        <v>61</v>
      </c>
      <c r="O1385">
        <v>18253</v>
      </c>
      <c r="P1385">
        <v>200</v>
      </c>
      <c r="Q1385" t="s">
        <v>60</v>
      </c>
      <c r="R1385" t="str">
        <f t="shared" si="22"/>
        <v>Yes</v>
      </c>
    </row>
    <row r="1386" spans="1:18" x14ac:dyDescent="0.35">
      <c r="A1386" s="1">
        <v>40378</v>
      </c>
      <c r="B1386">
        <v>0</v>
      </c>
      <c r="C1386" t="s">
        <v>74</v>
      </c>
      <c r="D1386" t="s">
        <v>66</v>
      </c>
      <c r="E1386" t="s">
        <v>18</v>
      </c>
      <c r="F1386">
        <v>93</v>
      </c>
      <c r="G1386" t="s">
        <v>49</v>
      </c>
      <c r="H1386" t="s">
        <v>18</v>
      </c>
      <c r="I1386">
        <v>94</v>
      </c>
      <c r="J1386">
        <v>11</v>
      </c>
      <c r="K1386">
        <v>5</v>
      </c>
      <c r="L1386">
        <v>54</v>
      </c>
      <c r="M1386" t="s">
        <v>20</v>
      </c>
      <c r="N1386" t="s">
        <v>79</v>
      </c>
      <c r="O1386">
        <v>35514</v>
      </c>
      <c r="P1386">
        <v>170</v>
      </c>
      <c r="Q1386" t="s">
        <v>66</v>
      </c>
      <c r="R1386" t="str">
        <f t="shared" si="22"/>
        <v>No</v>
      </c>
    </row>
    <row r="1387" spans="1:18" x14ac:dyDescent="0.35">
      <c r="A1387" s="1">
        <v>40378</v>
      </c>
      <c r="B1387">
        <v>0</v>
      </c>
      <c r="C1387" t="s">
        <v>74</v>
      </c>
      <c r="D1387" t="s">
        <v>26</v>
      </c>
      <c r="E1387" t="s">
        <v>18</v>
      </c>
      <c r="F1387">
        <v>93</v>
      </c>
      <c r="G1387" t="s">
        <v>53</v>
      </c>
      <c r="H1387" t="s">
        <v>18</v>
      </c>
      <c r="I1387">
        <v>94</v>
      </c>
      <c r="J1387">
        <v>2</v>
      </c>
      <c r="K1387">
        <v>7</v>
      </c>
      <c r="L1387">
        <v>51</v>
      </c>
      <c r="M1387" t="s">
        <v>20</v>
      </c>
      <c r="N1387" t="s">
        <v>54</v>
      </c>
      <c r="O1387">
        <v>21243</v>
      </c>
      <c r="P1387">
        <v>167</v>
      </c>
      <c r="Q1387" t="s">
        <v>53</v>
      </c>
      <c r="R1387" t="str">
        <f t="shared" si="22"/>
        <v>Yes</v>
      </c>
    </row>
    <row r="1388" spans="1:18" x14ac:dyDescent="0.35">
      <c r="A1388" s="1">
        <v>40378</v>
      </c>
      <c r="B1388">
        <v>0</v>
      </c>
      <c r="C1388" t="s">
        <v>74</v>
      </c>
      <c r="D1388" t="s">
        <v>63</v>
      </c>
      <c r="E1388" t="s">
        <v>18</v>
      </c>
      <c r="F1388">
        <v>92</v>
      </c>
      <c r="G1388" t="s">
        <v>17</v>
      </c>
      <c r="H1388" t="s">
        <v>18</v>
      </c>
      <c r="I1388">
        <v>92</v>
      </c>
      <c r="J1388">
        <v>8</v>
      </c>
      <c r="K1388">
        <v>9</v>
      </c>
      <c r="L1388">
        <v>53</v>
      </c>
      <c r="M1388" t="s">
        <v>20</v>
      </c>
      <c r="N1388" t="s">
        <v>65</v>
      </c>
      <c r="O1388">
        <v>16144</v>
      </c>
      <c r="P1388">
        <v>197</v>
      </c>
      <c r="Q1388" t="s">
        <v>17</v>
      </c>
      <c r="R1388" t="str">
        <f t="shared" si="22"/>
        <v>Yes</v>
      </c>
    </row>
    <row r="1389" spans="1:18" x14ac:dyDescent="0.35">
      <c r="A1389" s="1">
        <v>40378</v>
      </c>
      <c r="B1389">
        <v>0</v>
      </c>
      <c r="C1389" t="s">
        <v>74</v>
      </c>
      <c r="D1389" t="s">
        <v>70</v>
      </c>
      <c r="E1389" t="s">
        <v>18</v>
      </c>
      <c r="F1389">
        <v>93</v>
      </c>
      <c r="G1389" t="s">
        <v>22</v>
      </c>
      <c r="H1389" t="s">
        <v>18</v>
      </c>
      <c r="I1389">
        <v>93</v>
      </c>
      <c r="J1389">
        <v>5</v>
      </c>
      <c r="K1389">
        <v>2</v>
      </c>
      <c r="L1389">
        <v>54</v>
      </c>
      <c r="M1389" t="s">
        <v>20</v>
      </c>
      <c r="N1389" t="s">
        <v>85</v>
      </c>
      <c r="O1389">
        <v>45056</v>
      </c>
      <c r="P1389">
        <v>195</v>
      </c>
      <c r="Q1389" t="s">
        <v>70</v>
      </c>
      <c r="R1389" t="str">
        <f t="shared" si="22"/>
        <v>No</v>
      </c>
    </row>
    <row r="1390" spans="1:18" x14ac:dyDescent="0.35">
      <c r="A1390" s="1">
        <v>40378</v>
      </c>
      <c r="B1390">
        <v>0</v>
      </c>
      <c r="C1390" t="s">
        <v>74</v>
      </c>
      <c r="D1390" t="s">
        <v>68</v>
      </c>
      <c r="E1390" t="s">
        <v>18</v>
      </c>
      <c r="F1390">
        <v>94</v>
      </c>
      <c r="G1390" t="s">
        <v>23</v>
      </c>
      <c r="H1390" t="s">
        <v>18</v>
      </c>
      <c r="I1390">
        <v>92</v>
      </c>
      <c r="J1390">
        <v>3</v>
      </c>
      <c r="K1390">
        <v>1</v>
      </c>
      <c r="L1390">
        <v>54</v>
      </c>
      <c r="M1390" t="s">
        <v>20</v>
      </c>
      <c r="N1390" t="s">
        <v>24</v>
      </c>
      <c r="O1390">
        <v>12375</v>
      </c>
      <c r="P1390">
        <v>155</v>
      </c>
      <c r="Q1390" t="s">
        <v>68</v>
      </c>
      <c r="R1390" t="str">
        <f t="shared" si="22"/>
        <v>No</v>
      </c>
    </row>
    <row r="1391" spans="1:18" x14ac:dyDescent="0.35">
      <c r="A1391" s="1">
        <v>40378</v>
      </c>
      <c r="B1391">
        <v>0</v>
      </c>
      <c r="C1391" t="s">
        <v>74</v>
      </c>
      <c r="D1391" t="s">
        <v>25</v>
      </c>
      <c r="E1391" t="s">
        <v>18</v>
      </c>
      <c r="F1391">
        <v>92</v>
      </c>
      <c r="G1391" t="s">
        <v>52</v>
      </c>
      <c r="H1391" t="s">
        <v>18</v>
      </c>
      <c r="I1391">
        <v>93</v>
      </c>
      <c r="J1391">
        <v>4</v>
      </c>
      <c r="K1391">
        <v>8</v>
      </c>
      <c r="L1391">
        <v>51</v>
      </c>
      <c r="M1391" t="s">
        <v>20</v>
      </c>
      <c r="N1391" t="s">
        <v>82</v>
      </c>
      <c r="O1391">
        <v>40253</v>
      </c>
      <c r="P1391">
        <v>168</v>
      </c>
      <c r="Q1391" t="s">
        <v>52</v>
      </c>
      <c r="R1391" t="str">
        <f t="shared" si="22"/>
        <v>Yes</v>
      </c>
    </row>
    <row r="1392" spans="1:18" x14ac:dyDescent="0.35">
      <c r="A1392" s="1">
        <v>40379</v>
      </c>
      <c r="B1392">
        <v>0</v>
      </c>
      <c r="C1392" t="s">
        <v>83</v>
      </c>
      <c r="D1392" t="s">
        <v>44</v>
      </c>
      <c r="E1392" t="s">
        <v>30</v>
      </c>
      <c r="F1392">
        <v>93</v>
      </c>
      <c r="G1392" t="s">
        <v>43</v>
      </c>
      <c r="H1392" t="s">
        <v>30</v>
      </c>
      <c r="I1392">
        <v>93</v>
      </c>
      <c r="J1392">
        <v>10</v>
      </c>
      <c r="K1392">
        <v>11</v>
      </c>
      <c r="L1392">
        <v>76</v>
      </c>
      <c r="M1392" t="s">
        <v>20</v>
      </c>
      <c r="N1392" t="s">
        <v>56</v>
      </c>
      <c r="O1392">
        <v>16623</v>
      </c>
      <c r="P1392">
        <v>278</v>
      </c>
      <c r="Q1392" t="s">
        <v>43</v>
      </c>
      <c r="R1392" t="str">
        <f t="shared" si="22"/>
        <v>Yes</v>
      </c>
    </row>
    <row r="1393" spans="1:18" x14ac:dyDescent="0.35">
      <c r="A1393" s="1">
        <v>40379</v>
      </c>
      <c r="B1393">
        <v>0</v>
      </c>
      <c r="C1393" t="s">
        <v>83</v>
      </c>
      <c r="D1393" t="s">
        <v>47</v>
      </c>
      <c r="E1393" t="s">
        <v>30</v>
      </c>
      <c r="F1393">
        <v>94</v>
      </c>
      <c r="G1393" t="s">
        <v>36</v>
      </c>
      <c r="H1393" t="s">
        <v>30</v>
      </c>
      <c r="I1393">
        <v>92</v>
      </c>
      <c r="J1393">
        <v>8</v>
      </c>
      <c r="K1393">
        <v>0</v>
      </c>
      <c r="L1393">
        <v>54</v>
      </c>
      <c r="M1393" t="s">
        <v>20</v>
      </c>
      <c r="N1393" t="s">
        <v>57</v>
      </c>
      <c r="O1393">
        <v>27576</v>
      </c>
      <c r="P1393">
        <v>165</v>
      </c>
      <c r="Q1393" t="s">
        <v>47</v>
      </c>
      <c r="R1393" t="str">
        <f t="shared" si="22"/>
        <v>No</v>
      </c>
    </row>
    <row r="1394" spans="1:18" x14ac:dyDescent="0.35">
      <c r="A1394" s="1">
        <v>40379</v>
      </c>
      <c r="B1394">
        <v>0</v>
      </c>
      <c r="C1394" t="s">
        <v>83</v>
      </c>
      <c r="D1394" t="s">
        <v>46</v>
      </c>
      <c r="E1394" t="s">
        <v>30</v>
      </c>
      <c r="F1394">
        <v>94</v>
      </c>
      <c r="G1394" t="s">
        <v>37</v>
      </c>
      <c r="H1394" t="s">
        <v>30</v>
      </c>
      <c r="I1394">
        <v>93</v>
      </c>
      <c r="J1394">
        <v>13</v>
      </c>
      <c r="K1394">
        <v>1</v>
      </c>
      <c r="L1394">
        <v>54</v>
      </c>
      <c r="M1394" t="s">
        <v>20</v>
      </c>
      <c r="N1394" t="s">
        <v>39</v>
      </c>
      <c r="O1394">
        <v>18865</v>
      </c>
      <c r="P1394">
        <v>184</v>
      </c>
      <c r="Q1394" t="s">
        <v>46</v>
      </c>
      <c r="R1394" t="str">
        <f t="shared" si="22"/>
        <v>No</v>
      </c>
    </row>
    <row r="1395" spans="1:18" x14ac:dyDescent="0.35">
      <c r="A1395" s="1">
        <v>40379</v>
      </c>
      <c r="B1395">
        <v>0</v>
      </c>
      <c r="C1395" t="s">
        <v>83</v>
      </c>
      <c r="D1395" t="s">
        <v>33</v>
      </c>
      <c r="E1395" t="s">
        <v>30</v>
      </c>
      <c r="F1395">
        <v>94</v>
      </c>
      <c r="G1395" t="s">
        <v>29</v>
      </c>
      <c r="H1395" t="s">
        <v>30</v>
      </c>
      <c r="I1395">
        <v>94</v>
      </c>
      <c r="J1395">
        <v>4</v>
      </c>
      <c r="K1395">
        <v>3</v>
      </c>
      <c r="L1395">
        <v>54</v>
      </c>
      <c r="M1395" t="s">
        <v>20</v>
      </c>
      <c r="N1395" t="s">
        <v>76</v>
      </c>
      <c r="O1395">
        <v>40745</v>
      </c>
      <c r="P1395">
        <v>170</v>
      </c>
      <c r="Q1395" t="s">
        <v>33</v>
      </c>
      <c r="R1395" t="str">
        <f t="shared" si="22"/>
        <v>No</v>
      </c>
    </row>
    <row r="1396" spans="1:18" x14ac:dyDescent="0.35">
      <c r="A1396" s="1">
        <v>40379</v>
      </c>
      <c r="B1396">
        <v>0</v>
      </c>
      <c r="C1396" t="s">
        <v>83</v>
      </c>
      <c r="D1396" t="s">
        <v>31</v>
      </c>
      <c r="E1396" t="s">
        <v>30</v>
      </c>
      <c r="F1396">
        <v>96</v>
      </c>
      <c r="G1396" t="s">
        <v>59</v>
      </c>
      <c r="H1396" t="s">
        <v>30</v>
      </c>
      <c r="I1396">
        <v>92</v>
      </c>
      <c r="J1396">
        <v>10</v>
      </c>
      <c r="K1396">
        <v>2</v>
      </c>
      <c r="L1396">
        <v>54</v>
      </c>
      <c r="M1396" t="s">
        <v>20</v>
      </c>
      <c r="N1396" t="s">
        <v>84</v>
      </c>
      <c r="O1396">
        <v>47775</v>
      </c>
      <c r="P1396">
        <v>204</v>
      </c>
      <c r="Q1396" t="s">
        <v>31</v>
      </c>
      <c r="R1396" t="str">
        <f t="shared" si="22"/>
        <v>No</v>
      </c>
    </row>
    <row r="1397" spans="1:18" x14ac:dyDescent="0.35">
      <c r="A1397" s="1">
        <v>40379</v>
      </c>
      <c r="B1397">
        <v>0</v>
      </c>
      <c r="C1397" t="s">
        <v>83</v>
      </c>
      <c r="D1397" t="s">
        <v>58</v>
      </c>
      <c r="E1397" t="s">
        <v>30</v>
      </c>
      <c r="F1397">
        <v>94</v>
      </c>
      <c r="G1397" t="s">
        <v>41</v>
      </c>
      <c r="H1397" t="s">
        <v>30</v>
      </c>
      <c r="I1397">
        <v>94</v>
      </c>
      <c r="J1397">
        <v>4</v>
      </c>
      <c r="K1397">
        <v>5</v>
      </c>
      <c r="L1397">
        <v>59</v>
      </c>
      <c r="M1397" t="s">
        <v>20</v>
      </c>
      <c r="N1397" t="s">
        <v>42</v>
      </c>
      <c r="O1397">
        <v>20271</v>
      </c>
      <c r="P1397">
        <v>210</v>
      </c>
      <c r="Q1397" t="s">
        <v>41</v>
      </c>
      <c r="R1397" t="str">
        <f t="shared" si="22"/>
        <v>Yes</v>
      </c>
    </row>
    <row r="1398" spans="1:18" x14ac:dyDescent="0.35">
      <c r="A1398" s="1">
        <v>40379</v>
      </c>
      <c r="B1398">
        <v>0</v>
      </c>
      <c r="C1398" t="s">
        <v>83</v>
      </c>
      <c r="D1398" t="s">
        <v>34</v>
      </c>
      <c r="E1398" t="s">
        <v>30</v>
      </c>
      <c r="F1398">
        <v>93</v>
      </c>
      <c r="G1398" t="s">
        <v>40</v>
      </c>
      <c r="H1398" t="s">
        <v>30</v>
      </c>
      <c r="I1398">
        <v>94</v>
      </c>
      <c r="J1398">
        <v>4</v>
      </c>
      <c r="K1398">
        <v>0</v>
      </c>
      <c r="L1398">
        <v>54</v>
      </c>
      <c r="M1398" t="s">
        <v>20</v>
      </c>
      <c r="N1398" t="s">
        <v>77</v>
      </c>
      <c r="O1398">
        <v>21366</v>
      </c>
      <c r="P1398">
        <v>131</v>
      </c>
      <c r="Q1398" t="s">
        <v>34</v>
      </c>
      <c r="R1398" t="str">
        <f t="shared" si="22"/>
        <v>No</v>
      </c>
    </row>
    <row r="1399" spans="1:18" x14ac:dyDescent="0.35">
      <c r="A1399" s="1">
        <v>40379</v>
      </c>
      <c r="B1399">
        <v>0</v>
      </c>
      <c r="C1399" t="s">
        <v>83</v>
      </c>
      <c r="D1399" t="s">
        <v>19</v>
      </c>
      <c r="E1399" t="s">
        <v>18</v>
      </c>
      <c r="F1399">
        <v>94</v>
      </c>
      <c r="G1399" t="s">
        <v>60</v>
      </c>
      <c r="H1399" t="s">
        <v>18</v>
      </c>
      <c r="I1399">
        <v>94</v>
      </c>
      <c r="J1399">
        <v>2</v>
      </c>
      <c r="K1399">
        <v>3</v>
      </c>
      <c r="L1399">
        <v>51</v>
      </c>
      <c r="M1399" t="s">
        <v>20</v>
      </c>
      <c r="N1399" t="s">
        <v>61</v>
      </c>
      <c r="O1399">
        <v>18749</v>
      </c>
      <c r="P1399">
        <v>143</v>
      </c>
      <c r="Q1399" t="s">
        <v>60</v>
      </c>
      <c r="R1399" t="str">
        <f t="shared" si="22"/>
        <v>Yes</v>
      </c>
    </row>
    <row r="1400" spans="1:18" x14ac:dyDescent="0.35">
      <c r="A1400" s="1">
        <v>40379</v>
      </c>
      <c r="B1400">
        <v>0</v>
      </c>
      <c r="C1400" t="s">
        <v>83</v>
      </c>
      <c r="D1400" t="s">
        <v>62</v>
      </c>
      <c r="E1400" t="s">
        <v>18</v>
      </c>
      <c r="F1400">
        <v>92</v>
      </c>
      <c r="G1400" t="s">
        <v>50</v>
      </c>
      <c r="H1400" t="s">
        <v>18</v>
      </c>
      <c r="I1400">
        <v>93</v>
      </c>
      <c r="J1400">
        <v>1</v>
      </c>
      <c r="K1400">
        <v>4</v>
      </c>
      <c r="L1400">
        <v>51</v>
      </c>
      <c r="M1400" t="s">
        <v>20</v>
      </c>
      <c r="N1400" t="s">
        <v>51</v>
      </c>
      <c r="O1400">
        <v>30621</v>
      </c>
      <c r="P1400">
        <v>157</v>
      </c>
      <c r="Q1400" t="s">
        <v>50</v>
      </c>
      <c r="R1400" t="str">
        <f t="shared" si="22"/>
        <v>Yes</v>
      </c>
    </row>
    <row r="1401" spans="1:18" x14ac:dyDescent="0.35">
      <c r="A1401" s="1">
        <v>40379</v>
      </c>
      <c r="B1401">
        <v>0</v>
      </c>
      <c r="C1401" t="s">
        <v>83</v>
      </c>
      <c r="D1401" t="s">
        <v>66</v>
      </c>
      <c r="E1401" t="s">
        <v>18</v>
      </c>
      <c r="F1401">
        <v>94</v>
      </c>
      <c r="G1401" t="s">
        <v>49</v>
      </c>
      <c r="H1401" t="s">
        <v>18</v>
      </c>
      <c r="I1401">
        <v>95</v>
      </c>
      <c r="J1401">
        <v>7</v>
      </c>
      <c r="K1401">
        <v>14</v>
      </c>
      <c r="L1401">
        <v>51</v>
      </c>
      <c r="M1401" t="s">
        <v>20</v>
      </c>
      <c r="N1401" t="s">
        <v>79</v>
      </c>
      <c r="O1401">
        <v>36401</v>
      </c>
      <c r="P1401">
        <v>188</v>
      </c>
      <c r="Q1401" t="s">
        <v>49</v>
      </c>
      <c r="R1401" t="str">
        <f t="shared" si="22"/>
        <v>Yes</v>
      </c>
    </row>
    <row r="1402" spans="1:18" x14ac:dyDescent="0.35">
      <c r="A1402" s="1">
        <v>40379</v>
      </c>
      <c r="B1402">
        <v>0</v>
      </c>
      <c r="C1402" t="s">
        <v>83</v>
      </c>
      <c r="D1402" t="s">
        <v>26</v>
      </c>
      <c r="E1402" t="s">
        <v>18</v>
      </c>
      <c r="F1402">
        <v>94</v>
      </c>
      <c r="G1402" t="s">
        <v>53</v>
      </c>
      <c r="H1402" t="s">
        <v>18</v>
      </c>
      <c r="I1402">
        <v>95</v>
      </c>
      <c r="J1402">
        <v>7</v>
      </c>
      <c r="K1402">
        <v>8</v>
      </c>
      <c r="L1402">
        <v>51</v>
      </c>
      <c r="M1402" t="s">
        <v>20</v>
      </c>
      <c r="N1402" t="s">
        <v>54</v>
      </c>
      <c r="O1402">
        <v>22876</v>
      </c>
      <c r="P1402">
        <v>168</v>
      </c>
      <c r="Q1402" t="s">
        <v>53</v>
      </c>
      <c r="R1402" t="str">
        <f t="shared" si="22"/>
        <v>Yes</v>
      </c>
    </row>
    <row r="1403" spans="1:18" x14ac:dyDescent="0.35">
      <c r="A1403" s="1">
        <v>40379</v>
      </c>
      <c r="B1403">
        <v>0</v>
      </c>
      <c r="C1403" t="s">
        <v>83</v>
      </c>
      <c r="D1403" t="s">
        <v>63</v>
      </c>
      <c r="E1403" t="s">
        <v>18</v>
      </c>
      <c r="F1403">
        <v>93</v>
      </c>
      <c r="G1403" t="s">
        <v>17</v>
      </c>
      <c r="H1403" t="s">
        <v>18</v>
      </c>
      <c r="I1403">
        <v>93</v>
      </c>
      <c r="J1403">
        <v>10</v>
      </c>
      <c r="K1403">
        <v>0</v>
      </c>
      <c r="L1403">
        <v>54</v>
      </c>
      <c r="M1403" t="s">
        <v>20</v>
      </c>
      <c r="N1403" t="s">
        <v>65</v>
      </c>
      <c r="O1403">
        <v>16012</v>
      </c>
      <c r="P1403">
        <v>147</v>
      </c>
      <c r="Q1403" t="s">
        <v>63</v>
      </c>
      <c r="R1403" t="str">
        <f t="shared" si="22"/>
        <v>No</v>
      </c>
    </row>
    <row r="1404" spans="1:18" x14ac:dyDescent="0.35">
      <c r="A1404" s="1">
        <v>40379</v>
      </c>
      <c r="B1404">
        <v>0</v>
      </c>
      <c r="C1404" t="s">
        <v>83</v>
      </c>
      <c r="D1404" t="s">
        <v>70</v>
      </c>
      <c r="E1404" t="s">
        <v>18</v>
      </c>
      <c r="F1404">
        <v>94</v>
      </c>
      <c r="G1404" t="s">
        <v>22</v>
      </c>
      <c r="H1404" t="s">
        <v>18</v>
      </c>
      <c r="I1404">
        <v>94</v>
      </c>
      <c r="J1404">
        <v>7</v>
      </c>
      <c r="K1404">
        <v>5</v>
      </c>
      <c r="L1404">
        <v>54</v>
      </c>
      <c r="M1404" t="s">
        <v>20</v>
      </c>
      <c r="N1404" t="s">
        <v>85</v>
      </c>
      <c r="O1404">
        <v>53381</v>
      </c>
      <c r="P1404">
        <v>196</v>
      </c>
      <c r="Q1404" t="s">
        <v>70</v>
      </c>
      <c r="R1404" t="str">
        <f t="shared" si="22"/>
        <v>No</v>
      </c>
    </row>
    <row r="1405" spans="1:18" x14ac:dyDescent="0.35">
      <c r="A1405" s="1">
        <v>40379</v>
      </c>
      <c r="B1405">
        <v>0</v>
      </c>
      <c r="C1405" t="s">
        <v>83</v>
      </c>
      <c r="D1405" t="s">
        <v>68</v>
      </c>
      <c r="E1405" t="s">
        <v>18</v>
      </c>
      <c r="F1405">
        <v>95</v>
      </c>
      <c r="G1405" t="s">
        <v>23</v>
      </c>
      <c r="H1405" t="s">
        <v>18</v>
      </c>
      <c r="I1405">
        <v>93</v>
      </c>
      <c r="J1405">
        <v>9</v>
      </c>
      <c r="K1405">
        <v>11</v>
      </c>
      <c r="L1405">
        <v>51</v>
      </c>
      <c r="M1405" t="s">
        <v>20</v>
      </c>
      <c r="N1405" t="s">
        <v>24</v>
      </c>
      <c r="O1405">
        <v>13202</v>
      </c>
      <c r="P1405">
        <v>220</v>
      </c>
      <c r="Q1405" t="s">
        <v>23</v>
      </c>
      <c r="R1405" t="str">
        <f t="shared" si="22"/>
        <v>Yes</v>
      </c>
    </row>
    <row r="1406" spans="1:18" x14ac:dyDescent="0.35">
      <c r="A1406" s="1">
        <v>40379</v>
      </c>
      <c r="B1406">
        <v>0</v>
      </c>
      <c r="C1406" t="s">
        <v>83</v>
      </c>
      <c r="D1406" t="s">
        <v>25</v>
      </c>
      <c r="E1406" t="s">
        <v>18</v>
      </c>
      <c r="F1406">
        <v>93</v>
      </c>
      <c r="G1406" t="s">
        <v>52</v>
      </c>
      <c r="H1406" t="s">
        <v>18</v>
      </c>
      <c r="I1406">
        <v>94</v>
      </c>
      <c r="J1406">
        <v>1</v>
      </c>
      <c r="K1406">
        <v>7</v>
      </c>
      <c r="L1406">
        <v>51</v>
      </c>
      <c r="M1406" t="s">
        <v>20</v>
      </c>
      <c r="N1406" t="s">
        <v>82</v>
      </c>
      <c r="O1406">
        <v>38712</v>
      </c>
      <c r="P1406">
        <v>153</v>
      </c>
      <c r="Q1406" t="s">
        <v>52</v>
      </c>
      <c r="R1406" t="str">
        <f t="shared" si="22"/>
        <v>Yes</v>
      </c>
    </row>
    <row r="1407" spans="1:18" x14ac:dyDescent="0.35">
      <c r="A1407" s="1">
        <v>40380</v>
      </c>
      <c r="B1407">
        <v>0</v>
      </c>
      <c r="C1407" t="s">
        <v>16</v>
      </c>
      <c r="D1407" t="s">
        <v>44</v>
      </c>
      <c r="E1407" t="s">
        <v>30</v>
      </c>
      <c r="F1407">
        <v>94</v>
      </c>
      <c r="G1407" t="s">
        <v>43</v>
      </c>
      <c r="H1407" t="s">
        <v>30</v>
      </c>
      <c r="I1407">
        <v>94</v>
      </c>
      <c r="J1407">
        <v>5</v>
      </c>
      <c r="K1407">
        <v>4</v>
      </c>
      <c r="L1407">
        <v>54</v>
      </c>
      <c r="M1407" t="s">
        <v>38</v>
      </c>
      <c r="N1407" t="s">
        <v>56</v>
      </c>
      <c r="O1407">
        <v>19287</v>
      </c>
      <c r="P1407">
        <v>193</v>
      </c>
      <c r="Q1407" t="s">
        <v>44</v>
      </c>
      <c r="R1407" t="str">
        <f t="shared" si="22"/>
        <v>No</v>
      </c>
    </row>
    <row r="1408" spans="1:18" x14ac:dyDescent="0.35">
      <c r="A1408" s="1">
        <v>40380</v>
      </c>
      <c r="B1408">
        <v>0</v>
      </c>
      <c r="C1408" t="s">
        <v>16</v>
      </c>
      <c r="D1408" t="s">
        <v>47</v>
      </c>
      <c r="E1408" t="s">
        <v>30</v>
      </c>
      <c r="F1408">
        <v>95</v>
      </c>
      <c r="G1408" t="s">
        <v>36</v>
      </c>
      <c r="H1408" t="s">
        <v>30</v>
      </c>
      <c r="I1408">
        <v>93</v>
      </c>
      <c r="J1408">
        <v>1</v>
      </c>
      <c r="K1408">
        <v>4</v>
      </c>
      <c r="L1408">
        <v>51</v>
      </c>
      <c r="M1408" t="s">
        <v>20</v>
      </c>
      <c r="N1408" t="s">
        <v>57</v>
      </c>
      <c r="O1408">
        <v>28704</v>
      </c>
      <c r="P1408">
        <v>155</v>
      </c>
      <c r="Q1408" t="s">
        <v>36</v>
      </c>
      <c r="R1408" t="str">
        <f t="shared" si="22"/>
        <v>Yes</v>
      </c>
    </row>
    <row r="1409" spans="1:18" x14ac:dyDescent="0.35">
      <c r="A1409" s="1">
        <v>40380</v>
      </c>
      <c r="B1409">
        <v>0</v>
      </c>
      <c r="C1409" t="s">
        <v>16</v>
      </c>
      <c r="D1409" t="s">
        <v>46</v>
      </c>
      <c r="E1409" t="s">
        <v>30</v>
      </c>
      <c r="F1409">
        <v>95</v>
      </c>
      <c r="G1409" t="s">
        <v>37</v>
      </c>
      <c r="H1409" t="s">
        <v>30</v>
      </c>
      <c r="I1409">
        <v>94</v>
      </c>
      <c r="J1409">
        <v>2</v>
      </c>
      <c r="K1409">
        <v>5</v>
      </c>
      <c r="L1409">
        <v>51</v>
      </c>
      <c r="M1409" t="s">
        <v>38</v>
      </c>
      <c r="N1409" t="s">
        <v>39</v>
      </c>
      <c r="O1409">
        <v>15285</v>
      </c>
      <c r="P1409">
        <v>147</v>
      </c>
      <c r="Q1409" t="s">
        <v>37</v>
      </c>
      <c r="R1409" t="str">
        <f t="shared" si="22"/>
        <v>Yes</v>
      </c>
    </row>
    <row r="1410" spans="1:18" x14ac:dyDescent="0.35">
      <c r="A1410" s="1">
        <v>40380</v>
      </c>
      <c r="B1410">
        <v>0</v>
      </c>
      <c r="C1410" t="s">
        <v>16</v>
      </c>
      <c r="D1410" t="s">
        <v>33</v>
      </c>
      <c r="E1410" t="s">
        <v>30</v>
      </c>
      <c r="F1410">
        <v>95</v>
      </c>
      <c r="G1410" t="s">
        <v>29</v>
      </c>
      <c r="H1410" t="s">
        <v>30</v>
      </c>
      <c r="I1410">
        <v>95</v>
      </c>
      <c r="J1410">
        <v>0</v>
      </c>
      <c r="K1410">
        <v>6</v>
      </c>
      <c r="L1410">
        <v>51</v>
      </c>
      <c r="M1410" t="s">
        <v>38</v>
      </c>
      <c r="N1410" t="s">
        <v>76</v>
      </c>
      <c r="O1410">
        <v>40799</v>
      </c>
      <c r="P1410">
        <v>171</v>
      </c>
      <c r="Q1410" t="s">
        <v>29</v>
      </c>
      <c r="R1410" t="str">
        <f t="shared" si="22"/>
        <v>Yes</v>
      </c>
    </row>
    <row r="1411" spans="1:18" x14ac:dyDescent="0.35">
      <c r="A1411" s="1">
        <v>40380</v>
      </c>
      <c r="B1411">
        <v>0</v>
      </c>
      <c r="C1411" t="s">
        <v>16</v>
      </c>
      <c r="D1411" t="s">
        <v>31</v>
      </c>
      <c r="E1411" t="s">
        <v>30</v>
      </c>
      <c r="F1411">
        <v>97</v>
      </c>
      <c r="G1411" t="s">
        <v>59</v>
      </c>
      <c r="H1411" t="s">
        <v>30</v>
      </c>
      <c r="I1411">
        <v>93</v>
      </c>
      <c r="J1411">
        <v>6</v>
      </c>
      <c r="K1411">
        <v>10</v>
      </c>
      <c r="L1411">
        <v>51</v>
      </c>
      <c r="M1411" t="s">
        <v>38</v>
      </c>
      <c r="N1411" t="s">
        <v>84</v>
      </c>
      <c r="O1411">
        <v>47521</v>
      </c>
      <c r="P1411">
        <v>187</v>
      </c>
      <c r="Q1411" t="s">
        <v>59</v>
      </c>
      <c r="R1411" t="str">
        <f t="shared" ref="R1411:R1474" si="23">IF(K1411&gt;J1411,"Yes","No")</f>
        <v>Yes</v>
      </c>
    </row>
    <row r="1412" spans="1:18" x14ac:dyDescent="0.35">
      <c r="A1412" s="1">
        <v>40380</v>
      </c>
      <c r="B1412">
        <v>0</v>
      </c>
      <c r="C1412" t="s">
        <v>16</v>
      </c>
      <c r="D1412" t="s">
        <v>58</v>
      </c>
      <c r="E1412" t="s">
        <v>30</v>
      </c>
      <c r="F1412">
        <v>95</v>
      </c>
      <c r="G1412" t="s">
        <v>41</v>
      </c>
      <c r="H1412" t="s">
        <v>30</v>
      </c>
      <c r="I1412">
        <v>95</v>
      </c>
      <c r="J1412">
        <v>4</v>
      </c>
      <c r="K1412">
        <v>6</v>
      </c>
      <c r="L1412">
        <v>51</v>
      </c>
      <c r="M1412" t="s">
        <v>38</v>
      </c>
      <c r="N1412" t="s">
        <v>42</v>
      </c>
      <c r="O1412">
        <v>30456</v>
      </c>
      <c r="P1412">
        <v>182</v>
      </c>
      <c r="Q1412" t="s">
        <v>41</v>
      </c>
      <c r="R1412" t="str">
        <f t="shared" si="23"/>
        <v>Yes</v>
      </c>
    </row>
    <row r="1413" spans="1:18" x14ac:dyDescent="0.35">
      <c r="A1413" s="1">
        <v>40380</v>
      </c>
      <c r="B1413">
        <v>0</v>
      </c>
      <c r="C1413" t="s">
        <v>16</v>
      </c>
      <c r="D1413" t="s">
        <v>34</v>
      </c>
      <c r="E1413" t="s">
        <v>30</v>
      </c>
      <c r="F1413">
        <v>94</v>
      </c>
      <c r="G1413" t="s">
        <v>40</v>
      </c>
      <c r="H1413" t="s">
        <v>30</v>
      </c>
      <c r="I1413">
        <v>95</v>
      </c>
      <c r="J1413">
        <v>1</v>
      </c>
      <c r="K1413">
        <v>2</v>
      </c>
      <c r="L1413">
        <v>64</v>
      </c>
      <c r="M1413" t="s">
        <v>20</v>
      </c>
      <c r="N1413" t="s">
        <v>77</v>
      </c>
      <c r="O1413">
        <v>21529</v>
      </c>
      <c r="P1413">
        <v>169</v>
      </c>
      <c r="Q1413" t="s">
        <v>40</v>
      </c>
      <c r="R1413" t="str">
        <f t="shared" si="23"/>
        <v>Yes</v>
      </c>
    </row>
    <row r="1414" spans="1:18" x14ac:dyDescent="0.35">
      <c r="A1414" s="1">
        <v>40380</v>
      </c>
      <c r="B1414">
        <v>0</v>
      </c>
      <c r="C1414" t="s">
        <v>16</v>
      </c>
      <c r="D1414" t="s">
        <v>19</v>
      </c>
      <c r="E1414" t="s">
        <v>18</v>
      </c>
      <c r="F1414">
        <v>95</v>
      </c>
      <c r="G1414" t="s">
        <v>60</v>
      </c>
      <c r="H1414" t="s">
        <v>18</v>
      </c>
      <c r="I1414">
        <v>95</v>
      </c>
      <c r="J1414">
        <v>3</v>
      </c>
      <c r="K1414">
        <v>4</v>
      </c>
      <c r="L1414">
        <v>82</v>
      </c>
      <c r="M1414" t="s">
        <v>20</v>
      </c>
      <c r="N1414" t="s">
        <v>61</v>
      </c>
      <c r="O1414">
        <v>18223</v>
      </c>
      <c r="P1414">
        <v>285</v>
      </c>
      <c r="Q1414" t="s">
        <v>60</v>
      </c>
      <c r="R1414" t="str">
        <f t="shared" si="23"/>
        <v>Yes</v>
      </c>
    </row>
    <row r="1415" spans="1:18" x14ac:dyDescent="0.35">
      <c r="A1415" s="1">
        <v>40380</v>
      </c>
      <c r="B1415">
        <v>0</v>
      </c>
      <c r="C1415" t="s">
        <v>16</v>
      </c>
      <c r="D1415" t="s">
        <v>62</v>
      </c>
      <c r="E1415" t="s">
        <v>18</v>
      </c>
      <c r="F1415">
        <v>93</v>
      </c>
      <c r="G1415" t="s">
        <v>50</v>
      </c>
      <c r="H1415" t="s">
        <v>18</v>
      </c>
      <c r="I1415">
        <v>94</v>
      </c>
      <c r="J1415">
        <v>6</v>
      </c>
      <c r="K1415">
        <v>4</v>
      </c>
      <c r="L1415">
        <v>72</v>
      </c>
      <c r="M1415" t="s">
        <v>20</v>
      </c>
      <c r="N1415" t="s">
        <v>51</v>
      </c>
      <c r="O1415">
        <v>30039</v>
      </c>
      <c r="P1415">
        <v>253</v>
      </c>
      <c r="Q1415" t="s">
        <v>62</v>
      </c>
      <c r="R1415" t="str">
        <f t="shared" si="23"/>
        <v>No</v>
      </c>
    </row>
    <row r="1416" spans="1:18" x14ac:dyDescent="0.35">
      <c r="A1416" s="1">
        <v>40380</v>
      </c>
      <c r="B1416">
        <v>0</v>
      </c>
      <c r="C1416" t="s">
        <v>16</v>
      </c>
      <c r="D1416" t="s">
        <v>66</v>
      </c>
      <c r="E1416" t="s">
        <v>18</v>
      </c>
      <c r="F1416">
        <v>95</v>
      </c>
      <c r="G1416" t="s">
        <v>49</v>
      </c>
      <c r="H1416" t="s">
        <v>18</v>
      </c>
      <c r="I1416">
        <v>96</v>
      </c>
      <c r="J1416">
        <v>4</v>
      </c>
      <c r="K1416">
        <v>3</v>
      </c>
      <c r="L1416">
        <v>72</v>
      </c>
      <c r="M1416" t="s">
        <v>38</v>
      </c>
      <c r="N1416" t="s">
        <v>79</v>
      </c>
      <c r="O1416">
        <v>38533</v>
      </c>
      <c r="P1416">
        <v>236</v>
      </c>
      <c r="Q1416" t="s">
        <v>66</v>
      </c>
      <c r="R1416" t="str">
        <f t="shared" si="23"/>
        <v>No</v>
      </c>
    </row>
    <row r="1417" spans="1:18" x14ac:dyDescent="0.35">
      <c r="A1417" s="1">
        <v>40380</v>
      </c>
      <c r="B1417">
        <v>0</v>
      </c>
      <c r="C1417" t="s">
        <v>16</v>
      </c>
      <c r="D1417" t="s">
        <v>26</v>
      </c>
      <c r="E1417" t="s">
        <v>18</v>
      </c>
      <c r="F1417">
        <v>95</v>
      </c>
      <c r="G1417" t="s">
        <v>53</v>
      </c>
      <c r="H1417" t="s">
        <v>18</v>
      </c>
      <c r="I1417">
        <v>96</v>
      </c>
      <c r="J1417">
        <v>8</v>
      </c>
      <c r="K1417">
        <v>5</v>
      </c>
      <c r="L1417">
        <v>54</v>
      </c>
      <c r="M1417" t="s">
        <v>20</v>
      </c>
      <c r="N1417" t="s">
        <v>54</v>
      </c>
      <c r="O1417">
        <v>37868</v>
      </c>
      <c r="P1417">
        <v>216</v>
      </c>
      <c r="Q1417" t="s">
        <v>26</v>
      </c>
      <c r="R1417" t="str">
        <f t="shared" si="23"/>
        <v>No</v>
      </c>
    </row>
    <row r="1418" spans="1:18" x14ac:dyDescent="0.35">
      <c r="A1418" s="1">
        <v>40380</v>
      </c>
      <c r="B1418">
        <v>0</v>
      </c>
      <c r="C1418" t="s">
        <v>16</v>
      </c>
      <c r="D1418" t="s">
        <v>63</v>
      </c>
      <c r="E1418" t="s">
        <v>18</v>
      </c>
      <c r="F1418">
        <v>94</v>
      </c>
      <c r="G1418" t="s">
        <v>17</v>
      </c>
      <c r="H1418" t="s">
        <v>18</v>
      </c>
      <c r="I1418">
        <v>94</v>
      </c>
      <c r="J1418">
        <v>2</v>
      </c>
      <c r="K1418">
        <v>5</v>
      </c>
      <c r="L1418">
        <v>51</v>
      </c>
      <c r="M1418" t="s">
        <v>20</v>
      </c>
      <c r="N1418" t="s">
        <v>65</v>
      </c>
      <c r="O1418">
        <v>18332</v>
      </c>
      <c r="P1418">
        <v>153</v>
      </c>
      <c r="Q1418" t="s">
        <v>17</v>
      </c>
      <c r="R1418" t="str">
        <f t="shared" si="23"/>
        <v>Yes</v>
      </c>
    </row>
    <row r="1419" spans="1:18" x14ac:dyDescent="0.35">
      <c r="A1419" s="1">
        <v>40380</v>
      </c>
      <c r="B1419">
        <v>0</v>
      </c>
      <c r="C1419" t="s">
        <v>16</v>
      </c>
      <c r="D1419" t="s">
        <v>70</v>
      </c>
      <c r="E1419" t="s">
        <v>18</v>
      </c>
      <c r="F1419">
        <v>95</v>
      </c>
      <c r="G1419" t="s">
        <v>22</v>
      </c>
      <c r="H1419" t="s">
        <v>18</v>
      </c>
      <c r="I1419">
        <v>95</v>
      </c>
      <c r="J1419">
        <v>0</v>
      </c>
      <c r="K1419">
        <v>2</v>
      </c>
      <c r="L1419">
        <v>51</v>
      </c>
      <c r="M1419" t="s">
        <v>20</v>
      </c>
      <c r="N1419" t="s">
        <v>85</v>
      </c>
      <c r="O1419">
        <v>45151</v>
      </c>
      <c r="P1419">
        <v>147</v>
      </c>
      <c r="Q1419" t="s">
        <v>22</v>
      </c>
      <c r="R1419" t="str">
        <f t="shared" si="23"/>
        <v>Yes</v>
      </c>
    </row>
    <row r="1420" spans="1:18" x14ac:dyDescent="0.35">
      <c r="A1420" s="1">
        <v>40380</v>
      </c>
      <c r="B1420">
        <v>0</v>
      </c>
      <c r="C1420" t="s">
        <v>16</v>
      </c>
      <c r="D1420" t="s">
        <v>68</v>
      </c>
      <c r="E1420" t="s">
        <v>18</v>
      </c>
      <c r="F1420">
        <v>96</v>
      </c>
      <c r="G1420" t="s">
        <v>23</v>
      </c>
      <c r="H1420" t="s">
        <v>18</v>
      </c>
      <c r="I1420">
        <v>94</v>
      </c>
      <c r="J1420">
        <v>3</v>
      </c>
      <c r="K1420">
        <v>15</v>
      </c>
      <c r="L1420">
        <v>51</v>
      </c>
      <c r="M1420" t="s">
        <v>20</v>
      </c>
      <c r="N1420" t="s">
        <v>24</v>
      </c>
      <c r="O1420">
        <v>13532</v>
      </c>
      <c r="P1420">
        <v>167</v>
      </c>
      <c r="Q1420" t="s">
        <v>23</v>
      </c>
      <c r="R1420" t="str">
        <f t="shared" si="23"/>
        <v>Yes</v>
      </c>
    </row>
    <row r="1421" spans="1:18" x14ac:dyDescent="0.35">
      <c r="A1421" s="1">
        <v>40380</v>
      </c>
      <c r="B1421">
        <v>0</v>
      </c>
      <c r="C1421" t="s">
        <v>16</v>
      </c>
      <c r="D1421" t="s">
        <v>25</v>
      </c>
      <c r="E1421" t="s">
        <v>18</v>
      </c>
      <c r="F1421">
        <v>94</v>
      </c>
      <c r="G1421" t="s">
        <v>52</v>
      </c>
      <c r="H1421" t="s">
        <v>18</v>
      </c>
      <c r="I1421">
        <v>95</v>
      </c>
      <c r="J1421">
        <v>1</v>
      </c>
      <c r="K1421">
        <v>5</v>
      </c>
      <c r="L1421">
        <v>51</v>
      </c>
      <c r="M1421" t="s">
        <v>20</v>
      </c>
      <c r="N1421" t="s">
        <v>82</v>
      </c>
      <c r="O1421">
        <v>41089</v>
      </c>
      <c r="P1421">
        <v>144</v>
      </c>
      <c r="Q1421" t="s">
        <v>52</v>
      </c>
      <c r="R1421" t="str">
        <f t="shared" si="23"/>
        <v>Yes</v>
      </c>
    </row>
    <row r="1422" spans="1:18" x14ac:dyDescent="0.35">
      <c r="A1422" s="1">
        <v>40381</v>
      </c>
      <c r="B1422">
        <v>0</v>
      </c>
      <c r="C1422" t="s">
        <v>28</v>
      </c>
      <c r="D1422" t="s">
        <v>29</v>
      </c>
      <c r="E1422" t="s">
        <v>30</v>
      </c>
      <c r="F1422">
        <v>96</v>
      </c>
      <c r="G1422" t="s">
        <v>43</v>
      </c>
      <c r="H1422" t="s">
        <v>30</v>
      </c>
      <c r="I1422">
        <v>95</v>
      </c>
      <c r="J1422">
        <v>5</v>
      </c>
      <c r="K1422">
        <v>0</v>
      </c>
      <c r="L1422">
        <v>54</v>
      </c>
      <c r="M1422" t="s">
        <v>20</v>
      </c>
      <c r="N1422" t="s">
        <v>56</v>
      </c>
      <c r="O1422">
        <v>20108</v>
      </c>
      <c r="P1422">
        <v>158</v>
      </c>
      <c r="Q1422" t="s">
        <v>29</v>
      </c>
      <c r="R1422" t="str">
        <f t="shared" si="23"/>
        <v>No</v>
      </c>
    </row>
    <row r="1423" spans="1:18" x14ac:dyDescent="0.35">
      <c r="A1423" s="1">
        <v>40381</v>
      </c>
      <c r="B1423">
        <v>0</v>
      </c>
      <c r="C1423" t="s">
        <v>28</v>
      </c>
      <c r="D1423" t="s">
        <v>46</v>
      </c>
      <c r="E1423" t="s">
        <v>30</v>
      </c>
      <c r="F1423">
        <v>96</v>
      </c>
      <c r="G1423" t="s">
        <v>36</v>
      </c>
      <c r="H1423" t="s">
        <v>30</v>
      </c>
      <c r="I1423">
        <v>94</v>
      </c>
      <c r="J1423">
        <v>2</v>
      </c>
      <c r="K1423">
        <v>5</v>
      </c>
      <c r="L1423">
        <v>51</v>
      </c>
      <c r="M1423" t="s">
        <v>38</v>
      </c>
      <c r="N1423" t="s">
        <v>57</v>
      </c>
      <c r="O1423">
        <v>34476</v>
      </c>
      <c r="P1423">
        <v>149</v>
      </c>
      <c r="Q1423" t="s">
        <v>36</v>
      </c>
      <c r="R1423" t="str">
        <f t="shared" si="23"/>
        <v>Yes</v>
      </c>
    </row>
    <row r="1424" spans="1:18" x14ac:dyDescent="0.35">
      <c r="A1424" s="1">
        <v>40381</v>
      </c>
      <c r="B1424">
        <v>0</v>
      </c>
      <c r="C1424" t="s">
        <v>28</v>
      </c>
      <c r="D1424" t="s">
        <v>37</v>
      </c>
      <c r="E1424" t="s">
        <v>30</v>
      </c>
      <c r="F1424">
        <v>95</v>
      </c>
      <c r="G1424" t="s">
        <v>59</v>
      </c>
      <c r="H1424" t="s">
        <v>30</v>
      </c>
      <c r="I1424">
        <v>94</v>
      </c>
      <c r="J1424">
        <v>4</v>
      </c>
      <c r="K1424">
        <v>10</v>
      </c>
      <c r="L1424">
        <v>51</v>
      </c>
      <c r="M1424" t="s">
        <v>20</v>
      </c>
      <c r="N1424" t="s">
        <v>84</v>
      </c>
      <c r="O1424">
        <v>47484</v>
      </c>
      <c r="P1424">
        <v>202</v>
      </c>
      <c r="Q1424" t="s">
        <v>59</v>
      </c>
      <c r="R1424" t="str">
        <f t="shared" si="23"/>
        <v>Yes</v>
      </c>
    </row>
    <row r="1425" spans="1:18" x14ac:dyDescent="0.35">
      <c r="A1425" s="1">
        <v>40381</v>
      </c>
      <c r="B1425">
        <v>0</v>
      </c>
      <c r="C1425" t="s">
        <v>28</v>
      </c>
      <c r="D1425" t="s">
        <v>58</v>
      </c>
      <c r="E1425" t="s">
        <v>30</v>
      </c>
      <c r="F1425">
        <v>96</v>
      </c>
      <c r="G1425" t="s">
        <v>40</v>
      </c>
      <c r="H1425" t="s">
        <v>30</v>
      </c>
      <c r="I1425">
        <v>96</v>
      </c>
      <c r="J1425">
        <v>8</v>
      </c>
      <c r="K1425">
        <v>6</v>
      </c>
      <c r="L1425">
        <v>78</v>
      </c>
      <c r="M1425" t="s">
        <v>20</v>
      </c>
      <c r="N1425" t="s">
        <v>77</v>
      </c>
      <c r="O1425">
        <v>28074</v>
      </c>
      <c r="P1425">
        <v>237</v>
      </c>
      <c r="Q1425" t="s">
        <v>58</v>
      </c>
      <c r="R1425" t="str">
        <f t="shared" si="23"/>
        <v>No</v>
      </c>
    </row>
    <row r="1426" spans="1:18" x14ac:dyDescent="0.35">
      <c r="A1426" s="1">
        <v>40381</v>
      </c>
      <c r="B1426">
        <v>0</v>
      </c>
      <c r="C1426" t="s">
        <v>28</v>
      </c>
      <c r="D1426" t="s">
        <v>31</v>
      </c>
      <c r="E1426" t="s">
        <v>30</v>
      </c>
      <c r="F1426">
        <v>98</v>
      </c>
      <c r="G1426" t="s">
        <v>47</v>
      </c>
      <c r="H1426" t="s">
        <v>30</v>
      </c>
      <c r="I1426">
        <v>96</v>
      </c>
      <c r="J1426">
        <v>2</v>
      </c>
      <c r="K1426">
        <v>3</v>
      </c>
      <c r="L1426">
        <v>51</v>
      </c>
      <c r="M1426" t="s">
        <v>20</v>
      </c>
      <c r="N1426" t="s">
        <v>48</v>
      </c>
      <c r="O1426">
        <v>39876</v>
      </c>
      <c r="P1426">
        <v>164</v>
      </c>
      <c r="Q1426" t="s">
        <v>47</v>
      </c>
      <c r="R1426" t="str">
        <f t="shared" si="23"/>
        <v>Yes</v>
      </c>
    </row>
    <row r="1427" spans="1:18" x14ac:dyDescent="0.35">
      <c r="A1427" s="1">
        <v>40381</v>
      </c>
      <c r="B1427">
        <v>0</v>
      </c>
      <c r="C1427" t="s">
        <v>28</v>
      </c>
      <c r="D1427" t="s">
        <v>70</v>
      </c>
      <c r="E1427" t="s">
        <v>18</v>
      </c>
      <c r="F1427">
        <v>96</v>
      </c>
      <c r="G1427" t="s">
        <v>60</v>
      </c>
      <c r="H1427" t="s">
        <v>18</v>
      </c>
      <c r="I1427">
        <v>96</v>
      </c>
      <c r="J1427">
        <v>3</v>
      </c>
      <c r="K1427">
        <v>0</v>
      </c>
      <c r="L1427">
        <v>54</v>
      </c>
      <c r="M1427" t="s">
        <v>20</v>
      </c>
      <c r="N1427" t="s">
        <v>61</v>
      </c>
      <c r="O1427">
        <v>17230</v>
      </c>
      <c r="P1427">
        <v>147</v>
      </c>
      <c r="Q1427" t="s">
        <v>70</v>
      </c>
      <c r="R1427" t="str">
        <f t="shared" si="23"/>
        <v>No</v>
      </c>
    </row>
    <row r="1428" spans="1:18" x14ac:dyDescent="0.35">
      <c r="A1428" s="1">
        <v>40381</v>
      </c>
      <c r="B1428">
        <v>0</v>
      </c>
      <c r="C1428" t="s">
        <v>28</v>
      </c>
      <c r="D1428" t="s">
        <v>62</v>
      </c>
      <c r="E1428" t="s">
        <v>18</v>
      </c>
      <c r="F1428">
        <v>94</v>
      </c>
      <c r="G1428" t="s">
        <v>50</v>
      </c>
      <c r="H1428" t="s">
        <v>18</v>
      </c>
      <c r="I1428">
        <v>95</v>
      </c>
      <c r="J1428">
        <v>0</v>
      </c>
      <c r="K1428">
        <v>8</v>
      </c>
      <c r="L1428">
        <v>51</v>
      </c>
      <c r="M1428" t="s">
        <v>38</v>
      </c>
      <c r="N1428" t="s">
        <v>51</v>
      </c>
      <c r="O1428">
        <v>26450</v>
      </c>
      <c r="P1428">
        <v>175</v>
      </c>
      <c r="Q1428" t="s">
        <v>50</v>
      </c>
      <c r="R1428" t="str">
        <f t="shared" si="23"/>
        <v>Yes</v>
      </c>
    </row>
    <row r="1429" spans="1:18" x14ac:dyDescent="0.35">
      <c r="A1429" s="1">
        <v>40381</v>
      </c>
      <c r="B1429">
        <v>0</v>
      </c>
      <c r="C1429" t="s">
        <v>28</v>
      </c>
      <c r="D1429" t="s">
        <v>26</v>
      </c>
      <c r="E1429" t="s">
        <v>18</v>
      </c>
      <c r="F1429">
        <v>96</v>
      </c>
      <c r="G1429" t="s">
        <v>53</v>
      </c>
      <c r="H1429" t="s">
        <v>18</v>
      </c>
      <c r="I1429">
        <v>97</v>
      </c>
      <c r="J1429">
        <v>7</v>
      </c>
      <c r="K1429">
        <v>1</v>
      </c>
      <c r="L1429">
        <v>54</v>
      </c>
      <c r="M1429" t="s">
        <v>38</v>
      </c>
      <c r="N1429" t="s">
        <v>54</v>
      </c>
      <c r="O1429">
        <v>23115</v>
      </c>
      <c r="P1429">
        <v>170</v>
      </c>
      <c r="Q1429" t="s">
        <v>26</v>
      </c>
      <c r="R1429" t="str">
        <f t="shared" si="23"/>
        <v>No</v>
      </c>
    </row>
    <row r="1430" spans="1:18" x14ac:dyDescent="0.35">
      <c r="A1430" s="1">
        <v>40381</v>
      </c>
      <c r="B1430">
        <v>0</v>
      </c>
      <c r="C1430" t="s">
        <v>28</v>
      </c>
      <c r="D1430" t="s">
        <v>63</v>
      </c>
      <c r="E1430" t="s">
        <v>18</v>
      </c>
      <c r="F1430">
        <v>95</v>
      </c>
      <c r="G1430" t="s">
        <v>17</v>
      </c>
      <c r="H1430" t="s">
        <v>18</v>
      </c>
      <c r="I1430">
        <v>95</v>
      </c>
      <c r="J1430">
        <v>2</v>
      </c>
      <c r="K1430">
        <v>3</v>
      </c>
      <c r="L1430">
        <v>51</v>
      </c>
      <c r="M1430" t="s">
        <v>38</v>
      </c>
      <c r="N1430" t="s">
        <v>65</v>
      </c>
      <c r="O1430">
        <v>29102</v>
      </c>
      <c r="P1430">
        <v>174</v>
      </c>
      <c r="Q1430" t="s">
        <v>17</v>
      </c>
      <c r="R1430" t="str">
        <f t="shared" si="23"/>
        <v>Yes</v>
      </c>
    </row>
    <row r="1431" spans="1:18" x14ac:dyDescent="0.35">
      <c r="A1431" s="1">
        <v>40381</v>
      </c>
      <c r="B1431">
        <v>0</v>
      </c>
      <c r="C1431" t="s">
        <v>28</v>
      </c>
      <c r="D1431" t="s">
        <v>19</v>
      </c>
      <c r="E1431" t="s">
        <v>18</v>
      </c>
      <c r="F1431">
        <v>96</v>
      </c>
      <c r="G1431" t="s">
        <v>22</v>
      </c>
      <c r="H1431" t="s">
        <v>18</v>
      </c>
      <c r="I1431">
        <v>96</v>
      </c>
      <c r="J1431">
        <v>0</v>
      </c>
      <c r="K1431">
        <v>2</v>
      </c>
      <c r="L1431">
        <v>51</v>
      </c>
      <c r="M1431" t="s">
        <v>20</v>
      </c>
      <c r="N1431" t="s">
        <v>85</v>
      </c>
      <c r="O1431">
        <v>42299</v>
      </c>
      <c r="P1431">
        <v>165</v>
      </c>
      <c r="Q1431" t="s">
        <v>22</v>
      </c>
      <c r="R1431" t="str">
        <f t="shared" si="23"/>
        <v>Yes</v>
      </c>
    </row>
    <row r="1432" spans="1:18" x14ac:dyDescent="0.35">
      <c r="A1432" s="1">
        <v>40381</v>
      </c>
      <c r="B1432">
        <v>0</v>
      </c>
      <c r="C1432" t="s">
        <v>28</v>
      </c>
      <c r="D1432" t="s">
        <v>68</v>
      </c>
      <c r="E1432" t="s">
        <v>18</v>
      </c>
      <c r="F1432">
        <v>97</v>
      </c>
      <c r="G1432" t="s">
        <v>23</v>
      </c>
      <c r="H1432" t="s">
        <v>18</v>
      </c>
      <c r="I1432">
        <v>95</v>
      </c>
      <c r="J1432">
        <v>3</v>
      </c>
      <c r="K1432">
        <v>2</v>
      </c>
      <c r="L1432">
        <v>54</v>
      </c>
      <c r="M1432" t="s">
        <v>20</v>
      </c>
      <c r="N1432" t="s">
        <v>24</v>
      </c>
      <c r="O1432">
        <v>18715</v>
      </c>
      <c r="P1432">
        <v>192</v>
      </c>
      <c r="Q1432" t="s">
        <v>68</v>
      </c>
      <c r="R1432" t="str">
        <f t="shared" si="23"/>
        <v>No</v>
      </c>
    </row>
    <row r="1433" spans="1:18" x14ac:dyDescent="0.35">
      <c r="A1433" s="1">
        <v>40381</v>
      </c>
      <c r="B1433">
        <v>0</v>
      </c>
      <c r="C1433" t="s">
        <v>28</v>
      </c>
      <c r="D1433" t="s">
        <v>25</v>
      </c>
      <c r="E1433" t="s">
        <v>18</v>
      </c>
      <c r="F1433">
        <v>95</v>
      </c>
      <c r="G1433" t="s">
        <v>52</v>
      </c>
      <c r="H1433" t="s">
        <v>18</v>
      </c>
      <c r="I1433">
        <v>96</v>
      </c>
      <c r="J1433">
        <v>2</v>
      </c>
      <c r="K1433">
        <v>0</v>
      </c>
      <c r="L1433">
        <v>66</v>
      </c>
      <c r="M1433" t="s">
        <v>38</v>
      </c>
      <c r="N1433" t="s">
        <v>82</v>
      </c>
      <c r="O1433">
        <v>40062</v>
      </c>
      <c r="P1433">
        <v>191</v>
      </c>
      <c r="Q1433" t="s">
        <v>25</v>
      </c>
      <c r="R1433" t="str">
        <f t="shared" si="23"/>
        <v>No</v>
      </c>
    </row>
    <row r="1434" spans="1:18" x14ac:dyDescent="0.35">
      <c r="A1434" s="1">
        <v>40382</v>
      </c>
      <c r="B1434">
        <v>0</v>
      </c>
      <c r="C1434" t="s">
        <v>55</v>
      </c>
      <c r="D1434" t="s">
        <v>29</v>
      </c>
      <c r="E1434" t="s">
        <v>30</v>
      </c>
      <c r="F1434">
        <v>97</v>
      </c>
      <c r="G1434" t="s">
        <v>43</v>
      </c>
      <c r="H1434" t="s">
        <v>30</v>
      </c>
      <c r="I1434">
        <v>96</v>
      </c>
      <c r="J1434">
        <v>2</v>
      </c>
      <c r="K1434">
        <v>3</v>
      </c>
      <c r="L1434">
        <v>51</v>
      </c>
      <c r="M1434" t="s">
        <v>20</v>
      </c>
      <c r="N1434" t="s">
        <v>56</v>
      </c>
      <c r="O1434">
        <v>19013</v>
      </c>
      <c r="P1434">
        <v>146</v>
      </c>
      <c r="Q1434" t="s">
        <v>43</v>
      </c>
      <c r="R1434" t="str">
        <f t="shared" si="23"/>
        <v>Yes</v>
      </c>
    </row>
    <row r="1435" spans="1:18" x14ac:dyDescent="0.35">
      <c r="A1435" s="1">
        <v>40382</v>
      </c>
      <c r="B1435">
        <v>0</v>
      </c>
      <c r="C1435" t="s">
        <v>55</v>
      </c>
      <c r="D1435" t="s">
        <v>44</v>
      </c>
      <c r="E1435" t="s">
        <v>30</v>
      </c>
      <c r="F1435">
        <v>95</v>
      </c>
      <c r="G1435" t="s">
        <v>33</v>
      </c>
      <c r="H1435" t="s">
        <v>30</v>
      </c>
      <c r="I1435">
        <v>96</v>
      </c>
      <c r="J1435">
        <v>1</v>
      </c>
      <c r="K1435">
        <v>3</v>
      </c>
      <c r="L1435">
        <v>39</v>
      </c>
      <c r="M1435" t="s">
        <v>20</v>
      </c>
      <c r="N1435" t="s">
        <v>75</v>
      </c>
      <c r="O1435">
        <v>16904</v>
      </c>
      <c r="P1435">
        <v>126</v>
      </c>
      <c r="Q1435" t="s">
        <v>33</v>
      </c>
      <c r="R1435" t="str">
        <f t="shared" si="23"/>
        <v>Yes</v>
      </c>
    </row>
    <row r="1436" spans="1:18" x14ac:dyDescent="0.35">
      <c r="A1436" s="1">
        <v>40382</v>
      </c>
      <c r="B1436">
        <v>0</v>
      </c>
      <c r="C1436" t="s">
        <v>55</v>
      </c>
      <c r="D1436" t="s">
        <v>37</v>
      </c>
      <c r="E1436" t="s">
        <v>30</v>
      </c>
      <c r="F1436">
        <v>96</v>
      </c>
      <c r="G1436" t="s">
        <v>59</v>
      </c>
      <c r="H1436" t="s">
        <v>30</v>
      </c>
      <c r="I1436">
        <v>95</v>
      </c>
      <c r="J1436">
        <v>1</v>
      </c>
      <c r="K1436">
        <v>7</v>
      </c>
      <c r="L1436">
        <v>51</v>
      </c>
      <c r="M1436" t="s">
        <v>20</v>
      </c>
      <c r="N1436" t="s">
        <v>84</v>
      </c>
      <c r="O1436">
        <v>46801</v>
      </c>
      <c r="P1436">
        <v>153</v>
      </c>
      <c r="Q1436" t="s">
        <v>59</v>
      </c>
      <c r="R1436" t="str">
        <f t="shared" si="23"/>
        <v>Yes</v>
      </c>
    </row>
    <row r="1437" spans="1:18" x14ac:dyDescent="0.35">
      <c r="A1437" s="1">
        <v>40382</v>
      </c>
      <c r="B1437">
        <v>0</v>
      </c>
      <c r="C1437" t="s">
        <v>55</v>
      </c>
      <c r="D1437" t="s">
        <v>34</v>
      </c>
      <c r="E1437" t="s">
        <v>30</v>
      </c>
      <c r="F1437">
        <v>95</v>
      </c>
      <c r="G1437" t="s">
        <v>41</v>
      </c>
      <c r="H1437" t="s">
        <v>30</v>
      </c>
      <c r="I1437">
        <v>96</v>
      </c>
      <c r="J1437">
        <v>5</v>
      </c>
      <c r="K1437">
        <v>1</v>
      </c>
      <c r="L1437">
        <v>54</v>
      </c>
      <c r="M1437" t="s">
        <v>20</v>
      </c>
      <c r="N1437" t="s">
        <v>42</v>
      </c>
      <c r="O1437">
        <v>15103</v>
      </c>
      <c r="P1437">
        <v>136</v>
      </c>
      <c r="Q1437" t="s">
        <v>34</v>
      </c>
      <c r="R1437" t="str">
        <f t="shared" si="23"/>
        <v>No</v>
      </c>
    </row>
    <row r="1438" spans="1:18" x14ac:dyDescent="0.35">
      <c r="A1438" s="1">
        <v>40382</v>
      </c>
      <c r="B1438">
        <v>0</v>
      </c>
      <c r="C1438" t="s">
        <v>55</v>
      </c>
      <c r="D1438" t="s">
        <v>58</v>
      </c>
      <c r="E1438" t="s">
        <v>30</v>
      </c>
      <c r="F1438">
        <v>97</v>
      </c>
      <c r="G1438" t="s">
        <v>40</v>
      </c>
      <c r="H1438" t="s">
        <v>30</v>
      </c>
      <c r="I1438">
        <v>97</v>
      </c>
      <c r="J1438">
        <v>2</v>
      </c>
      <c r="K1438">
        <v>1</v>
      </c>
      <c r="L1438">
        <v>54</v>
      </c>
      <c r="M1438" t="s">
        <v>20</v>
      </c>
      <c r="N1438" t="s">
        <v>77</v>
      </c>
      <c r="O1438">
        <v>34932</v>
      </c>
      <c r="P1438">
        <v>157</v>
      </c>
      <c r="Q1438" t="s">
        <v>58</v>
      </c>
      <c r="R1438" t="str">
        <f t="shared" si="23"/>
        <v>No</v>
      </c>
    </row>
    <row r="1439" spans="1:18" x14ac:dyDescent="0.35">
      <c r="A1439" s="1">
        <v>40382</v>
      </c>
      <c r="B1439">
        <v>0</v>
      </c>
      <c r="C1439" t="s">
        <v>55</v>
      </c>
      <c r="D1439" t="s">
        <v>31</v>
      </c>
      <c r="E1439" t="s">
        <v>30</v>
      </c>
      <c r="F1439">
        <v>99</v>
      </c>
      <c r="G1439" t="s">
        <v>47</v>
      </c>
      <c r="H1439" t="s">
        <v>30</v>
      </c>
      <c r="I1439">
        <v>97</v>
      </c>
      <c r="J1439">
        <v>0</v>
      </c>
      <c r="K1439">
        <v>1</v>
      </c>
      <c r="L1439">
        <v>51</v>
      </c>
      <c r="M1439" t="s">
        <v>20</v>
      </c>
      <c r="N1439" t="s">
        <v>48</v>
      </c>
      <c r="O1439">
        <v>46554</v>
      </c>
      <c r="P1439">
        <v>144</v>
      </c>
      <c r="Q1439" t="s">
        <v>47</v>
      </c>
      <c r="R1439" t="str">
        <f t="shared" si="23"/>
        <v>Yes</v>
      </c>
    </row>
    <row r="1440" spans="1:18" x14ac:dyDescent="0.35">
      <c r="A1440" s="1">
        <v>40382</v>
      </c>
      <c r="B1440">
        <v>0</v>
      </c>
      <c r="C1440" t="s">
        <v>55</v>
      </c>
      <c r="D1440" t="s">
        <v>70</v>
      </c>
      <c r="E1440" t="s">
        <v>18</v>
      </c>
      <c r="F1440">
        <v>97</v>
      </c>
      <c r="G1440" t="s">
        <v>60</v>
      </c>
      <c r="H1440" t="s">
        <v>18</v>
      </c>
      <c r="I1440">
        <v>97</v>
      </c>
      <c r="J1440">
        <v>7</v>
      </c>
      <c r="K1440">
        <v>4</v>
      </c>
      <c r="L1440">
        <v>54</v>
      </c>
      <c r="M1440" t="s">
        <v>20</v>
      </c>
      <c r="N1440" t="s">
        <v>61</v>
      </c>
      <c r="O1440">
        <v>22512</v>
      </c>
      <c r="P1440">
        <v>225</v>
      </c>
      <c r="Q1440" t="s">
        <v>70</v>
      </c>
      <c r="R1440" t="str">
        <f t="shared" si="23"/>
        <v>No</v>
      </c>
    </row>
    <row r="1441" spans="1:18" x14ac:dyDescent="0.35">
      <c r="A1441" s="1">
        <v>40382</v>
      </c>
      <c r="B1441">
        <v>0</v>
      </c>
      <c r="C1441" t="s">
        <v>55</v>
      </c>
      <c r="D1441" t="s">
        <v>52</v>
      </c>
      <c r="E1441" t="s">
        <v>18</v>
      </c>
      <c r="F1441">
        <v>97</v>
      </c>
      <c r="G1441" t="s">
        <v>49</v>
      </c>
      <c r="H1441" t="s">
        <v>18</v>
      </c>
      <c r="I1441">
        <v>97</v>
      </c>
      <c r="J1441">
        <v>0</v>
      </c>
      <c r="K1441">
        <v>5</v>
      </c>
      <c r="L1441">
        <v>51</v>
      </c>
      <c r="M1441" t="s">
        <v>38</v>
      </c>
      <c r="N1441" t="s">
        <v>79</v>
      </c>
      <c r="O1441">
        <v>40687</v>
      </c>
      <c r="P1441">
        <v>145</v>
      </c>
      <c r="Q1441" t="s">
        <v>49</v>
      </c>
      <c r="R1441" t="str">
        <f t="shared" si="23"/>
        <v>Yes</v>
      </c>
    </row>
    <row r="1442" spans="1:18" x14ac:dyDescent="0.35">
      <c r="A1442" s="1">
        <v>40382</v>
      </c>
      <c r="B1442">
        <v>0</v>
      </c>
      <c r="C1442" t="s">
        <v>55</v>
      </c>
      <c r="D1442" t="s">
        <v>50</v>
      </c>
      <c r="E1442" t="s">
        <v>18</v>
      </c>
      <c r="F1442">
        <v>96</v>
      </c>
      <c r="G1442" t="s">
        <v>17</v>
      </c>
      <c r="H1442" t="s">
        <v>18</v>
      </c>
      <c r="I1442">
        <v>96</v>
      </c>
      <c r="J1442">
        <v>6</v>
      </c>
      <c r="K1442">
        <v>7</v>
      </c>
      <c r="L1442">
        <v>53</v>
      </c>
      <c r="M1442" t="s">
        <v>20</v>
      </c>
      <c r="N1442" t="s">
        <v>65</v>
      </c>
      <c r="O1442">
        <v>19204</v>
      </c>
      <c r="P1442">
        <v>220</v>
      </c>
      <c r="Q1442" t="s">
        <v>17</v>
      </c>
      <c r="R1442" t="str">
        <f t="shared" si="23"/>
        <v>Yes</v>
      </c>
    </row>
    <row r="1443" spans="1:18" x14ac:dyDescent="0.35">
      <c r="A1443" s="1">
        <v>40382</v>
      </c>
      <c r="B1443">
        <v>0</v>
      </c>
      <c r="C1443" t="s">
        <v>55</v>
      </c>
      <c r="D1443" t="s">
        <v>53</v>
      </c>
      <c r="E1443" t="s">
        <v>18</v>
      </c>
      <c r="F1443">
        <v>98</v>
      </c>
      <c r="G1443" t="s">
        <v>66</v>
      </c>
      <c r="H1443" t="s">
        <v>18</v>
      </c>
      <c r="I1443">
        <v>96</v>
      </c>
      <c r="J1443">
        <v>6</v>
      </c>
      <c r="K1443">
        <v>4</v>
      </c>
      <c r="L1443">
        <v>54</v>
      </c>
      <c r="M1443" t="s">
        <v>20</v>
      </c>
      <c r="N1443" t="s">
        <v>67</v>
      </c>
      <c r="O1443">
        <v>30575</v>
      </c>
      <c r="P1443">
        <v>181</v>
      </c>
      <c r="Q1443" t="s">
        <v>53</v>
      </c>
      <c r="R1443" t="str">
        <f t="shared" si="23"/>
        <v>No</v>
      </c>
    </row>
    <row r="1444" spans="1:18" x14ac:dyDescent="0.35">
      <c r="A1444" s="1">
        <v>40382</v>
      </c>
      <c r="B1444">
        <v>0</v>
      </c>
      <c r="C1444" t="s">
        <v>55</v>
      </c>
      <c r="D1444" t="s">
        <v>19</v>
      </c>
      <c r="E1444" t="s">
        <v>18</v>
      </c>
      <c r="F1444">
        <v>97</v>
      </c>
      <c r="G1444" t="s">
        <v>22</v>
      </c>
      <c r="H1444" t="s">
        <v>18</v>
      </c>
      <c r="I1444">
        <v>97</v>
      </c>
      <c r="J1444">
        <v>6</v>
      </c>
      <c r="K1444">
        <v>1</v>
      </c>
      <c r="L1444">
        <v>54</v>
      </c>
      <c r="M1444" t="s">
        <v>20</v>
      </c>
      <c r="N1444" t="s">
        <v>85</v>
      </c>
      <c r="O1444">
        <v>44626</v>
      </c>
      <c r="P1444">
        <v>157</v>
      </c>
      <c r="Q1444" t="s">
        <v>19</v>
      </c>
      <c r="R1444" t="str">
        <f t="shared" si="23"/>
        <v>No</v>
      </c>
    </row>
    <row r="1445" spans="1:18" x14ac:dyDescent="0.35">
      <c r="A1445" s="1">
        <v>40382</v>
      </c>
      <c r="B1445">
        <v>0</v>
      </c>
      <c r="C1445" t="s">
        <v>55</v>
      </c>
      <c r="D1445" t="s">
        <v>26</v>
      </c>
      <c r="E1445" t="s">
        <v>18</v>
      </c>
      <c r="F1445">
        <v>97</v>
      </c>
      <c r="G1445" t="s">
        <v>68</v>
      </c>
      <c r="H1445" t="s">
        <v>18</v>
      </c>
      <c r="I1445">
        <v>98</v>
      </c>
      <c r="J1445">
        <v>5</v>
      </c>
      <c r="K1445">
        <v>7</v>
      </c>
      <c r="L1445">
        <v>51</v>
      </c>
      <c r="M1445" t="s">
        <v>20</v>
      </c>
      <c r="N1445" t="s">
        <v>69</v>
      </c>
      <c r="O1445">
        <v>34822</v>
      </c>
      <c r="P1445">
        <v>181</v>
      </c>
      <c r="Q1445" t="s">
        <v>68</v>
      </c>
      <c r="R1445" t="str">
        <f t="shared" si="23"/>
        <v>Yes</v>
      </c>
    </row>
    <row r="1446" spans="1:18" x14ac:dyDescent="0.35">
      <c r="A1446" s="1">
        <v>40382</v>
      </c>
      <c r="B1446">
        <v>0</v>
      </c>
      <c r="C1446" t="s">
        <v>55</v>
      </c>
      <c r="D1446" t="s">
        <v>63</v>
      </c>
      <c r="E1446" t="s">
        <v>18</v>
      </c>
      <c r="F1446">
        <v>96</v>
      </c>
      <c r="G1446" t="s">
        <v>25</v>
      </c>
      <c r="H1446" t="s">
        <v>18</v>
      </c>
      <c r="I1446">
        <v>96</v>
      </c>
      <c r="J1446">
        <v>0</v>
      </c>
      <c r="K1446">
        <v>6</v>
      </c>
      <c r="L1446">
        <v>51</v>
      </c>
      <c r="M1446" t="s">
        <v>20</v>
      </c>
      <c r="N1446" t="s">
        <v>80</v>
      </c>
      <c r="O1446">
        <v>45265</v>
      </c>
      <c r="P1446">
        <v>166</v>
      </c>
      <c r="Q1446" t="s">
        <v>25</v>
      </c>
      <c r="R1446" t="str">
        <f t="shared" si="23"/>
        <v>Yes</v>
      </c>
    </row>
    <row r="1447" spans="1:18" x14ac:dyDescent="0.35">
      <c r="A1447" s="1">
        <v>40382</v>
      </c>
      <c r="B1447">
        <v>0</v>
      </c>
      <c r="C1447" t="s">
        <v>55</v>
      </c>
      <c r="D1447" t="s">
        <v>62</v>
      </c>
      <c r="E1447" t="s">
        <v>18</v>
      </c>
      <c r="F1447">
        <v>95</v>
      </c>
      <c r="G1447" t="s">
        <v>23</v>
      </c>
      <c r="H1447" t="s">
        <v>18</v>
      </c>
      <c r="I1447">
        <v>96</v>
      </c>
      <c r="J1447">
        <v>5</v>
      </c>
      <c r="K1447">
        <v>3</v>
      </c>
      <c r="L1447">
        <v>54</v>
      </c>
      <c r="M1447" t="s">
        <v>20</v>
      </c>
      <c r="N1447" t="s">
        <v>24</v>
      </c>
      <c r="O1447">
        <v>18611</v>
      </c>
      <c r="P1447">
        <v>180</v>
      </c>
      <c r="Q1447" t="s">
        <v>62</v>
      </c>
      <c r="R1447" t="str">
        <f t="shared" si="23"/>
        <v>No</v>
      </c>
    </row>
    <row r="1448" spans="1:18" x14ac:dyDescent="0.35">
      <c r="A1448" s="1">
        <v>40383</v>
      </c>
      <c r="B1448">
        <v>0</v>
      </c>
      <c r="C1448" t="s">
        <v>72</v>
      </c>
      <c r="D1448" t="s">
        <v>29</v>
      </c>
      <c r="E1448" t="s">
        <v>30</v>
      </c>
      <c r="F1448">
        <v>98</v>
      </c>
      <c r="G1448" t="s">
        <v>43</v>
      </c>
      <c r="H1448" t="s">
        <v>30</v>
      </c>
      <c r="I1448">
        <v>97</v>
      </c>
      <c r="J1448">
        <v>7</v>
      </c>
      <c r="K1448">
        <v>2</v>
      </c>
      <c r="L1448">
        <v>54</v>
      </c>
      <c r="M1448" t="s">
        <v>20</v>
      </c>
      <c r="N1448" t="s">
        <v>56</v>
      </c>
      <c r="O1448">
        <v>22299</v>
      </c>
      <c r="P1448">
        <v>175</v>
      </c>
      <c r="Q1448" t="s">
        <v>29</v>
      </c>
      <c r="R1448" t="str">
        <f t="shared" si="23"/>
        <v>No</v>
      </c>
    </row>
    <row r="1449" spans="1:18" x14ac:dyDescent="0.35">
      <c r="A1449" s="1">
        <v>40383</v>
      </c>
      <c r="B1449">
        <v>0</v>
      </c>
      <c r="C1449" t="s">
        <v>72</v>
      </c>
      <c r="D1449" t="s">
        <v>44</v>
      </c>
      <c r="E1449" t="s">
        <v>30</v>
      </c>
      <c r="F1449">
        <v>96</v>
      </c>
      <c r="G1449" t="s">
        <v>33</v>
      </c>
      <c r="H1449" t="s">
        <v>30</v>
      </c>
      <c r="I1449">
        <v>97</v>
      </c>
      <c r="J1449">
        <v>6</v>
      </c>
      <c r="K1449">
        <v>3</v>
      </c>
      <c r="L1449">
        <v>54</v>
      </c>
      <c r="M1449" t="s">
        <v>20</v>
      </c>
      <c r="N1449" t="s">
        <v>75</v>
      </c>
      <c r="O1449">
        <v>17221</v>
      </c>
      <c r="P1449">
        <v>180</v>
      </c>
      <c r="Q1449" t="s">
        <v>44</v>
      </c>
      <c r="R1449" t="str">
        <f t="shared" si="23"/>
        <v>No</v>
      </c>
    </row>
    <row r="1450" spans="1:18" x14ac:dyDescent="0.35">
      <c r="A1450" s="1">
        <v>40383</v>
      </c>
      <c r="B1450">
        <v>0</v>
      </c>
      <c r="C1450" t="s">
        <v>72</v>
      </c>
      <c r="D1450" t="s">
        <v>46</v>
      </c>
      <c r="E1450" t="s">
        <v>30</v>
      </c>
      <c r="F1450">
        <v>97</v>
      </c>
      <c r="G1450" t="s">
        <v>36</v>
      </c>
      <c r="H1450" t="s">
        <v>30</v>
      </c>
      <c r="I1450">
        <v>95</v>
      </c>
      <c r="J1450">
        <v>3</v>
      </c>
      <c r="K1450">
        <v>2</v>
      </c>
      <c r="L1450">
        <v>54</v>
      </c>
      <c r="M1450" t="s">
        <v>20</v>
      </c>
      <c r="N1450" t="s">
        <v>57</v>
      </c>
      <c r="O1450">
        <v>39391</v>
      </c>
      <c r="P1450">
        <v>178</v>
      </c>
      <c r="Q1450" t="s">
        <v>46</v>
      </c>
      <c r="R1450" t="str">
        <f t="shared" si="23"/>
        <v>No</v>
      </c>
    </row>
    <row r="1451" spans="1:18" x14ac:dyDescent="0.35">
      <c r="A1451" s="1">
        <v>40383</v>
      </c>
      <c r="B1451">
        <v>0</v>
      </c>
      <c r="C1451" t="s">
        <v>72</v>
      </c>
      <c r="D1451" t="s">
        <v>37</v>
      </c>
      <c r="E1451" t="s">
        <v>30</v>
      </c>
      <c r="F1451">
        <v>97</v>
      </c>
      <c r="G1451" t="s">
        <v>59</v>
      </c>
      <c r="H1451" t="s">
        <v>30</v>
      </c>
      <c r="I1451">
        <v>96</v>
      </c>
      <c r="J1451">
        <v>7</v>
      </c>
      <c r="K1451">
        <v>4</v>
      </c>
      <c r="L1451">
        <v>54</v>
      </c>
      <c r="M1451" t="s">
        <v>38</v>
      </c>
      <c r="N1451" t="s">
        <v>84</v>
      </c>
      <c r="O1451">
        <v>48138</v>
      </c>
      <c r="P1451">
        <v>173</v>
      </c>
      <c r="Q1451" t="s">
        <v>37</v>
      </c>
      <c r="R1451" t="str">
        <f t="shared" si="23"/>
        <v>No</v>
      </c>
    </row>
    <row r="1452" spans="1:18" x14ac:dyDescent="0.35">
      <c r="A1452" s="1">
        <v>40383</v>
      </c>
      <c r="B1452">
        <v>0</v>
      </c>
      <c r="C1452" t="s">
        <v>72</v>
      </c>
      <c r="D1452" t="s">
        <v>34</v>
      </c>
      <c r="E1452" t="s">
        <v>30</v>
      </c>
      <c r="F1452">
        <v>96</v>
      </c>
      <c r="G1452" t="s">
        <v>41</v>
      </c>
      <c r="H1452" t="s">
        <v>30</v>
      </c>
      <c r="I1452">
        <v>97</v>
      </c>
      <c r="J1452">
        <v>2</v>
      </c>
      <c r="K1452">
        <v>10</v>
      </c>
      <c r="L1452">
        <v>51</v>
      </c>
      <c r="M1452" t="s">
        <v>38</v>
      </c>
      <c r="N1452" t="s">
        <v>42</v>
      </c>
      <c r="O1452">
        <v>17439</v>
      </c>
      <c r="P1452">
        <v>184</v>
      </c>
      <c r="Q1452" t="s">
        <v>41</v>
      </c>
      <c r="R1452" t="str">
        <f t="shared" si="23"/>
        <v>Yes</v>
      </c>
    </row>
    <row r="1453" spans="1:18" x14ac:dyDescent="0.35">
      <c r="A1453" s="1">
        <v>40383</v>
      </c>
      <c r="B1453">
        <v>0</v>
      </c>
      <c r="C1453" t="s">
        <v>72</v>
      </c>
      <c r="D1453" t="s">
        <v>58</v>
      </c>
      <c r="E1453" t="s">
        <v>30</v>
      </c>
      <c r="F1453">
        <v>98</v>
      </c>
      <c r="G1453" t="s">
        <v>40</v>
      </c>
      <c r="H1453" t="s">
        <v>30</v>
      </c>
      <c r="I1453">
        <v>98</v>
      </c>
      <c r="J1453">
        <v>1</v>
      </c>
      <c r="K1453">
        <v>5</v>
      </c>
      <c r="L1453">
        <v>51</v>
      </c>
      <c r="M1453" t="s">
        <v>20</v>
      </c>
      <c r="N1453" t="s">
        <v>77</v>
      </c>
      <c r="O1453">
        <v>43694</v>
      </c>
      <c r="P1453">
        <v>155</v>
      </c>
      <c r="Q1453" t="s">
        <v>40</v>
      </c>
      <c r="R1453" t="str">
        <f t="shared" si="23"/>
        <v>Yes</v>
      </c>
    </row>
    <row r="1454" spans="1:18" x14ac:dyDescent="0.35">
      <c r="A1454" s="1">
        <v>40383</v>
      </c>
      <c r="B1454">
        <v>0</v>
      </c>
      <c r="C1454" t="s">
        <v>72</v>
      </c>
      <c r="D1454" t="s">
        <v>31</v>
      </c>
      <c r="E1454" t="s">
        <v>30</v>
      </c>
      <c r="F1454">
        <v>100</v>
      </c>
      <c r="G1454" t="s">
        <v>47</v>
      </c>
      <c r="H1454" t="s">
        <v>30</v>
      </c>
      <c r="I1454">
        <v>98</v>
      </c>
      <c r="J1454">
        <v>6</v>
      </c>
      <c r="K1454">
        <v>2</v>
      </c>
      <c r="L1454">
        <v>54</v>
      </c>
      <c r="M1454" t="s">
        <v>20</v>
      </c>
      <c r="N1454" t="s">
        <v>48</v>
      </c>
      <c r="O1454">
        <v>47098</v>
      </c>
      <c r="P1454">
        <v>188</v>
      </c>
      <c r="Q1454" t="s">
        <v>31</v>
      </c>
      <c r="R1454" t="str">
        <f t="shared" si="23"/>
        <v>No</v>
      </c>
    </row>
    <row r="1455" spans="1:18" x14ac:dyDescent="0.35">
      <c r="A1455" s="1">
        <v>40383</v>
      </c>
      <c r="B1455">
        <v>0</v>
      </c>
      <c r="C1455" t="s">
        <v>72</v>
      </c>
      <c r="D1455" t="s">
        <v>70</v>
      </c>
      <c r="E1455" t="s">
        <v>18</v>
      </c>
      <c r="F1455">
        <v>98</v>
      </c>
      <c r="G1455" t="s">
        <v>60</v>
      </c>
      <c r="H1455" t="s">
        <v>18</v>
      </c>
      <c r="I1455">
        <v>98</v>
      </c>
      <c r="J1455">
        <v>10</v>
      </c>
      <c r="K1455">
        <v>4</v>
      </c>
      <c r="L1455">
        <v>54</v>
      </c>
      <c r="M1455" t="s">
        <v>20</v>
      </c>
      <c r="N1455" t="s">
        <v>61</v>
      </c>
      <c r="O1455">
        <v>32774</v>
      </c>
      <c r="P1455">
        <v>182</v>
      </c>
      <c r="Q1455" t="s">
        <v>70</v>
      </c>
      <c r="R1455" t="str">
        <f t="shared" si="23"/>
        <v>No</v>
      </c>
    </row>
    <row r="1456" spans="1:18" x14ac:dyDescent="0.35">
      <c r="A1456" s="1">
        <v>40383</v>
      </c>
      <c r="B1456">
        <v>0</v>
      </c>
      <c r="C1456" t="s">
        <v>72</v>
      </c>
      <c r="D1456" t="s">
        <v>52</v>
      </c>
      <c r="E1456" t="s">
        <v>18</v>
      </c>
      <c r="F1456">
        <v>98</v>
      </c>
      <c r="G1456" t="s">
        <v>49</v>
      </c>
      <c r="H1456" t="s">
        <v>18</v>
      </c>
      <c r="I1456">
        <v>98</v>
      </c>
      <c r="J1456">
        <v>5</v>
      </c>
      <c r="K1456">
        <v>6</v>
      </c>
      <c r="L1456">
        <v>51</v>
      </c>
      <c r="M1456" t="s">
        <v>38</v>
      </c>
      <c r="N1456" t="s">
        <v>79</v>
      </c>
      <c r="O1456">
        <v>41009</v>
      </c>
      <c r="P1456">
        <v>172</v>
      </c>
      <c r="Q1456" t="s">
        <v>49</v>
      </c>
      <c r="R1456" t="str">
        <f t="shared" si="23"/>
        <v>Yes</v>
      </c>
    </row>
    <row r="1457" spans="1:18" x14ac:dyDescent="0.35">
      <c r="A1457" s="1">
        <v>40383</v>
      </c>
      <c r="B1457">
        <v>0</v>
      </c>
      <c r="C1457" t="s">
        <v>72</v>
      </c>
      <c r="D1457" t="s">
        <v>50</v>
      </c>
      <c r="E1457" t="s">
        <v>18</v>
      </c>
      <c r="F1457">
        <v>97</v>
      </c>
      <c r="G1457" t="s">
        <v>17</v>
      </c>
      <c r="H1457" t="s">
        <v>18</v>
      </c>
      <c r="I1457">
        <v>97</v>
      </c>
      <c r="J1457">
        <v>10</v>
      </c>
      <c r="K1457">
        <v>5</v>
      </c>
      <c r="L1457">
        <v>54</v>
      </c>
      <c r="M1457" t="s">
        <v>20</v>
      </c>
      <c r="N1457" t="s">
        <v>65</v>
      </c>
      <c r="O1457">
        <v>30245</v>
      </c>
      <c r="P1457">
        <v>181</v>
      </c>
      <c r="Q1457" t="s">
        <v>50</v>
      </c>
      <c r="R1457" t="str">
        <f t="shared" si="23"/>
        <v>No</v>
      </c>
    </row>
    <row r="1458" spans="1:18" x14ac:dyDescent="0.35">
      <c r="A1458" s="1">
        <v>40383</v>
      </c>
      <c r="B1458">
        <v>0</v>
      </c>
      <c r="C1458" t="s">
        <v>72</v>
      </c>
      <c r="D1458" t="s">
        <v>53</v>
      </c>
      <c r="E1458" t="s">
        <v>18</v>
      </c>
      <c r="F1458">
        <v>99</v>
      </c>
      <c r="G1458" t="s">
        <v>66</v>
      </c>
      <c r="H1458" t="s">
        <v>18</v>
      </c>
      <c r="I1458">
        <v>97</v>
      </c>
      <c r="J1458">
        <v>7</v>
      </c>
      <c r="K1458">
        <v>0</v>
      </c>
      <c r="L1458">
        <v>54</v>
      </c>
      <c r="M1458" t="s">
        <v>20</v>
      </c>
      <c r="N1458" t="s">
        <v>67</v>
      </c>
      <c r="O1458">
        <v>31552</v>
      </c>
      <c r="P1458">
        <v>136</v>
      </c>
      <c r="Q1458" t="s">
        <v>53</v>
      </c>
      <c r="R1458" t="str">
        <f t="shared" si="23"/>
        <v>No</v>
      </c>
    </row>
    <row r="1459" spans="1:18" x14ac:dyDescent="0.35">
      <c r="A1459" s="1">
        <v>40383</v>
      </c>
      <c r="B1459">
        <v>0</v>
      </c>
      <c r="C1459" t="s">
        <v>72</v>
      </c>
      <c r="D1459" t="s">
        <v>19</v>
      </c>
      <c r="E1459" t="s">
        <v>18</v>
      </c>
      <c r="F1459">
        <v>98</v>
      </c>
      <c r="G1459" t="s">
        <v>22</v>
      </c>
      <c r="H1459" t="s">
        <v>18</v>
      </c>
      <c r="I1459">
        <v>98</v>
      </c>
      <c r="J1459">
        <v>2</v>
      </c>
      <c r="K1459">
        <v>3</v>
      </c>
      <c r="L1459">
        <v>76</v>
      </c>
      <c r="M1459" t="s">
        <v>38</v>
      </c>
      <c r="N1459" t="s">
        <v>85</v>
      </c>
      <c r="O1459">
        <v>43506</v>
      </c>
      <c r="P1459">
        <v>255</v>
      </c>
      <c r="Q1459" t="s">
        <v>22</v>
      </c>
      <c r="R1459" t="str">
        <f t="shared" si="23"/>
        <v>Yes</v>
      </c>
    </row>
    <row r="1460" spans="1:18" x14ac:dyDescent="0.35">
      <c r="A1460" s="1">
        <v>40383</v>
      </c>
      <c r="B1460">
        <v>0</v>
      </c>
      <c r="C1460" t="s">
        <v>72</v>
      </c>
      <c r="D1460" t="s">
        <v>26</v>
      </c>
      <c r="E1460" t="s">
        <v>18</v>
      </c>
      <c r="F1460">
        <v>98</v>
      </c>
      <c r="G1460" t="s">
        <v>68</v>
      </c>
      <c r="H1460" t="s">
        <v>18</v>
      </c>
      <c r="I1460">
        <v>99</v>
      </c>
      <c r="J1460">
        <v>3</v>
      </c>
      <c r="K1460">
        <v>4</v>
      </c>
      <c r="L1460">
        <v>52</v>
      </c>
      <c r="M1460" t="s">
        <v>20</v>
      </c>
      <c r="N1460" t="s">
        <v>69</v>
      </c>
      <c r="O1460">
        <v>41987</v>
      </c>
      <c r="P1460">
        <v>206</v>
      </c>
      <c r="Q1460" t="s">
        <v>68</v>
      </c>
      <c r="R1460" t="str">
        <f t="shared" si="23"/>
        <v>Yes</v>
      </c>
    </row>
    <row r="1461" spans="1:18" x14ac:dyDescent="0.35">
      <c r="A1461" s="1">
        <v>40383</v>
      </c>
      <c r="B1461">
        <v>0</v>
      </c>
      <c r="C1461" t="s">
        <v>72</v>
      </c>
      <c r="D1461" t="s">
        <v>63</v>
      </c>
      <c r="E1461" t="s">
        <v>18</v>
      </c>
      <c r="F1461">
        <v>97</v>
      </c>
      <c r="G1461" t="s">
        <v>25</v>
      </c>
      <c r="H1461" t="s">
        <v>18</v>
      </c>
      <c r="I1461">
        <v>97</v>
      </c>
      <c r="J1461">
        <v>2</v>
      </c>
      <c r="K1461">
        <v>10</v>
      </c>
      <c r="L1461">
        <v>51</v>
      </c>
      <c r="M1461" t="s">
        <v>38</v>
      </c>
      <c r="N1461" t="s">
        <v>80</v>
      </c>
      <c r="O1461">
        <v>44781</v>
      </c>
      <c r="P1461">
        <v>181</v>
      </c>
      <c r="Q1461" t="s">
        <v>25</v>
      </c>
      <c r="R1461" t="str">
        <f t="shared" si="23"/>
        <v>Yes</v>
      </c>
    </row>
    <row r="1462" spans="1:18" x14ac:dyDescent="0.35">
      <c r="A1462" s="1">
        <v>40383</v>
      </c>
      <c r="B1462">
        <v>0</v>
      </c>
      <c r="C1462" t="s">
        <v>72</v>
      </c>
      <c r="D1462" t="s">
        <v>62</v>
      </c>
      <c r="E1462" t="s">
        <v>18</v>
      </c>
      <c r="F1462">
        <v>96</v>
      </c>
      <c r="G1462" t="s">
        <v>23</v>
      </c>
      <c r="H1462" t="s">
        <v>18</v>
      </c>
      <c r="I1462">
        <v>97</v>
      </c>
      <c r="J1462">
        <v>9</v>
      </c>
      <c r="K1462">
        <v>2</v>
      </c>
      <c r="L1462">
        <v>54</v>
      </c>
      <c r="M1462" t="s">
        <v>20</v>
      </c>
      <c r="N1462" t="s">
        <v>24</v>
      </c>
      <c r="O1462">
        <v>36967</v>
      </c>
      <c r="P1462">
        <v>184</v>
      </c>
      <c r="Q1462" t="s">
        <v>62</v>
      </c>
      <c r="R1462" t="str">
        <f t="shared" si="23"/>
        <v>No</v>
      </c>
    </row>
    <row r="1463" spans="1:18" x14ac:dyDescent="0.35">
      <c r="A1463" s="1">
        <v>40384</v>
      </c>
      <c r="B1463">
        <v>0</v>
      </c>
      <c r="C1463" t="s">
        <v>73</v>
      </c>
      <c r="D1463" t="s">
        <v>29</v>
      </c>
      <c r="E1463" t="s">
        <v>30</v>
      </c>
      <c r="F1463">
        <v>99</v>
      </c>
      <c r="G1463" t="s">
        <v>43</v>
      </c>
      <c r="H1463" t="s">
        <v>30</v>
      </c>
      <c r="I1463">
        <v>98</v>
      </c>
      <c r="J1463">
        <v>10</v>
      </c>
      <c r="K1463">
        <v>4</v>
      </c>
      <c r="L1463">
        <v>54</v>
      </c>
      <c r="M1463" t="s">
        <v>38</v>
      </c>
      <c r="N1463" t="s">
        <v>56</v>
      </c>
      <c r="O1463">
        <v>17408</v>
      </c>
      <c r="P1463">
        <v>160</v>
      </c>
      <c r="Q1463" t="s">
        <v>29</v>
      </c>
      <c r="R1463" t="str">
        <f t="shared" si="23"/>
        <v>No</v>
      </c>
    </row>
    <row r="1464" spans="1:18" x14ac:dyDescent="0.35">
      <c r="A1464" s="1">
        <v>40384</v>
      </c>
      <c r="B1464">
        <v>0</v>
      </c>
      <c r="C1464" t="s">
        <v>73</v>
      </c>
      <c r="D1464" t="s">
        <v>44</v>
      </c>
      <c r="E1464" t="s">
        <v>30</v>
      </c>
      <c r="F1464">
        <v>97</v>
      </c>
      <c r="G1464" t="s">
        <v>33</v>
      </c>
      <c r="H1464" t="s">
        <v>30</v>
      </c>
      <c r="I1464">
        <v>98</v>
      </c>
      <c r="J1464">
        <v>4</v>
      </c>
      <c r="K1464">
        <v>2</v>
      </c>
      <c r="L1464">
        <v>54</v>
      </c>
      <c r="M1464" t="s">
        <v>38</v>
      </c>
      <c r="N1464" t="s">
        <v>75</v>
      </c>
      <c r="O1464">
        <v>13410</v>
      </c>
      <c r="P1464">
        <v>177</v>
      </c>
      <c r="Q1464" t="s">
        <v>44</v>
      </c>
      <c r="R1464" t="str">
        <f t="shared" si="23"/>
        <v>No</v>
      </c>
    </row>
    <row r="1465" spans="1:18" x14ac:dyDescent="0.35">
      <c r="A1465" s="1">
        <v>40384</v>
      </c>
      <c r="B1465">
        <v>1</v>
      </c>
      <c r="C1465" t="s">
        <v>73</v>
      </c>
      <c r="D1465" t="s">
        <v>46</v>
      </c>
      <c r="E1465" t="s">
        <v>30</v>
      </c>
      <c r="F1465">
        <v>98</v>
      </c>
      <c r="G1465" t="s">
        <v>36</v>
      </c>
      <c r="H1465" t="s">
        <v>30</v>
      </c>
      <c r="I1465">
        <v>96</v>
      </c>
      <c r="J1465">
        <v>5</v>
      </c>
      <c r="K1465">
        <v>3</v>
      </c>
      <c r="L1465">
        <v>54</v>
      </c>
      <c r="M1465" t="s">
        <v>38</v>
      </c>
      <c r="N1465" t="s">
        <v>57</v>
      </c>
      <c r="O1465">
        <v>38526</v>
      </c>
      <c r="P1465">
        <v>156</v>
      </c>
      <c r="Q1465" t="s">
        <v>46</v>
      </c>
      <c r="R1465" t="str">
        <f t="shared" si="23"/>
        <v>No</v>
      </c>
    </row>
    <row r="1466" spans="1:18" x14ac:dyDescent="0.35">
      <c r="A1466" s="1">
        <v>40384</v>
      </c>
      <c r="B1466">
        <v>2</v>
      </c>
      <c r="C1466" t="s">
        <v>73</v>
      </c>
      <c r="D1466" t="s">
        <v>46</v>
      </c>
      <c r="E1466" t="s">
        <v>30</v>
      </c>
      <c r="F1466">
        <v>99</v>
      </c>
      <c r="G1466" t="s">
        <v>36</v>
      </c>
      <c r="H1466" t="s">
        <v>30</v>
      </c>
      <c r="I1466">
        <v>97</v>
      </c>
      <c r="J1466">
        <v>5</v>
      </c>
      <c r="K1466">
        <v>6</v>
      </c>
      <c r="L1466">
        <v>51</v>
      </c>
      <c r="M1466" t="s">
        <v>20</v>
      </c>
      <c r="N1466" t="s">
        <v>57</v>
      </c>
      <c r="O1466">
        <v>37093</v>
      </c>
      <c r="P1466">
        <v>171</v>
      </c>
      <c r="Q1466" t="s">
        <v>36</v>
      </c>
      <c r="R1466" t="str">
        <f t="shared" si="23"/>
        <v>Yes</v>
      </c>
    </row>
    <row r="1467" spans="1:18" x14ac:dyDescent="0.35">
      <c r="A1467" s="1">
        <v>40384</v>
      </c>
      <c r="B1467">
        <v>0</v>
      </c>
      <c r="C1467" t="s">
        <v>73</v>
      </c>
      <c r="D1467" t="s">
        <v>37</v>
      </c>
      <c r="E1467" t="s">
        <v>30</v>
      </c>
      <c r="F1467">
        <v>98</v>
      </c>
      <c r="G1467" t="s">
        <v>59</v>
      </c>
      <c r="H1467" t="s">
        <v>30</v>
      </c>
      <c r="I1467">
        <v>97</v>
      </c>
      <c r="J1467">
        <v>6</v>
      </c>
      <c r="K1467">
        <v>12</v>
      </c>
      <c r="L1467">
        <v>51</v>
      </c>
      <c r="M1467" t="s">
        <v>38</v>
      </c>
      <c r="N1467" t="s">
        <v>84</v>
      </c>
      <c r="O1467">
        <v>47890</v>
      </c>
      <c r="P1467">
        <v>193</v>
      </c>
      <c r="Q1467" t="s">
        <v>59</v>
      </c>
      <c r="R1467" t="str">
        <f t="shared" si="23"/>
        <v>Yes</v>
      </c>
    </row>
    <row r="1468" spans="1:18" x14ac:dyDescent="0.35">
      <c r="A1468" s="1">
        <v>40384</v>
      </c>
      <c r="B1468">
        <v>0</v>
      </c>
      <c r="C1468" t="s">
        <v>73</v>
      </c>
      <c r="D1468" t="s">
        <v>34</v>
      </c>
      <c r="E1468" t="s">
        <v>30</v>
      </c>
      <c r="F1468">
        <v>97</v>
      </c>
      <c r="G1468" t="s">
        <v>41</v>
      </c>
      <c r="H1468" t="s">
        <v>30</v>
      </c>
      <c r="I1468">
        <v>98</v>
      </c>
      <c r="J1468">
        <v>4</v>
      </c>
      <c r="K1468">
        <v>6</v>
      </c>
      <c r="L1468">
        <v>51</v>
      </c>
      <c r="M1468" t="s">
        <v>38</v>
      </c>
      <c r="N1468" t="s">
        <v>42</v>
      </c>
      <c r="O1468">
        <v>17148</v>
      </c>
      <c r="P1468">
        <v>166</v>
      </c>
      <c r="Q1468" t="s">
        <v>41</v>
      </c>
      <c r="R1468" t="str">
        <f t="shared" si="23"/>
        <v>Yes</v>
      </c>
    </row>
    <row r="1469" spans="1:18" x14ac:dyDescent="0.35">
      <c r="A1469" s="1">
        <v>40384</v>
      </c>
      <c r="B1469">
        <v>0</v>
      </c>
      <c r="C1469" t="s">
        <v>73</v>
      </c>
      <c r="D1469" t="s">
        <v>58</v>
      </c>
      <c r="E1469" t="s">
        <v>30</v>
      </c>
      <c r="F1469">
        <v>99</v>
      </c>
      <c r="G1469" t="s">
        <v>40</v>
      </c>
      <c r="H1469" t="s">
        <v>30</v>
      </c>
      <c r="I1469">
        <v>99</v>
      </c>
      <c r="J1469">
        <v>2</v>
      </c>
      <c r="K1469">
        <v>4</v>
      </c>
      <c r="L1469">
        <v>51</v>
      </c>
      <c r="M1469" t="s">
        <v>38</v>
      </c>
      <c r="N1469" t="s">
        <v>77</v>
      </c>
      <c r="O1469">
        <v>40001</v>
      </c>
      <c r="P1469">
        <v>181</v>
      </c>
      <c r="Q1469" t="s">
        <v>40</v>
      </c>
      <c r="R1469" t="str">
        <f t="shared" si="23"/>
        <v>Yes</v>
      </c>
    </row>
    <row r="1470" spans="1:18" x14ac:dyDescent="0.35">
      <c r="A1470" s="1">
        <v>40384</v>
      </c>
      <c r="B1470">
        <v>0</v>
      </c>
      <c r="C1470" t="s">
        <v>73</v>
      </c>
      <c r="D1470" t="s">
        <v>31</v>
      </c>
      <c r="E1470" t="s">
        <v>30</v>
      </c>
      <c r="F1470">
        <v>101</v>
      </c>
      <c r="G1470" t="s">
        <v>47</v>
      </c>
      <c r="H1470" t="s">
        <v>30</v>
      </c>
      <c r="I1470">
        <v>99</v>
      </c>
      <c r="J1470">
        <v>4</v>
      </c>
      <c r="K1470">
        <v>6</v>
      </c>
      <c r="L1470">
        <v>51</v>
      </c>
      <c r="M1470" t="s">
        <v>20</v>
      </c>
      <c r="N1470" t="s">
        <v>48</v>
      </c>
      <c r="O1470">
        <v>38320</v>
      </c>
      <c r="P1470">
        <v>169</v>
      </c>
      <c r="Q1470" t="s">
        <v>47</v>
      </c>
      <c r="R1470" t="str">
        <f t="shared" si="23"/>
        <v>Yes</v>
      </c>
    </row>
    <row r="1471" spans="1:18" x14ac:dyDescent="0.35">
      <c r="A1471" s="1">
        <v>40384</v>
      </c>
      <c r="B1471">
        <v>0</v>
      </c>
      <c r="C1471" t="s">
        <v>73</v>
      </c>
      <c r="D1471" t="s">
        <v>70</v>
      </c>
      <c r="E1471" t="s">
        <v>18</v>
      </c>
      <c r="F1471">
        <v>99</v>
      </c>
      <c r="G1471" t="s">
        <v>60</v>
      </c>
      <c r="H1471" t="s">
        <v>18</v>
      </c>
      <c r="I1471">
        <v>99</v>
      </c>
      <c r="J1471">
        <v>3</v>
      </c>
      <c r="K1471">
        <v>2</v>
      </c>
      <c r="L1471">
        <v>60</v>
      </c>
      <c r="M1471" t="s">
        <v>38</v>
      </c>
      <c r="N1471" t="s">
        <v>61</v>
      </c>
      <c r="O1471">
        <v>31278</v>
      </c>
      <c r="P1471">
        <v>195</v>
      </c>
      <c r="Q1471" t="s">
        <v>70</v>
      </c>
      <c r="R1471" t="str">
        <f t="shared" si="23"/>
        <v>No</v>
      </c>
    </row>
    <row r="1472" spans="1:18" x14ac:dyDescent="0.35">
      <c r="A1472" s="1">
        <v>40384</v>
      </c>
      <c r="B1472">
        <v>0</v>
      </c>
      <c r="C1472" t="s">
        <v>73</v>
      </c>
      <c r="D1472" t="s">
        <v>52</v>
      </c>
      <c r="E1472" t="s">
        <v>18</v>
      </c>
      <c r="F1472">
        <v>99</v>
      </c>
      <c r="G1472" t="s">
        <v>49</v>
      </c>
      <c r="H1472" t="s">
        <v>18</v>
      </c>
      <c r="I1472">
        <v>99</v>
      </c>
      <c r="J1472">
        <v>4</v>
      </c>
      <c r="K1472">
        <v>3</v>
      </c>
      <c r="L1472">
        <v>66</v>
      </c>
      <c r="M1472" t="s">
        <v>20</v>
      </c>
      <c r="N1472" t="s">
        <v>79</v>
      </c>
      <c r="O1472">
        <v>41406</v>
      </c>
      <c r="P1472">
        <v>221</v>
      </c>
      <c r="Q1472" t="s">
        <v>52</v>
      </c>
      <c r="R1472" t="str">
        <f t="shared" si="23"/>
        <v>No</v>
      </c>
    </row>
    <row r="1473" spans="1:18" x14ac:dyDescent="0.35">
      <c r="A1473" s="1">
        <v>40384</v>
      </c>
      <c r="B1473">
        <v>0</v>
      </c>
      <c r="C1473" t="s">
        <v>73</v>
      </c>
      <c r="D1473" t="s">
        <v>50</v>
      </c>
      <c r="E1473" t="s">
        <v>18</v>
      </c>
      <c r="F1473">
        <v>98</v>
      </c>
      <c r="G1473" t="s">
        <v>17</v>
      </c>
      <c r="H1473" t="s">
        <v>18</v>
      </c>
      <c r="I1473">
        <v>98</v>
      </c>
      <c r="J1473">
        <v>4</v>
      </c>
      <c r="K1473">
        <v>5</v>
      </c>
      <c r="L1473">
        <v>63</v>
      </c>
      <c r="M1473" t="s">
        <v>38</v>
      </c>
      <c r="N1473" t="s">
        <v>65</v>
      </c>
      <c r="O1473">
        <v>17321</v>
      </c>
      <c r="P1473">
        <v>202</v>
      </c>
      <c r="Q1473" t="s">
        <v>17</v>
      </c>
      <c r="R1473" t="str">
        <f t="shared" si="23"/>
        <v>Yes</v>
      </c>
    </row>
    <row r="1474" spans="1:18" x14ac:dyDescent="0.35">
      <c r="A1474" s="1">
        <v>40384</v>
      </c>
      <c r="B1474">
        <v>0</v>
      </c>
      <c r="C1474" t="s">
        <v>73</v>
      </c>
      <c r="D1474" t="s">
        <v>53</v>
      </c>
      <c r="E1474" t="s">
        <v>18</v>
      </c>
      <c r="F1474">
        <v>100</v>
      </c>
      <c r="G1474" t="s">
        <v>66</v>
      </c>
      <c r="H1474" t="s">
        <v>18</v>
      </c>
      <c r="I1474">
        <v>98</v>
      </c>
      <c r="J1474">
        <v>0</v>
      </c>
      <c r="K1474">
        <v>4</v>
      </c>
      <c r="L1474">
        <v>51</v>
      </c>
      <c r="M1474" t="s">
        <v>38</v>
      </c>
      <c r="N1474" t="s">
        <v>67</v>
      </c>
      <c r="O1474">
        <v>25705</v>
      </c>
      <c r="P1474">
        <v>145</v>
      </c>
      <c r="Q1474" t="s">
        <v>66</v>
      </c>
      <c r="R1474" t="str">
        <f t="shared" si="23"/>
        <v>Yes</v>
      </c>
    </row>
    <row r="1475" spans="1:18" x14ac:dyDescent="0.35">
      <c r="A1475" s="1">
        <v>40384</v>
      </c>
      <c r="B1475">
        <v>0</v>
      </c>
      <c r="C1475" t="s">
        <v>73</v>
      </c>
      <c r="D1475" t="s">
        <v>19</v>
      </c>
      <c r="E1475" t="s">
        <v>18</v>
      </c>
      <c r="F1475">
        <v>99</v>
      </c>
      <c r="G1475" t="s">
        <v>22</v>
      </c>
      <c r="H1475" t="s">
        <v>18</v>
      </c>
      <c r="I1475">
        <v>99</v>
      </c>
      <c r="J1475">
        <v>0</v>
      </c>
      <c r="K1475">
        <v>1</v>
      </c>
      <c r="L1475">
        <v>51</v>
      </c>
      <c r="M1475" t="s">
        <v>38</v>
      </c>
      <c r="N1475" t="s">
        <v>85</v>
      </c>
      <c r="O1475">
        <v>39897</v>
      </c>
      <c r="P1475">
        <v>143</v>
      </c>
      <c r="Q1475" t="s">
        <v>22</v>
      </c>
      <c r="R1475" t="str">
        <f t="shared" ref="R1475:R1538" si="24">IF(K1475&gt;J1475,"Yes","No")</f>
        <v>Yes</v>
      </c>
    </row>
    <row r="1476" spans="1:18" x14ac:dyDescent="0.35">
      <c r="A1476" s="1">
        <v>40384</v>
      </c>
      <c r="B1476">
        <v>0</v>
      </c>
      <c r="C1476" t="s">
        <v>73</v>
      </c>
      <c r="D1476" t="s">
        <v>26</v>
      </c>
      <c r="E1476" t="s">
        <v>18</v>
      </c>
      <c r="F1476">
        <v>99</v>
      </c>
      <c r="G1476" t="s">
        <v>68</v>
      </c>
      <c r="H1476" t="s">
        <v>18</v>
      </c>
      <c r="I1476">
        <v>100</v>
      </c>
      <c r="J1476">
        <v>3</v>
      </c>
      <c r="K1476">
        <v>8</v>
      </c>
      <c r="L1476">
        <v>51</v>
      </c>
      <c r="M1476" t="s">
        <v>38</v>
      </c>
      <c r="N1476" t="s">
        <v>69</v>
      </c>
      <c r="O1476">
        <v>42414</v>
      </c>
      <c r="P1476">
        <v>181</v>
      </c>
      <c r="Q1476" t="s">
        <v>68</v>
      </c>
      <c r="R1476" t="str">
        <f t="shared" si="24"/>
        <v>Yes</v>
      </c>
    </row>
    <row r="1477" spans="1:18" x14ac:dyDescent="0.35">
      <c r="A1477" s="1">
        <v>40384</v>
      </c>
      <c r="B1477">
        <v>0</v>
      </c>
      <c r="C1477" t="s">
        <v>73</v>
      </c>
      <c r="D1477" t="s">
        <v>63</v>
      </c>
      <c r="E1477" t="s">
        <v>18</v>
      </c>
      <c r="F1477">
        <v>98</v>
      </c>
      <c r="G1477" t="s">
        <v>25</v>
      </c>
      <c r="H1477" t="s">
        <v>18</v>
      </c>
      <c r="I1477">
        <v>98</v>
      </c>
      <c r="J1477">
        <v>3</v>
      </c>
      <c r="K1477">
        <v>4</v>
      </c>
      <c r="L1477">
        <v>51</v>
      </c>
      <c r="M1477" t="s">
        <v>38</v>
      </c>
      <c r="N1477" t="s">
        <v>80</v>
      </c>
      <c r="O1477">
        <v>44726</v>
      </c>
      <c r="P1477">
        <v>200</v>
      </c>
      <c r="Q1477" t="s">
        <v>25</v>
      </c>
      <c r="R1477" t="str">
        <f t="shared" si="24"/>
        <v>Yes</v>
      </c>
    </row>
    <row r="1478" spans="1:18" x14ac:dyDescent="0.35">
      <c r="A1478" s="1">
        <v>40384</v>
      </c>
      <c r="B1478">
        <v>0</v>
      </c>
      <c r="C1478" t="s">
        <v>73</v>
      </c>
      <c r="D1478" t="s">
        <v>62</v>
      </c>
      <c r="E1478" t="s">
        <v>18</v>
      </c>
      <c r="F1478">
        <v>97</v>
      </c>
      <c r="G1478" t="s">
        <v>23</v>
      </c>
      <c r="H1478" t="s">
        <v>18</v>
      </c>
      <c r="I1478">
        <v>98</v>
      </c>
      <c r="J1478">
        <v>6</v>
      </c>
      <c r="K1478">
        <v>3</v>
      </c>
      <c r="L1478">
        <v>54</v>
      </c>
      <c r="M1478" t="s">
        <v>38</v>
      </c>
      <c r="N1478" t="s">
        <v>24</v>
      </c>
      <c r="O1478">
        <v>18800</v>
      </c>
      <c r="P1478">
        <v>165</v>
      </c>
      <c r="Q1478" t="s">
        <v>62</v>
      </c>
      <c r="R1478" t="str">
        <f t="shared" si="24"/>
        <v>No</v>
      </c>
    </row>
    <row r="1479" spans="1:18" x14ac:dyDescent="0.35">
      <c r="A1479" s="1">
        <v>40385</v>
      </c>
      <c r="B1479">
        <v>0</v>
      </c>
      <c r="C1479" t="s">
        <v>74</v>
      </c>
      <c r="D1479" t="s">
        <v>58</v>
      </c>
      <c r="E1479" t="s">
        <v>30</v>
      </c>
      <c r="F1479">
        <v>100</v>
      </c>
      <c r="G1479" t="s">
        <v>31</v>
      </c>
      <c r="H1479" t="s">
        <v>30</v>
      </c>
      <c r="I1479">
        <v>102</v>
      </c>
      <c r="J1479">
        <v>6</v>
      </c>
      <c r="K1479">
        <v>3</v>
      </c>
      <c r="L1479">
        <v>54</v>
      </c>
      <c r="M1479" t="s">
        <v>20</v>
      </c>
      <c r="N1479" t="s">
        <v>32</v>
      </c>
      <c r="O1479">
        <v>40364</v>
      </c>
      <c r="P1479">
        <v>201</v>
      </c>
      <c r="Q1479" t="s">
        <v>58</v>
      </c>
      <c r="R1479" t="str">
        <f t="shared" si="24"/>
        <v>No</v>
      </c>
    </row>
    <row r="1480" spans="1:18" x14ac:dyDescent="0.35">
      <c r="A1480" s="1">
        <v>40385</v>
      </c>
      <c r="B1480">
        <v>0</v>
      </c>
      <c r="C1480" t="s">
        <v>74</v>
      </c>
      <c r="D1480" t="s">
        <v>40</v>
      </c>
      <c r="E1480" t="s">
        <v>30</v>
      </c>
      <c r="F1480">
        <v>100</v>
      </c>
      <c r="G1480" t="s">
        <v>34</v>
      </c>
      <c r="H1480" t="s">
        <v>30</v>
      </c>
      <c r="I1480">
        <v>98</v>
      </c>
      <c r="J1480">
        <v>1</v>
      </c>
      <c r="K1480">
        <v>6</v>
      </c>
      <c r="L1480">
        <v>51</v>
      </c>
      <c r="M1480" t="s">
        <v>20</v>
      </c>
      <c r="N1480" t="s">
        <v>35</v>
      </c>
      <c r="O1480">
        <v>38815</v>
      </c>
      <c r="P1480">
        <v>144</v>
      </c>
      <c r="Q1480" t="s">
        <v>34</v>
      </c>
      <c r="R1480" t="str">
        <f t="shared" si="24"/>
        <v>Yes</v>
      </c>
    </row>
    <row r="1481" spans="1:18" x14ac:dyDescent="0.35">
      <c r="A1481" s="1">
        <v>40385</v>
      </c>
      <c r="B1481">
        <v>0</v>
      </c>
      <c r="C1481" t="s">
        <v>74</v>
      </c>
      <c r="D1481" t="s">
        <v>59</v>
      </c>
      <c r="E1481" t="s">
        <v>30</v>
      </c>
      <c r="F1481">
        <v>98</v>
      </c>
      <c r="G1481" t="s">
        <v>33</v>
      </c>
      <c r="H1481" t="s">
        <v>30</v>
      </c>
      <c r="I1481">
        <v>99</v>
      </c>
      <c r="J1481">
        <v>3</v>
      </c>
      <c r="K1481">
        <v>2</v>
      </c>
      <c r="L1481">
        <v>54</v>
      </c>
      <c r="M1481" t="s">
        <v>20</v>
      </c>
      <c r="N1481" t="s">
        <v>75</v>
      </c>
      <c r="O1481">
        <v>27224</v>
      </c>
      <c r="P1481">
        <v>163</v>
      </c>
      <c r="Q1481" t="s">
        <v>59</v>
      </c>
      <c r="R1481" t="str">
        <f t="shared" si="24"/>
        <v>No</v>
      </c>
    </row>
    <row r="1482" spans="1:18" x14ac:dyDescent="0.35">
      <c r="A1482" s="1">
        <v>40385</v>
      </c>
      <c r="B1482">
        <v>0</v>
      </c>
      <c r="C1482" t="s">
        <v>74</v>
      </c>
      <c r="D1482" t="s">
        <v>29</v>
      </c>
      <c r="E1482" t="s">
        <v>30</v>
      </c>
      <c r="F1482">
        <v>100</v>
      </c>
      <c r="G1482" t="s">
        <v>37</v>
      </c>
      <c r="H1482" t="s">
        <v>30</v>
      </c>
      <c r="I1482">
        <v>99</v>
      </c>
      <c r="J1482">
        <v>19</v>
      </c>
      <c r="K1482">
        <v>1</v>
      </c>
      <c r="L1482">
        <v>54</v>
      </c>
      <c r="M1482" t="s">
        <v>20</v>
      </c>
      <c r="N1482" t="s">
        <v>39</v>
      </c>
      <c r="O1482">
        <v>19306</v>
      </c>
      <c r="P1482">
        <v>181</v>
      </c>
      <c r="Q1482" t="s">
        <v>29</v>
      </c>
      <c r="R1482" t="str">
        <f t="shared" si="24"/>
        <v>No</v>
      </c>
    </row>
    <row r="1483" spans="1:18" x14ac:dyDescent="0.35">
      <c r="A1483" s="1">
        <v>40385</v>
      </c>
      <c r="B1483">
        <v>0</v>
      </c>
      <c r="C1483" t="s">
        <v>74</v>
      </c>
      <c r="D1483" t="s">
        <v>36</v>
      </c>
      <c r="E1483" t="s">
        <v>30</v>
      </c>
      <c r="F1483">
        <v>98</v>
      </c>
      <c r="G1483" t="s">
        <v>44</v>
      </c>
      <c r="H1483" t="s">
        <v>30</v>
      </c>
      <c r="I1483">
        <v>98</v>
      </c>
      <c r="J1483">
        <v>0</v>
      </c>
      <c r="K1483">
        <v>5</v>
      </c>
      <c r="L1483">
        <v>51</v>
      </c>
      <c r="M1483" t="s">
        <v>20</v>
      </c>
      <c r="N1483" t="s">
        <v>45</v>
      </c>
      <c r="O1483">
        <v>17009</v>
      </c>
      <c r="P1483">
        <v>156</v>
      </c>
      <c r="Q1483" t="s">
        <v>44</v>
      </c>
      <c r="R1483" t="str">
        <f t="shared" si="24"/>
        <v>Yes</v>
      </c>
    </row>
    <row r="1484" spans="1:18" x14ac:dyDescent="0.35">
      <c r="A1484" s="1">
        <v>40385</v>
      </c>
      <c r="B1484">
        <v>0</v>
      </c>
      <c r="C1484" t="s">
        <v>74</v>
      </c>
      <c r="D1484" t="s">
        <v>43</v>
      </c>
      <c r="E1484" t="s">
        <v>30</v>
      </c>
      <c r="F1484">
        <v>99</v>
      </c>
      <c r="G1484" t="s">
        <v>46</v>
      </c>
      <c r="H1484" t="s">
        <v>30</v>
      </c>
      <c r="I1484">
        <v>100</v>
      </c>
      <c r="J1484">
        <v>5</v>
      </c>
      <c r="K1484">
        <v>9</v>
      </c>
      <c r="L1484">
        <v>51</v>
      </c>
      <c r="M1484" t="s">
        <v>20</v>
      </c>
      <c r="N1484" t="s">
        <v>78</v>
      </c>
      <c r="O1484">
        <v>17422</v>
      </c>
      <c r="P1484">
        <v>159</v>
      </c>
      <c r="Q1484" t="s">
        <v>46</v>
      </c>
      <c r="R1484" t="str">
        <f t="shared" si="24"/>
        <v>Yes</v>
      </c>
    </row>
    <row r="1485" spans="1:18" x14ac:dyDescent="0.35">
      <c r="A1485" s="1">
        <v>40385</v>
      </c>
      <c r="B1485">
        <v>0</v>
      </c>
      <c r="C1485" t="s">
        <v>74</v>
      </c>
      <c r="D1485" t="s">
        <v>49</v>
      </c>
      <c r="E1485" t="s">
        <v>18</v>
      </c>
      <c r="F1485">
        <v>100</v>
      </c>
      <c r="G1485" t="s">
        <v>66</v>
      </c>
      <c r="H1485" t="s">
        <v>18</v>
      </c>
      <c r="I1485">
        <v>99</v>
      </c>
      <c r="J1485">
        <v>5</v>
      </c>
      <c r="K1485">
        <v>2</v>
      </c>
      <c r="L1485">
        <v>54</v>
      </c>
      <c r="M1485" t="s">
        <v>20</v>
      </c>
      <c r="N1485" t="s">
        <v>67</v>
      </c>
      <c r="O1485">
        <v>25037</v>
      </c>
      <c r="P1485">
        <v>180</v>
      </c>
      <c r="Q1485" t="s">
        <v>49</v>
      </c>
      <c r="R1485" t="str">
        <f t="shared" si="24"/>
        <v>No</v>
      </c>
    </row>
    <row r="1486" spans="1:18" x14ac:dyDescent="0.35">
      <c r="A1486" s="1">
        <v>40385</v>
      </c>
      <c r="B1486">
        <v>0</v>
      </c>
      <c r="C1486" t="s">
        <v>74</v>
      </c>
      <c r="D1486" t="s">
        <v>53</v>
      </c>
      <c r="E1486" t="s">
        <v>18</v>
      </c>
      <c r="F1486">
        <v>101</v>
      </c>
      <c r="G1486" t="s">
        <v>68</v>
      </c>
      <c r="H1486" t="s">
        <v>18</v>
      </c>
      <c r="I1486">
        <v>101</v>
      </c>
      <c r="J1486">
        <v>2</v>
      </c>
      <c r="K1486">
        <v>3</v>
      </c>
      <c r="L1486">
        <v>51</v>
      </c>
      <c r="M1486" t="s">
        <v>20</v>
      </c>
      <c r="N1486" t="s">
        <v>69</v>
      </c>
      <c r="O1486">
        <v>31945</v>
      </c>
      <c r="P1486">
        <v>130</v>
      </c>
      <c r="Q1486" t="s">
        <v>68</v>
      </c>
      <c r="R1486" t="str">
        <f t="shared" si="24"/>
        <v>Yes</v>
      </c>
    </row>
    <row r="1487" spans="1:18" x14ac:dyDescent="0.35">
      <c r="A1487" s="1">
        <v>40385</v>
      </c>
      <c r="B1487">
        <v>0</v>
      </c>
      <c r="C1487" t="s">
        <v>74</v>
      </c>
      <c r="D1487" t="s">
        <v>63</v>
      </c>
      <c r="E1487" t="s">
        <v>18</v>
      </c>
      <c r="F1487">
        <v>99</v>
      </c>
      <c r="G1487" t="s">
        <v>25</v>
      </c>
      <c r="H1487" t="s">
        <v>18</v>
      </c>
      <c r="I1487">
        <v>99</v>
      </c>
      <c r="J1487">
        <v>4</v>
      </c>
      <c r="K1487">
        <v>5</v>
      </c>
      <c r="L1487">
        <v>51</v>
      </c>
      <c r="M1487" t="s">
        <v>38</v>
      </c>
      <c r="N1487" t="s">
        <v>80</v>
      </c>
      <c r="O1487">
        <v>44838</v>
      </c>
      <c r="P1487">
        <v>174</v>
      </c>
      <c r="Q1487" t="s">
        <v>25</v>
      </c>
      <c r="R1487" t="str">
        <f t="shared" si="24"/>
        <v>Yes</v>
      </c>
    </row>
    <row r="1488" spans="1:18" x14ac:dyDescent="0.35">
      <c r="A1488" s="1">
        <v>40385</v>
      </c>
      <c r="B1488">
        <v>0</v>
      </c>
      <c r="C1488" t="s">
        <v>74</v>
      </c>
      <c r="D1488" t="s">
        <v>17</v>
      </c>
      <c r="E1488" t="s">
        <v>18</v>
      </c>
      <c r="F1488">
        <v>99</v>
      </c>
      <c r="G1488" t="s">
        <v>70</v>
      </c>
      <c r="H1488" t="s">
        <v>18</v>
      </c>
      <c r="I1488">
        <v>100</v>
      </c>
      <c r="J1488">
        <v>4</v>
      </c>
      <c r="K1488">
        <v>3</v>
      </c>
      <c r="L1488">
        <v>54</v>
      </c>
      <c r="M1488" t="s">
        <v>20</v>
      </c>
      <c r="N1488" t="s">
        <v>71</v>
      </c>
      <c r="O1488">
        <v>37677</v>
      </c>
      <c r="P1488">
        <v>187</v>
      </c>
      <c r="Q1488" t="s">
        <v>17</v>
      </c>
      <c r="R1488" t="str">
        <f t="shared" si="24"/>
        <v>No</v>
      </c>
    </row>
    <row r="1489" spans="1:18" x14ac:dyDescent="0.35">
      <c r="A1489" s="1">
        <v>40386</v>
      </c>
      <c r="B1489">
        <v>0</v>
      </c>
      <c r="C1489" t="s">
        <v>83</v>
      </c>
      <c r="D1489" t="s">
        <v>58</v>
      </c>
      <c r="E1489" t="s">
        <v>30</v>
      </c>
      <c r="F1489">
        <v>101</v>
      </c>
      <c r="G1489" t="s">
        <v>31</v>
      </c>
      <c r="H1489" t="s">
        <v>30</v>
      </c>
      <c r="I1489">
        <v>103</v>
      </c>
      <c r="J1489">
        <v>4</v>
      </c>
      <c r="K1489">
        <v>2</v>
      </c>
      <c r="L1489">
        <v>54</v>
      </c>
      <c r="M1489" t="s">
        <v>20</v>
      </c>
      <c r="N1489" t="s">
        <v>32</v>
      </c>
      <c r="O1489">
        <v>40120</v>
      </c>
      <c r="P1489">
        <v>184</v>
      </c>
      <c r="Q1489" t="s">
        <v>58</v>
      </c>
      <c r="R1489" t="str">
        <f t="shared" si="24"/>
        <v>No</v>
      </c>
    </row>
    <row r="1490" spans="1:18" x14ac:dyDescent="0.35">
      <c r="A1490" s="1">
        <v>40386</v>
      </c>
      <c r="B1490">
        <v>0</v>
      </c>
      <c r="C1490" t="s">
        <v>83</v>
      </c>
      <c r="D1490" t="s">
        <v>40</v>
      </c>
      <c r="E1490" t="s">
        <v>30</v>
      </c>
      <c r="F1490">
        <v>101</v>
      </c>
      <c r="G1490" t="s">
        <v>34</v>
      </c>
      <c r="H1490" t="s">
        <v>30</v>
      </c>
      <c r="I1490">
        <v>99</v>
      </c>
      <c r="J1490">
        <v>0</v>
      </c>
      <c r="K1490">
        <v>11</v>
      </c>
      <c r="L1490">
        <v>51</v>
      </c>
      <c r="M1490" t="s">
        <v>20</v>
      </c>
      <c r="N1490" t="s">
        <v>35</v>
      </c>
      <c r="O1490">
        <v>26080</v>
      </c>
      <c r="P1490">
        <v>124</v>
      </c>
      <c r="Q1490" t="s">
        <v>34</v>
      </c>
      <c r="R1490" t="str">
        <f t="shared" si="24"/>
        <v>Yes</v>
      </c>
    </row>
    <row r="1491" spans="1:18" x14ac:dyDescent="0.35">
      <c r="A1491" s="1">
        <v>40386</v>
      </c>
      <c r="B1491">
        <v>0</v>
      </c>
      <c r="C1491" t="s">
        <v>83</v>
      </c>
      <c r="D1491" t="s">
        <v>59</v>
      </c>
      <c r="E1491" t="s">
        <v>30</v>
      </c>
      <c r="F1491">
        <v>99</v>
      </c>
      <c r="G1491" t="s">
        <v>33</v>
      </c>
      <c r="H1491" t="s">
        <v>30</v>
      </c>
      <c r="I1491">
        <v>100</v>
      </c>
      <c r="J1491">
        <v>1</v>
      </c>
      <c r="K1491">
        <v>4</v>
      </c>
      <c r="L1491">
        <v>51</v>
      </c>
      <c r="M1491" t="s">
        <v>20</v>
      </c>
      <c r="N1491" t="s">
        <v>75</v>
      </c>
      <c r="O1491">
        <v>27416</v>
      </c>
      <c r="P1491">
        <v>162</v>
      </c>
      <c r="Q1491" t="s">
        <v>33</v>
      </c>
      <c r="R1491" t="str">
        <f t="shared" si="24"/>
        <v>Yes</v>
      </c>
    </row>
    <row r="1492" spans="1:18" x14ac:dyDescent="0.35">
      <c r="A1492" s="1">
        <v>40386</v>
      </c>
      <c r="B1492">
        <v>0</v>
      </c>
      <c r="C1492" t="s">
        <v>83</v>
      </c>
      <c r="D1492" t="s">
        <v>29</v>
      </c>
      <c r="E1492" t="s">
        <v>30</v>
      </c>
      <c r="F1492">
        <v>101</v>
      </c>
      <c r="G1492" t="s">
        <v>37</v>
      </c>
      <c r="H1492" t="s">
        <v>30</v>
      </c>
      <c r="I1492">
        <v>100</v>
      </c>
      <c r="J1492">
        <v>11</v>
      </c>
      <c r="K1492">
        <v>2</v>
      </c>
      <c r="L1492">
        <v>54</v>
      </c>
      <c r="M1492" t="s">
        <v>20</v>
      </c>
      <c r="N1492" t="s">
        <v>39</v>
      </c>
      <c r="O1492">
        <v>16749</v>
      </c>
      <c r="P1492">
        <v>201</v>
      </c>
      <c r="Q1492" t="s">
        <v>29</v>
      </c>
      <c r="R1492" t="str">
        <f t="shared" si="24"/>
        <v>No</v>
      </c>
    </row>
    <row r="1493" spans="1:18" x14ac:dyDescent="0.35">
      <c r="A1493" s="1">
        <v>40386</v>
      </c>
      <c r="B1493">
        <v>0</v>
      </c>
      <c r="C1493" t="s">
        <v>83</v>
      </c>
      <c r="D1493" t="s">
        <v>36</v>
      </c>
      <c r="E1493" t="s">
        <v>30</v>
      </c>
      <c r="F1493">
        <v>99</v>
      </c>
      <c r="G1493" t="s">
        <v>44</v>
      </c>
      <c r="H1493" t="s">
        <v>30</v>
      </c>
      <c r="I1493">
        <v>99</v>
      </c>
      <c r="J1493">
        <v>2</v>
      </c>
      <c r="K1493">
        <v>3</v>
      </c>
      <c r="L1493">
        <v>51</v>
      </c>
      <c r="M1493" t="s">
        <v>20</v>
      </c>
      <c r="N1493" t="s">
        <v>45</v>
      </c>
      <c r="O1493">
        <v>19843</v>
      </c>
      <c r="P1493">
        <v>172</v>
      </c>
      <c r="Q1493" t="s">
        <v>44</v>
      </c>
      <c r="R1493" t="str">
        <f t="shared" si="24"/>
        <v>Yes</v>
      </c>
    </row>
    <row r="1494" spans="1:18" x14ac:dyDescent="0.35">
      <c r="A1494" s="1">
        <v>40386</v>
      </c>
      <c r="B1494">
        <v>0</v>
      </c>
      <c r="C1494" t="s">
        <v>83</v>
      </c>
      <c r="D1494" t="s">
        <v>41</v>
      </c>
      <c r="E1494" t="s">
        <v>30</v>
      </c>
      <c r="F1494">
        <v>99</v>
      </c>
      <c r="G1494" t="s">
        <v>47</v>
      </c>
      <c r="H1494" t="s">
        <v>30</v>
      </c>
      <c r="I1494">
        <v>100</v>
      </c>
      <c r="J1494">
        <v>1</v>
      </c>
      <c r="K1494">
        <v>3</v>
      </c>
      <c r="L1494">
        <v>58</v>
      </c>
      <c r="M1494" t="s">
        <v>20</v>
      </c>
      <c r="N1494" t="s">
        <v>48</v>
      </c>
      <c r="O1494">
        <v>28124</v>
      </c>
      <c r="P1494">
        <v>182</v>
      </c>
      <c r="Q1494" t="s">
        <v>47</v>
      </c>
      <c r="R1494" t="str">
        <f t="shared" si="24"/>
        <v>Yes</v>
      </c>
    </row>
    <row r="1495" spans="1:18" x14ac:dyDescent="0.35">
      <c r="A1495" s="1">
        <v>40386</v>
      </c>
      <c r="B1495">
        <v>0</v>
      </c>
      <c r="C1495" t="s">
        <v>83</v>
      </c>
      <c r="D1495" t="s">
        <v>43</v>
      </c>
      <c r="E1495" t="s">
        <v>30</v>
      </c>
      <c r="F1495">
        <v>100</v>
      </c>
      <c r="G1495" t="s">
        <v>46</v>
      </c>
      <c r="H1495" t="s">
        <v>30</v>
      </c>
      <c r="I1495">
        <v>101</v>
      </c>
      <c r="J1495">
        <v>2</v>
      </c>
      <c r="K1495">
        <v>8</v>
      </c>
      <c r="L1495">
        <v>51</v>
      </c>
      <c r="M1495" t="s">
        <v>20</v>
      </c>
      <c r="N1495" t="s">
        <v>78</v>
      </c>
      <c r="O1495">
        <v>16862</v>
      </c>
      <c r="P1495">
        <v>160</v>
      </c>
      <c r="Q1495" t="s">
        <v>46</v>
      </c>
      <c r="R1495" t="str">
        <f t="shared" si="24"/>
        <v>Yes</v>
      </c>
    </row>
    <row r="1496" spans="1:18" x14ac:dyDescent="0.35">
      <c r="A1496" s="1">
        <v>40386</v>
      </c>
      <c r="B1496">
        <v>0</v>
      </c>
      <c r="C1496" t="s">
        <v>83</v>
      </c>
      <c r="D1496" t="s">
        <v>23</v>
      </c>
      <c r="E1496" t="s">
        <v>18</v>
      </c>
      <c r="F1496">
        <v>99</v>
      </c>
      <c r="G1496" t="s">
        <v>63</v>
      </c>
      <c r="H1496" t="s">
        <v>18</v>
      </c>
      <c r="I1496">
        <v>100</v>
      </c>
      <c r="J1496">
        <v>4</v>
      </c>
      <c r="K1496">
        <v>2</v>
      </c>
      <c r="L1496">
        <v>54</v>
      </c>
      <c r="M1496" t="s">
        <v>20</v>
      </c>
      <c r="N1496" t="s">
        <v>64</v>
      </c>
      <c r="O1496">
        <v>46608</v>
      </c>
      <c r="P1496">
        <v>153</v>
      </c>
      <c r="Q1496" t="s">
        <v>23</v>
      </c>
      <c r="R1496" t="str">
        <f t="shared" si="24"/>
        <v>No</v>
      </c>
    </row>
    <row r="1497" spans="1:18" x14ac:dyDescent="0.35">
      <c r="A1497" s="1">
        <v>40386</v>
      </c>
      <c r="B1497">
        <v>0</v>
      </c>
      <c r="C1497" t="s">
        <v>83</v>
      </c>
      <c r="D1497" t="s">
        <v>49</v>
      </c>
      <c r="E1497" t="s">
        <v>18</v>
      </c>
      <c r="F1497">
        <v>101</v>
      </c>
      <c r="G1497" t="s">
        <v>66</v>
      </c>
      <c r="H1497" t="s">
        <v>18</v>
      </c>
      <c r="I1497">
        <v>100</v>
      </c>
      <c r="J1497">
        <v>1</v>
      </c>
      <c r="K1497">
        <v>6</v>
      </c>
      <c r="L1497">
        <v>51</v>
      </c>
      <c r="M1497" t="s">
        <v>20</v>
      </c>
      <c r="N1497" t="s">
        <v>67</v>
      </c>
      <c r="O1497">
        <v>28047</v>
      </c>
      <c r="P1497">
        <v>162</v>
      </c>
      <c r="Q1497" t="s">
        <v>66</v>
      </c>
      <c r="R1497" t="str">
        <f t="shared" si="24"/>
        <v>Yes</v>
      </c>
    </row>
    <row r="1498" spans="1:18" x14ac:dyDescent="0.35">
      <c r="A1498" s="1">
        <v>40386</v>
      </c>
      <c r="B1498">
        <v>0</v>
      </c>
      <c r="C1498" t="s">
        <v>83</v>
      </c>
      <c r="D1498" t="s">
        <v>53</v>
      </c>
      <c r="E1498" t="s">
        <v>18</v>
      </c>
      <c r="F1498">
        <v>102</v>
      </c>
      <c r="G1498" t="s">
        <v>68</v>
      </c>
      <c r="H1498" t="s">
        <v>18</v>
      </c>
      <c r="I1498">
        <v>102</v>
      </c>
      <c r="J1498">
        <v>12</v>
      </c>
      <c r="K1498">
        <v>4</v>
      </c>
      <c r="L1498">
        <v>54</v>
      </c>
      <c r="M1498" t="s">
        <v>20</v>
      </c>
      <c r="N1498" t="s">
        <v>69</v>
      </c>
      <c r="O1498">
        <v>32286</v>
      </c>
      <c r="P1498">
        <v>221</v>
      </c>
      <c r="Q1498" t="s">
        <v>53</v>
      </c>
      <c r="R1498" t="str">
        <f t="shared" si="24"/>
        <v>No</v>
      </c>
    </row>
    <row r="1499" spans="1:18" x14ac:dyDescent="0.35">
      <c r="A1499" s="1">
        <v>40386</v>
      </c>
      <c r="B1499">
        <v>0</v>
      </c>
      <c r="C1499" t="s">
        <v>83</v>
      </c>
      <c r="D1499" t="s">
        <v>52</v>
      </c>
      <c r="E1499" t="s">
        <v>18</v>
      </c>
      <c r="F1499">
        <v>100</v>
      </c>
      <c r="G1499" t="s">
        <v>19</v>
      </c>
      <c r="H1499" t="s">
        <v>18</v>
      </c>
      <c r="I1499">
        <v>100</v>
      </c>
      <c r="J1499">
        <v>2</v>
      </c>
      <c r="K1499">
        <v>8</v>
      </c>
      <c r="L1499">
        <v>51</v>
      </c>
      <c r="M1499" t="s">
        <v>20</v>
      </c>
      <c r="N1499" t="s">
        <v>21</v>
      </c>
      <c r="O1499">
        <v>37479</v>
      </c>
      <c r="P1499">
        <v>168</v>
      </c>
      <c r="Q1499" t="s">
        <v>19</v>
      </c>
      <c r="R1499" t="str">
        <f t="shared" si="24"/>
        <v>Yes</v>
      </c>
    </row>
    <row r="1500" spans="1:18" x14ac:dyDescent="0.35">
      <c r="A1500" s="1">
        <v>40386</v>
      </c>
      <c r="B1500">
        <v>0</v>
      </c>
      <c r="C1500" t="s">
        <v>83</v>
      </c>
      <c r="D1500" t="s">
        <v>60</v>
      </c>
      <c r="E1500" t="s">
        <v>18</v>
      </c>
      <c r="F1500">
        <v>100</v>
      </c>
      <c r="G1500" t="s">
        <v>25</v>
      </c>
      <c r="H1500" t="s">
        <v>18</v>
      </c>
      <c r="I1500">
        <v>100</v>
      </c>
      <c r="J1500">
        <v>5</v>
      </c>
      <c r="K1500">
        <v>9</v>
      </c>
      <c r="L1500">
        <v>51</v>
      </c>
      <c r="M1500" t="s">
        <v>20</v>
      </c>
      <c r="N1500" t="s">
        <v>80</v>
      </c>
      <c r="O1500">
        <v>44379</v>
      </c>
      <c r="P1500">
        <v>193</v>
      </c>
      <c r="Q1500" t="s">
        <v>25</v>
      </c>
      <c r="R1500" t="str">
        <f t="shared" si="24"/>
        <v>Yes</v>
      </c>
    </row>
    <row r="1501" spans="1:18" x14ac:dyDescent="0.35">
      <c r="A1501" s="1">
        <v>40386</v>
      </c>
      <c r="B1501">
        <v>0</v>
      </c>
      <c r="C1501" t="s">
        <v>83</v>
      </c>
      <c r="D1501" t="s">
        <v>22</v>
      </c>
      <c r="E1501" t="s">
        <v>18</v>
      </c>
      <c r="F1501">
        <v>100</v>
      </c>
      <c r="G1501" t="s">
        <v>62</v>
      </c>
      <c r="H1501" t="s">
        <v>18</v>
      </c>
      <c r="I1501">
        <v>98</v>
      </c>
      <c r="J1501">
        <v>2</v>
      </c>
      <c r="K1501">
        <v>0</v>
      </c>
      <c r="L1501">
        <v>54</v>
      </c>
      <c r="M1501" t="s">
        <v>20</v>
      </c>
      <c r="N1501" t="s">
        <v>81</v>
      </c>
      <c r="O1501">
        <v>38428</v>
      </c>
      <c r="P1501">
        <v>162</v>
      </c>
      <c r="Q1501" t="s">
        <v>22</v>
      </c>
      <c r="R1501" t="str">
        <f t="shared" si="24"/>
        <v>No</v>
      </c>
    </row>
    <row r="1502" spans="1:18" x14ac:dyDescent="0.35">
      <c r="A1502" s="1">
        <v>40386</v>
      </c>
      <c r="B1502">
        <v>0</v>
      </c>
      <c r="C1502" t="s">
        <v>83</v>
      </c>
      <c r="D1502" t="s">
        <v>17</v>
      </c>
      <c r="E1502" t="s">
        <v>18</v>
      </c>
      <c r="F1502">
        <v>100</v>
      </c>
      <c r="G1502" t="s">
        <v>70</v>
      </c>
      <c r="H1502" t="s">
        <v>18</v>
      </c>
      <c r="I1502">
        <v>101</v>
      </c>
      <c r="J1502">
        <v>4</v>
      </c>
      <c r="K1502">
        <v>6</v>
      </c>
      <c r="L1502">
        <v>51</v>
      </c>
      <c r="M1502" t="s">
        <v>20</v>
      </c>
      <c r="N1502" t="s">
        <v>71</v>
      </c>
      <c r="O1502">
        <v>38904</v>
      </c>
      <c r="P1502">
        <v>148</v>
      </c>
      <c r="Q1502" t="s">
        <v>70</v>
      </c>
      <c r="R1502" t="str">
        <f t="shared" si="24"/>
        <v>Yes</v>
      </c>
    </row>
    <row r="1503" spans="1:18" x14ac:dyDescent="0.35">
      <c r="A1503" s="1">
        <v>40386</v>
      </c>
      <c r="B1503">
        <v>0</v>
      </c>
      <c r="C1503" t="s">
        <v>83</v>
      </c>
      <c r="D1503" t="s">
        <v>50</v>
      </c>
      <c r="E1503" t="s">
        <v>18</v>
      </c>
      <c r="F1503">
        <v>99</v>
      </c>
      <c r="G1503" t="s">
        <v>26</v>
      </c>
      <c r="H1503" t="s">
        <v>18</v>
      </c>
      <c r="I1503">
        <v>100</v>
      </c>
      <c r="J1503">
        <v>0</v>
      </c>
      <c r="K1503">
        <v>3</v>
      </c>
      <c r="L1503">
        <v>51</v>
      </c>
      <c r="M1503" t="s">
        <v>20</v>
      </c>
      <c r="N1503" t="s">
        <v>27</v>
      </c>
      <c r="O1503">
        <v>40043</v>
      </c>
      <c r="P1503">
        <v>144</v>
      </c>
      <c r="Q1503" t="s">
        <v>26</v>
      </c>
      <c r="R1503" t="str">
        <f t="shared" si="24"/>
        <v>Yes</v>
      </c>
    </row>
    <row r="1504" spans="1:18" x14ac:dyDescent="0.35">
      <c r="A1504" s="1">
        <v>40387</v>
      </c>
      <c r="B1504">
        <v>0</v>
      </c>
      <c r="C1504" t="s">
        <v>16</v>
      </c>
      <c r="D1504" t="s">
        <v>58</v>
      </c>
      <c r="E1504" t="s">
        <v>30</v>
      </c>
      <c r="F1504">
        <v>102</v>
      </c>
      <c r="G1504" t="s">
        <v>31</v>
      </c>
      <c r="H1504" t="s">
        <v>30</v>
      </c>
      <c r="I1504">
        <v>104</v>
      </c>
      <c r="J1504">
        <v>7</v>
      </c>
      <c r="K1504">
        <v>3</v>
      </c>
      <c r="L1504">
        <v>54</v>
      </c>
      <c r="M1504" t="s">
        <v>38</v>
      </c>
      <c r="N1504" t="s">
        <v>32</v>
      </c>
      <c r="O1504">
        <v>44052</v>
      </c>
      <c r="P1504">
        <v>216</v>
      </c>
      <c r="Q1504" t="s">
        <v>58</v>
      </c>
      <c r="R1504" t="str">
        <f t="shared" si="24"/>
        <v>No</v>
      </c>
    </row>
    <row r="1505" spans="1:18" x14ac:dyDescent="0.35">
      <c r="A1505" s="1">
        <v>40387</v>
      </c>
      <c r="B1505">
        <v>0</v>
      </c>
      <c r="C1505" t="s">
        <v>16</v>
      </c>
      <c r="D1505" t="s">
        <v>40</v>
      </c>
      <c r="E1505" t="s">
        <v>30</v>
      </c>
      <c r="F1505">
        <v>102</v>
      </c>
      <c r="G1505" t="s">
        <v>34</v>
      </c>
      <c r="H1505" t="s">
        <v>30</v>
      </c>
      <c r="I1505">
        <v>100</v>
      </c>
      <c r="J1505">
        <v>5</v>
      </c>
      <c r="K1505">
        <v>6</v>
      </c>
      <c r="L1505">
        <v>51</v>
      </c>
      <c r="M1505" t="s">
        <v>20</v>
      </c>
      <c r="N1505" t="s">
        <v>35</v>
      </c>
      <c r="O1505">
        <v>25126</v>
      </c>
      <c r="P1505">
        <v>177</v>
      </c>
      <c r="Q1505" t="s">
        <v>34</v>
      </c>
      <c r="R1505" t="str">
        <f t="shared" si="24"/>
        <v>Yes</v>
      </c>
    </row>
    <row r="1506" spans="1:18" x14ac:dyDescent="0.35">
      <c r="A1506" s="1">
        <v>40387</v>
      </c>
      <c r="B1506">
        <v>0</v>
      </c>
      <c r="C1506" t="s">
        <v>16</v>
      </c>
      <c r="D1506" t="s">
        <v>59</v>
      </c>
      <c r="E1506" t="s">
        <v>30</v>
      </c>
      <c r="F1506">
        <v>100</v>
      </c>
      <c r="G1506" t="s">
        <v>33</v>
      </c>
      <c r="H1506" t="s">
        <v>30</v>
      </c>
      <c r="I1506">
        <v>101</v>
      </c>
      <c r="J1506">
        <v>8</v>
      </c>
      <c r="K1506">
        <v>0</v>
      </c>
      <c r="L1506">
        <v>54</v>
      </c>
      <c r="M1506" t="s">
        <v>20</v>
      </c>
      <c r="N1506" t="s">
        <v>75</v>
      </c>
      <c r="O1506">
        <v>22965</v>
      </c>
      <c r="P1506">
        <v>200</v>
      </c>
      <c r="Q1506" t="s">
        <v>59</v>
      </c>
      <c r="R1506" t="str">
        <f t="shared" si="24"/>
        <v>No</v>
      </c>
    </row>
    <row r="1507" spans="1:18" x14ac:dyDescent="0.35">
      <c r="A1507" s="1">
        <v>40387</v>
      </c>
      <c r="B1507">
        <v>0</v>
      </c>
      <c r="C1507" t="s">
        <v>16</v>
      </c>
      <c r="D1507" t="s">
        <v>29</v>
      </c>
      <c r="E1507" t="s">
        <v>30</v>
      </c>
      <c r="F1507">
        <v>102</v>
      </c>
      <c r="G1507" t="s">
        <v>37</v>
      </c>
      <c r="H1507" t="s">
        <v>30</v>
      </c>
      <c r="I1507">
        <v>101</v>
      </c>
      <c r="J1507">
        <v>6</v>
      </c>
      <c r="K1507">
        <v>4</v>
      </c>
      <c r="L1507">
        <v>54</v>
      </c>
      <c r="M1507" t="s">
        <v>38</v>
      </c>
      <c r="N1507" t="s">
        <v>39</v>
      </c>
      <c r="O1507">
        <v>15484</v>
      </c>
      <c r="P1507">
        <v>165</v>
      </c>
      <c r="Q1507" t="s">
        <v>29</v>
      </c>
      <c r="R1507" t="str">
        <f t="shared" si="24"/>
        <v>No</v>
      </c>
    </row>
    <row r="1508" spans="1:18" x14ac:dyDescent="0.35">
      <c r="A1508" s="1">
        <v>40387</v>
      </c>
      <c r="B1508">
        <v>0</v>
      </c>
      <c r="C1508" t="s">
        <v>16</v>
      </c>
      <c r="D1508" t="s">
        <v>36</v>
      </c>
      <c r="E1508" t="s">
        <v>30</v>
      </c>
      <c r="F1508">
        <v>100</v>
      </c>
      <c r="G1508" t="s">
        <v>44</v>
      </c>
      <c r="H1508" t="s">
        <v>30</v>
      </c>
      <c r="I1508">
        <v>100</v>
      </c>
      <c r="J1508">
        <v>4</v>
      </c>
      <c r="K1508">
        <v>7</v>
      </c>
      <c r="L1508">
        <v>51</v>
      </c>
      <c r="M1508" t="s">
        <v>20</v>
      </c>
      <c r="N1508" t="s">
        <v>45</v>
      </c>
      <c r="O1508">
        <v>16209</v>
      </c>
      <c r="P1508">
        <v>175</v>
      </c>
      <c r="Q1508" t="s">
        <v>44</v>
      </c>
      <c r="R1508" t="str">
        <f t="shared" si="24"/>
        <v>Yes</v>
      </c>
    </row>
    <row r="1509" spans="1:18" x14ac:dyDescent="0.35">
      <c r="A1509" s="1">
        <v>40387</v>
      </c>
      <c r="B1509">
        <v>0</v>
      </c>
      <c r="C1509" t="s">
        <v>16</v>
      </c>
      <c r="D1509" t="s">
        <v>41</v>
      </c>
      <c r="E1509" t="s">
        <v>30</v>
      </c>
      <c r="F1509">
        <v>100</v>
      </c>
      <c r="G1509" t="s">
        <v>47</v>
      </c>
      <c r="H1509" t="s">
        <v>30</v>
      </c>
      <c r="I1509">
        <v>101</v>
      </c>
      <c r="J1509">
        <v>3</v>
      </c>
      <c r="K1509">
        <v>1</v>
      </c>
      <c r="L1509">
        <v>54</v>
      </c>
      <c r="M1509" t="s">
        <v>20</v>
      </c>
      <c r="N1509" t="s">
        <v>48</v>
      </c>
      <c r="O1509">
        <v>38269</v>
      </c>
      <c r="P1509">
        <v>160</v>
      </c>
      <c r="Q1509" t="s">
        <v>41</v>
      </c>
      <c r="R1509" t="str">
        <f t="shared" si="24"/>
        <v>No</v>
      </c>
    </row>
    <row r="1510" spans="1:18" x14ac:dyDescent="0.35">
      <c r="A1510" s="1">
        <v>40387</v>
      </c>
      <c r="B1510">
        <v>0</v>
      </c>
      <c r="C1510" t="s">
        <v>16</v>
      </c>
      <c r="D1510" t="s">
        <v>43</v>
      </c>
      <c r="E1510" t="s">
        <v>30</v>
      </c>
      <c r="F1510">
        <v>101</v>
      </c>
      <c r="G1510" t="s">
        <v>46</v>
      </c>
      <c r="H1510" t="s">
        <v>30</v>
      </c>
      <c r="I1510">
        <v>102</v>
      </c>
      <c r="J1510">
        <v>0</v>
      </c>
      <c r="K1510">
        <v>5</v>
      </c>
      <c r="L1510">
        <v>51</v>
      </c>
      <c r="M1510" t="s">
        <v>20</v>
      </c>
      <c r="N1510" t="s">
        <v>78</v>
      </c>
      <c r="O1510">
        <v>17041</v>
      </c>
      <c r="P1510">
        <v>144</v>
      </c>
      <c r="Q1510" t="s">
        <v>46</v>
      </c>
      <c r="R1510" t="str">
        <f t="shared" si="24"/>
        <v>Yes</v>
      </c>
    </row>
    <row r="1511" spans="1:18" x14ac:dyDescent="0.35">
      <c r="A1511" s="1">
        <v>40387</v>
      </c>
      <c r="B1511">
        <v>0</v>
      </c>
      <c r="C1511" t="s">
        <v>16</v>
      </c>
      <c r="D1511" t="s">
        <v>23</v>
      </c>
      <c r="E1511" t="s">
        <v>18</v>
      </c>
      <c r="F1511">
        <v>100</v>
      </c>
      <c r="G1511" t="s">
        <v>63</v>
      </c>
      <c r="H1511" t="s">
        <v>18</v>
      </c>
      <c r="I1511">
        <v>101</v>
      </c>
      <c r="J1511">
        <v>6</v>
      </c>
      <c r="K1511">
        <v>2</v>
      </c>
      <c r="L1511">
        <v>54</v>
      </c>
      <c r="M1511" t="s">
        <v>20</v>
      </c>
      <c r="N1511" t="s">
        <v>64</v>
      </c>
      <c r="O1511">
        <v>35128</v>
      </c>
      <c r="P1511">
        <v>197</v>
      </c>
      <c r="Q1511" t="s">
        <v>23</v>
      </c>
      <c r="R1511" t="str">
        <f t="shared" si="24"/>
        <v>No</v>
      </c>
    </row>
    <row r="1512" spans="1:18" x14ac:dyDescent="0.35">
      <c r="A1512" s="1">
        <v>40387</v>
      </c>
      <c r="B1512">
        <v>0</v>
      </c>
      <c r="C1512" t="s">
        <v>16</v>
      </c>
      <c r="D1512" t="s">
        <v>49</v>
      </c>
      <c r="E1512" t="s">
        <v>18</v>
      </c>
      <c r="F1512">
        <v>102</v>
      </c>
      <c r="G1512" t="s">
        <v>66</v>
      </c>
      <c r="H1512" t="s">
        <v>18</v>
      </c>
      <c r="I1512">
        <v>101</v>
      </c>
      <c r="J1512">
        <v>1</v>
      </c>
      <c r="K1512">
        <v>8</v>
      </c>
      <c r="L1512">
        <v>51</v>
      </c>
      <c r="M1512" t="s">
        <v>38</v>
      </c>
      <c r="N1512" t="s">
        <v>67</v>
      </c>
      <c r="O1512">
        <v>28046</v>
      </c>
      <c r="P1512">
        <v>178</v>
      </c>
      <c r="Q1512" t="s">
        <v>66</v>
      </c>
      <c r="R1512" t="str">
        <f t="shared" si="24"/>
        <v>Yes</v>
      </c>
    </row>
    <row r="1513" spans="1:18" x14ac:dyDescent="0.35">
      <c r="A1513" s="1">
        <v>40387</v>
      </c>
      <c r="B1513">
        <v>0</v>
      </c>
      <c r="C1513" t="s">
        <v>16</v>
      </c>
      <c r="D1513" t="s">
        <v>53</v>
      </c>
      <c r="E1513" t="s">
        <v>18</v>
      </c>
      <c r="F1513">
        <v>103</v>
      </c>
      <c r="G1513" t="s">
        <v>68</v>
      </c>
      <c r="H1513" t="s">
        <v>18</v>
      </c>
      <c r="I1513">
        <v>103</v>
      </c>
      <c r="J1513">
        <v>10</v>
      </c>
      <c r="K1513">
        <v>2</v>
      </c>
      <c r="L1513">
        <v>54</v>
      </c>
      <c r="M1513" t="s">
        <v>38</v>
      </c>
      <c r="N1513" t="s">
        <v>69</v>
      </c>
      <c r="O1513">
        <v>38365</v>
      </c>
      <c r="P1513">
        <v>218</v>
      </c>
      <c r="Q1513" t="s">
        <v>53</v>
      </c>
      <c r="R1513" t="str">
        <f t="shared" si="24"/>
        <v>No</v>
      </c>
    </row>
    <row r="1514" spans="1:18" x14ac:dyDescent="0.35">
      <c r="A1514" s="1">
        <v>40387</v>
      </c>
      <c r="B1514">
        <v>0</v>
      </c>
      <c r="C1514" t="s">
        <v>16</v>
      </c>
      <c r="D1514" t="s">
        <v>52</v>
      </c>
      <c r="E1514" t="s">
        <v>18</v>
      </c>
      <c r="F1514">
        <v>101</v>
      </c>
      <c r="G1514" t="s">
        <v>19</v>
      </c>
      <c r="H1514" t="s">
        <v>18</v>
      </c>
      <c r="I1514">
        <v>101</v>
      </c>
      <c r="J1514">
        <v>8</v>
      </c>
      <c r="K1514">
        <v>7</v>
      </c>
      <c r="L1514">
        <v>78</v>
      </c>
      <c r="M1514" t="s">
        <v>20</v>
      </c>
      <c r="N1514" t="s">
        <v>21</v>
      </c>
      <c r="O1514">
        <v>35009</v>
      </c>
      <c r="P1514">
        <v>272</v>
      </c>
      <c r="Q1514" t="s">
        <v>52</v>
      </c>
      <c r="R1514" t="str">
        <f t="shared" si="24"/>
        <v>No</v>
      </c>
    </row>
    <row r="1515" spans="1:18" x14ac:dyDescent="0.35">
      <c r="A1515" s="1">
        <v>40387</v>
      </c>
      <c r="B1515">
        <v>0</v>
      </c>
      <c r="C1515" t="s">
        <v>16</v>
      </c>
      <c r="D1515" t="s">
        <v>60</v>
      </c>
      <c r="E1515" t="s">
        <v>18</v>
      </c>
      <c r="F1515">
        <v>101</v>
      </c>
      <c r="G1515" t="s">
        <v>25</v>
      </c>
      <c r="H1515" t="s">
        <v>18</v>
      </c>
      <c r="I1515">
        <v>101</v>
      </c>
      <c r="J1515">
        <v>1</v>
      </c>
      <c r="K1515">
        <v>7</v>
      </c>
      <c r="L1515">
        <v>51</v>
      </c>
      <c r="M1515" t="s">
        <v>20</v>
      </c>
      <c r="N1515" t="s">
        <v>80</v>
      </c>
      <c r="O1515">
        <v>45048</v>
      </c>
      <c r="P1515">
        <v>162</v>
      </c>
      <c r="Q1515" t="s">
        <v>25</v>
      </c>
      <c r="R1515" t="str">
        <f t="shared" si="24"/>
        <v>Yes</v>
      </c>
    </row>
    <row r="1516" spans="1:18" x14ac:dyDescent="0.35">
      <c r="A1516" s="1">
        <v>40387</v>
      </c>
      <c r="B1516">
        <v>0</v>
      </c>
      <c r="C1516" t="s">
        <v>16</v>
      </c>
      <c r="D1516" t="s">
        <v>22</v>
      </c>
      <c r="E1516" t="s">
        <v>18</v>
      </c>
      <c r="F1516">
        <v>101</v>
      </c>
      <c r="G1516" t="s">
        <v>62</v>
      </c>
      <c r="H1516" t="s">
        <v>18</v>
      </c>
      <c r="I1516">
        <v>99</v>
      </c>
      <c r="J1516">
        <v>1</v>
      </c>
      <c r="K1516">
        <v>6</v>
      </c>
      <c r="L1516">
        <v>51</v>
      </c>
      <c r="M1516" t="s">
        <v>20</v>
      </c>
      <c r="N1516" t="s">
        <v>81</v>
      </c>
      <c r="O1516">
        <v>40188</v>
      </c>
      <c r="P1516">
        <v>177</v>
      </c>
      <c r="Q1516" t="s">
        <v>62</v>
      </c>
      <c r="R1516" t="str">
        <f t="shared" si="24"/>
        <v>Yes</v>
      </c>
    </row>
    <row r="1517" spans="1:18" x14ac:dyDescent="0.35">
      <c r="A1517" s="1">
        <v>40387</v>
      </c>
      <c r="B1517">
        <v>0</v>
      </c>
      <c r="C1517" t="s">
        <v>16</v>
      </c>
      <c r="D1517" t="s">
        <v>17</v>
      </c>
      <c r="E1517" t="s">
        <v>18</v>
      </c>
      <c r="F1517">
        <v>101</v>
      </c>
      <c r="G1517" t="s">
        <v>70</v>
      </c>
      <c r="H1517" t="s">
        <v>18</v>
      </c>
      <c r="I1517">
        <v>102</v>
      </c>
      <c r="J1517">
        <v>9</v>
      </c>
      <c r="K1517">
        <v>10</v>
      </c>
      <c r="L1517">
        <v>58</v>
      </c>
      <c r="M1517" t="s">
        <v>38</v>
      </c>
      <c r="N1517" t="s">
        <v>71</v>
      </c>
      <c r="O1517">
        <v>35945</v>
      </c>
      <c r="P1517">
        <v>182</v>
      </c>
      <c r="Q1517" t="s">
        <v>70</v>
      </c>
      <c r="R1517" t="str">
        <f t="shared" si="24"/>
        <v>Yes</v>
      </c>
    </row>
    <row r="1518" spans="1:18" x14ac:dyDescent="0.35">
      <c r="A1518" s="1">
        <v>40387</v>
      </c>
      <c r="B1518">
        <v>0</v>
      </c>
      <c r="C1518" t="s">
        <v>16</v>
      </c>
      <c r="D1518" t="s">
        <v>50</v>
      </c>
      <c r="E1518" t="s">
        <v>18</v>
      </c>
      <c r="F1518">
        <v>100</v>
      </c>
      <c r="G1518" t="s">
        <v>26</v>
      </c>
      <c r="H1518" t="s">
        <v>18</v>
      </c>
      <c r="I1518">
        <v>101</v>
      </c>
      <c r="J1518">
        <v>3</v>
      </c>
      <c r="K1518">
        <v>1</v>
      </c>
      <c r="L1518">
        <v>54</v>
      </c>
      <c r="M1518" t="s">
        <v>20</v>
      </c>
      <c r="N1518" t="s">
        <v>27</v>
      </c>
      <c r="O1518">
        <v>24263</v>
      </c>
      <c r="P1518">
        <v>175</v>
      </c>
      <c r="Q1518" t="s">
        <v>50</v>
      </c>
      <c r="R1518" t="str">
        <f t="shared" si="24"/>
        <v>No</v>
      </c>
    </row>
    <row r="1519" spans="1:18" x14ac:dyDescent="0.35">
      <c r="A1519" s="1">
        <v>40388</v>
      </c>
      <c r="B1519">
        <v>0</v>
      </c>
      <c r="C1519" t="s">
        <v>28</v>
      </c>
      <c r="D1519" t="s">
        <v>40</v>
      </c>
      <c r="E1519" t="s">
        <v>30</v>
      </c>
      <c r="F1519">
        <v>103</v>
      </c>
      <c r="G1519" t="s">
        <v>34</v>
      </c>
      <c r="H1519" t="s">
        <v>30</v>
      </c>
      <c r="I1519">
        <v>101</v>
      </c>
      <c r="J1519">
        <v>5</v>
      </c>
      <c r="K1519">
        <v>9</v>
      </c>
      <c r="L1519">
        <v>51</v>
      </c>
      <c r="M1519" t="s">
        <v>20</v>
      </c>
      <c r="N1519" t="s">
        <v>35</v>
      </c>
      <c r="O1519">
        <v>28483</v>
      </c>
      <c r="P1519">
        <v>163</v>
      </c>
      <c r="Q1519" t="s">
        <v>34</v>
      </c>
      <c r="R1519" t="str">
        <f t="shared" si="24"/>
        <v>Yes</v>
      </c>
    </row>
    <row r="1520" spans="1:18" x14ac:dyDescent="0.35">
      <c r="A1520" s="1">
        <v>40388</v>
      </c>
      <c r="B1520">
        <v>0</v>
      </c>
      <c r="C1520" t="s">
        <v>28</v>
      </c>
      <c r="D1520" t="s">
        <v>59</v>
      </c>
      <c r="E1520" t="s">
        <v>30</v>
      </c>
      <c r="F1520">
        <v>101</v>
      </c>
      <c r="G1520" t="s">
        <v>33</v>
      </c>
      <c r="H1520" t="s">
        <v>30</v>
      </c>
      <c r="I1520">
        <v>102</v>
      </c>
      <c r="J1520">
        <v>11</v>
      </c>
      <c r="K1520">
        <v>4</v>
      </c>
      <c r="L1520">
        <v>54</v>
      </c>
      <c r="M1520" t="s">
        <v>20</v>
      </c>
      <c r="N1520" t="s">
        <v>75</v>
      </c>
      <c r="O1520">
        <v>34455</v>
      </c>
      <c r="P1520">
        <v>238</v>
      </c>
      <c r="Q1520" t="s">
        <v>59</v>
      </c>
      <c r="R1520" t="str">
        <f t="shared" si="24"/>
        <v>No</v>
      </c>
    </row>
    <row r="1521" spans="1:18" x14ac:dyDescent="0.35">
      <c r="A1521" s="1">
        <v>40388</v>
      </c>
      <c r="B1521">
        <v>0</v>
      </c>
      <c r="C1521" t="s">
        <v>28</v>
      </c>
      <c r="D1521" t="s">
        <v>43</v>
      </c>
      <c r="E1521" t="s">
        <v>30</v>
      </c>
      <c r="F1521">
        <v>102</v>
      </c>
      <c r="G1521" t="s">
        <v>37</v>
      </c>
      <c r="H1521" t="s">
        <v>30</v>
      </c>
      <c r="I1521">
        <v>102</v>
      </c>
      <c r="J1521">
        <v>6</v>
      </c>
      <c r="K1521">
        <v>5</v>
      </c>
      <c r="L1521">
        <v>66</v>
      </c>
      <c r="M1521" t="s">
        <v>20</v>
      </c>
      <c r="N1521" t="s">
        <v>39</v>
      </c>
      <c r="O1521">
        <v>17220</v>
      </c>
      <c r="P1521">
        <v>210</v>
      </c>
      <c r="Q1521" t="s">
        <v>43</v>
      </c>
      <c r="R1521" t="str">
        <f t="shared" si="24"/>
        <v>No</v>
      </c>
    </row>
    <row r="1522" spans="1:18" x14ac:dyDescent="0.35">
      <c r="A1522" s="1">
        <v>40388</v>
      </c>
      <c r="B1522">
        <v>0</v>
      </c>
      <c r="C1522" t="s">
        <v>28</v>
      </c>
      <c r="D1522" t="s">
        <v>36</v>
      </c>
      <c r="E1522" t="s">
        <v>30</v>
      </c>
      <c r="F1522">
        <v>101</v>
      </c>
      <c r="G1522" t="s">
        <v>44</v>
      </c>
      <c r="H1522" t="s">
        <v>30</v>
      </c>
      <c r="I1522">
        <v>101</v>
      </c>
      <c r="J1522">
        <v>2</v>
      </c>
      <c r="K1522">
        <v>4</v>
      </c>
      <c r="L1522">
        <v>51</v>
      </c>
      <c r="M1522" t="s">
        <v>38</v>
      </c>
      <c r="N1522" t="s">
        <v>45</v>
      </c>
      <c r="O1522">
        <v>26716</v>
      </c>
      <c r="P1522">
        <v>157</v>
      </c>
      <c r="Q1522" t="s">
        <v>44</v>
      </c>
      <c r="R1522" t="str">
        <f t="shared" si="24"/>
        <v>Yes</v>
      </c>
    </row>
    <row r="1523" spans="1:18" x14ac:dyDescent="0.35">
      <c r="A1523" s="1">
        <v>40388</v>
      </c>
      <c r="B1523">
        <v>0</v>
      </c>
      <c r="C1523" t="s">
        <v>28</v>
      </c>
      <c r="D1523" t="s">
        <v>41</v>
      </c>
      <c r="E1523" t="s">
        <v>30</v>
      </c>
      <c r="F1523">
        <v>101</v>
      </c>
      <c r="G1523" t="s">
        <v>47</v>
      </c>
      <c r="H1523" t="s">
        <v>30</v>
      </c>
      <c r="I1523">
        <v>102</v>
      </c>
      <c r="J1523">
        <v>4</v>
      </c>
      <c r="K1523">
        <v>7</v>
      </c>
      <c r="L1523">
        <v>51</v>
      </c>
      <c r="M1523" t="s">
        <v>20</v>
      </c>
      <c r="N1523" t="s">
        <v>48</v>
      </c>
      <c r="O1523">
        <v>28793</v>
      </c>
      <c r="P1523">
        <v>163</v>
      </c>
      <c r="Q1523" t="s">
        <v>47</v>
      </c>
      <c r="R1523" t="str">
        <f t="shared" si="24"/>
        <v>Yes</v>
      </c>
    </row>
    <row r="1524" spans="1:18" x14ac:dyDescent="0.35">
      <c r="A1524" s="1">
        <v>40388</v>
      </c>
      <c r="B1524">
        <v>0</v>
      </c>
      <c r="C1524" t="s">
        <v>28</v>
      </c>
      <c r="D1524" t="s">
        <v>23</v>
      </c>
      <c r="E1524" t="s">
        <v>18</v>
      </c>
      <c r="F1524">
        <v>101</v>
      </c>
      <c r="G1524" t="s">
        <v>63</v>
      </c>
      <c r="H1524" t="s">
        <v>18</v>
      </c>
      <c r="I1524">
        <v>102</v>
      </c>
      <c r="J1524">
        <v>3</v>
      </c>
      <c r="K1524">
        <v>9</v>
      </c>
      <c r="L1524">
        <v>51</v>
      </c>
      <c r="M1524" t="s">
        <v>38</v>
      </c>
      <c r="N1524" t="s">
        <v>64</v>
      </c>
      <c r="O1524">
        <v>34158</v>
      </c>
      <c r="P1524">
        <v>168</v>
      </c>
      <c r="Q1524" t="s">
        <v>63</v>
      </c>
      <c r="R1524" t="str">
        <f t="shared" si="24"/>
        <v>Yes</v>
      </c>
    </row>
    <row r="1525" spans="1:18" x14ac:dyDescent="0.35">
      <c r="A1525" s="1">
        <v>40388</v>
      </c>
      <c r="B1525">
        <v>0</v>
      </c>
      <c r="C1525" t="s">
        <v>28</v>
      </c>
      <c r="D1525" t="s">
        <v>52</v>
      </c>
      <c r="E1525" t="s">
        <v>18</v>
      </c>
      <c r="F1525">
        <v>102</v>
      </c>
      <c r="G1525" t="s">
        <v>19</v>
      </c>
      <c r="H1525" t="s">
        <v>18</v>
      </c>
      <c r="I1525">
        <v>102</v>
      </c>
      <c r="J1525">
        <v>0</v>
      </c>
      <c r="K1525">
        <v>4</v>
      </c>
      <c r="L1525">
        <v>51</v>
      </c>
      <c r="M1525" t="s">
        <v>38</v>
      </c>
      <c r="N1525" t="s">
        <v>21</v>
      </c>
      <c r="O1525">
        <v>40087</v>
      </c>
      <c r="P1525">
        <v>146</v>
      </c>
      <c r="Q1525" t="s">
        <v>19</v>
      </c>
      <c r="R1525" t="str">
        <f t="shared" si="24"/>
        <v>Yes</v>
      </c>
    </row>
    <row r="1526" spans="1:18" x14ac:dyDescent="0.35">
      <c r="A1526" s="1">
        <v>40388</v>
      </c>
      <c r="B1526">
        <v>0</v>
      </c>
      <c r="C1526" t="s">
        <v>28</v>
      </c>
      <c r="D1526" t="s">
        <v>60</v>
      </c>
      <c r="E1526" t="s">
        <v>18</v>
      </c>
      <c r="F1526">
        <v>102</v>
      </c>
      <c r="G1526" t="s">
        <v>25</v>
      </c>
      <c r="H1526" t="s">
        <v>18</v>
      </c>
      <c r="I1526">
        <v>102</v>
      </c>
      <c r="J1526">
        <v>2</v>
      </c>
      <c r="K1526">
        <v>3</v>
      </c>
      <c r="L1526">
        <v>64</v>
      </c>
      <c r="M1526" t="s">
        <v>20</v>
      </c>
      <c r="N1526" t="s">
        <v>80</v>
      </c>
      <c r="O1526">
        <v>45232</v>
      </c>
      <c r="P1526">
        <v>197</v>
      </c>
      <c r="Q1526" t="s">
        <v>25</v>
      </c>
      <c r="R1526" t="str">
        <f t="shared" si="24"/>
        <v>Yes</v>
      </c>
    </row>
    <row r="1527" spans="1:18" x14ac:dyDescent="0.35">
      <c r="A1527" s="1">
        <v>40388</v>
      </c>
      <c r="B1527">
        <v>0</v>
      </c>
      <c r="C1527" t="s">
        <v>28</v>
      </c>
      <c r="D1527" t="s">
        <v>22</v>
      </c>
      <c r="E1527" t="s">
        <v>18</v>
      </c>
      <c r="F1527">
        <v>102</v>
      </c>
      <c r="G1527" t="s">
        <v>62</v>
      </c>
      <c r="H1527" t="s">
        <v>18</v>
      </c>
      <c r="I1527">
        <v>100</v>
      </c>
      <c r="J1527">
        <v>2</v>
      </c>
      <c r="K1527">
        <v>3</v>
      </c>
      <c r="L1527">
        <v>52</v>
      </c>
      <c r="M1527" t="s">
        <v>38</v>
      </c>
      <c r="N1527" t="s">
        <v>81</v>
      </c>
      <c r="O1527">
        <v>42075</v>
      </c>
      <c r="P1527">
        <v>190</v>
      </c>
      <c r="Q1527" t="s">
        <v>62</v>
      </c>
      <c r="R1527" t="str">
        <f t="shared" si="24"/>
        <v>Yes</v>
      </c>
    </row>
    <row r="1528" spans="1:18" x14ac:dyDescent="0.35">
      <c r="A1528" s="1">
        <v>40388</v>
      </c>
      <c r="B1528">
        <v>0</v>
      </c>
      <c r="C1528" t="s">
        <v>28</v>
      </c>
      <c r="D1528" t="s">
        <v>17</v>
      </c>
      <c r="E1528" t="s">
        <v>18</v>
      </c>
      <c r="F1528">
        <v>102</v>
      </c>
      <c r="G1528" t="s">
        <v>70</v>
      </c>
      <c r="H1528" t="s">
        <v>18</v>
      </c>
      <c r="I1528">
        <v>103</v>
      </c>
      <c r="J1528">
        <v>5</v>
      </c>
      <c r="K1528">
        <v>0</v>
      </c>
      <c r="L1528">
        <v>54</v>
      </c>
      <c r="M1528" t="s">
        <v>38</v>
      </c>
      <c r="N1528" t="s">
        <v>71</v>
      </c>
      <c r="O1528">
        <v>41152</v>
      </c>
      <c r="P1528">
        <v>127</v>
      </c>
      <c r="Q1528" t="s">
        <v>17</v>
      </c>
      <c r="R1528" t="str">
        <f t="shared" si="24"/>
        <v>No</v>
      </c>
    </row>
    <row r="1529" spans="1:18" x14ac:dyDescent="0.35">
      <c r="A1529" s="1">
        <v>40388</v>
      </c>
      <c r="B1529">
        <v>0</v>
      </c>
      <c r="C1529" t="s">
        <v>28</v>
      </c>
      <c r="D1529" t="s">
        <v>50</v>
      </c>
      <c r="E1529" t="s">
        <v>18</v>
      </c>
      <c r="F1529">
        <v>101</v>
      </c>
      <c r="G1529" t="s">
        <v>26</v>
      </c>
      <c r="H1529" t="s">
        <v>18</v>
      </c>
      <c r="I1529">
        <v>102</v>
      </c>
      <c r="J1529">
        <v>3</v>
      </c>
      <c r="K1529">
        <v>5</v>
      </c>
      <c r="L1529">
        <v>51</v>
      </c>
      <c r="M1529" t="s">
        <v>38</v>
      </c>
      <c r="N1529" t="s">
        <v>27</v>
      </c>
      <c r="O1529">
        <v>30263</v>
      </c>
      <c r="P1529">
        <v>153</v>
      </c>
      <c r="Q1529" t="s">
        <v>26</v>
      </c>
      <c r="R1529" t="str">
        <f t="shared" si="24"/>
        <v>Yes</v>
      </c>
    </row>
    <row r="1530" spans="1:18" x14ac:dyDescent="0.35">
      <c r="A1530" s="1">
        <v>40389</v>
      </c>
      <c r="B1530">
        <v>0</v>
      </c>
      <c r="C1530" t="s">
        <v>55</v>
      </c>
      <c r="D1530" t="s">
        <v>47</v>
      </c>
      <c r="E1530" t="s">
        <v>30</v>
      </c>
      <c r="F1530">
        <v>103</v>
      </c>
      <c r="G1530" t="s">
        <v>31</v>
      </c>
      <c r="H1530" t="s">
        <v>30</v>
      </c>
      <c r="I1530">
        <v>105</v>
      </c>
      <c r="J1530">
        <v>7</v>
      </c>
      <c r="K1530">
        <v>9</v>
      </c>
      <c r="L1530">
        <v>51</v>
      </c>
      <c r="M1530" t="s">
        <v>20</v>
      </c>
      <c r="N1530" t="s">
        <v>32</v>
      </c>
      <c r="O1530">
        <v>43024</v>
      </c>
      <c r="P1530">
        <v>181</v>
      </c>
      <c r="Q1530" t="s">
        <v>31</v>
      </c>
      <c r="R1530" t="str">
        <f t="shared" si="24"/>
        <v>Yes</v>
      </c>
    </row>
    <row r="1531" spans="1:18" x14ac:dyDescent="0.35">
      <c r="A1531" s="1">
        <v>40389</v>
      </c>
      <c r="B1531">
        <v>0</v>
      </c>
      <c r="C1531" t="s">
        <v>55</v>
      </c>
      <c r="D1531" t="s">
        <v>36</v>
      </c>
      <c r="E1531" t="s">
        <v>30</v>
      </c>
      <c r="F1531">
        <v>102</v>
      </c>
      <c r="G1531" t="s">
        <v>58</v>
      </c>
      <c r="H1531" t="s">
        <v>30</v>
      </c>
      <c r="I1531">
        <v>103</v>
      </c>
      <c r="J1531">
        <v>6</v>
      </c>
      <c r="K1531">
        <v>5</v>
      </c>
      <c r="L1531">
        <v>54</v>
      </c>
      <c r="M1531" t="s">
        <v>20</v>
      </c>
      <c r="N1531" t="s">
        <v>86</v>
      </c>
      <c r="O1531">
        <v>37832</v>
      </c>
      <c r="P1531">
        <v>229</v>
      </c>
      <c r="Q1531" t="s">
        <v>36</v>
      </c>
      <c r="R1531" t="str">
        <f t="shared" si="24"/>
        <v>No</v>
      </c>
    </row>
    <row r="1532" spans="1:18" x14ac:dyDescent="0.35">
      <c r="A1532" s="1">
        <v>40389</v>
      </c>
      <c r="B1532">
        <v>0</v>
      </c>
      <c r="C1532" t="s">
        <v>55</v>
      </c>
      <c r="D1532" t="s">
        <v>41</v>
      </c>
      <c r="E1532" t="s">
        <v>30</v>
      </c>
      <c r="F1532">
        <v>102</v>
      </c>
      <c r="G1532" t="s">
        <v>34</v>
      </c>
      <c r="H1532" t="s">
        <v>30</v>
      </c>
      <c r="I1532">
        <v>102</v>
      </c>
      <c r="J1532">
        <v>1</v>
      </c>
      <c r="K1532">
        <v>6</v>
      </c>
      <c r="L1532">
        <v>51</v>
      </c>
      <c r="M1532" t="s">
        <v>20</v>
      </c>
      <c r="N1532" t="s">
        <v>35</v>
      </c>
      <c r="O1532">
        <v>29431</v>
      </c>
      <c r="P1532">
        <v>154</v>
      </c>
      <c r="Q1532" t="s">
        <v>34</v>
      </c>
      <c r="R1532" t="str">
        <f t="shared" si="24"/>
        <v>Yes</v>
      </c>
    </row>
    <row r="1533" spans="1:18" x14ac:dyDescent="0.35">
      <c r="A1533" s="1">
        <v>40389</v>
      </c>
      <c r="B1533">
        <v>0</v>
      </c>
      <c r="C1533" t="s">
        <v>55</v>
      </c>
      <c r="D1533" t="s">
        <v>43</v>
      </c>
      <c r="E1533" t="s">
        <v>30</v>
      </c>
      <c r="F1533">
        <v>103</v>
      </c>
      <c r="G1533" t="s">
        <v>37</v>
      </c>
      <c r="H1533" t="s">
        <v>30</v>
      </c>
      <c r="I1533">
        <v>103</v>
      </c>
      <c r="J1533">
        <v>5</v>
      </c>
      <c r="K1533">
        <v>7</v>
      </c>
      <c r="L1533">
        <v>53</v>
      </c>
      <c r="M1533" t="s">
        <v>20</v>
      </c>
      <c r="N1533" t="s">
        <v>39</v>
      </c>
      <c r="O1533">
        <v>21537</v>
      </c>
      <c r="P1533">
        <v>198</v>
      </c>
      <c r="Q1533" t="s">
        <v>37</v>
      </c>
      <c r="R1533" t="str">
        <f t="shared" si="24"/>
        <v>Yes</v>
      </c>
    </row>
    <row r="1534" spans="1:18" x14ac:dyDescent="0.35">
      <c r="A1534" s="1">
        <v>40389</v>
      </c>
      <c r="B1534">
        <v>0</v>
      </c>
      <c r="C1534" t="s">
        <v>55</v>
      </c>
      <c r="D1534" t="s">
        <v>40</v>
      </c>
      <c r="E1534" t="s">
        <v>30</v>
      </c>
      <c r="F1534">
        <v>104</v>
      </c>
      <c r="G1534" t="s">
        <v>29</v>
      </c>
      <c r="H1534" t="s">
        <v>30</v>
      </c>
      <c r="I1534">
        <v>103</v>
      </c>
      <c r="J1534">
        <v>3</v>
      </c>
      <c r="K1534">
        <v>5</v>
      </c>
      <c r="L1534">
        <v>51</v>
      </c>
      <c r="M1534" t="s">
        <v>20</v>
      </c>
      <c r="N1534" t="s">
        <v>76</v>
      </c>
      <c r="O1534">
        <v>40596</v>
      </c>
      <c r="P1534">
        <v>178</v>
      </c>
      <c r="Q1534" t="s">
        <v>29</v>
      </c>
      <c r="R1534" t="str">
        <f t="shared" si="24"/>
        <v>Yes</v>
      </c>
    </row>
    <row r="1535" spans="1:18" x14ac:dyDescent="0.35">
      <c r="A1535" s="1">
        <v>40389</v>
      </c>
      <c r="B1535">
        <v>0</v>
      </c>
      <c r="C1535" t="s">
        <v>55</v>
      </c>
      <c r="D1535" t="s">
        <v>59</v>
      </c>
      <c r="E1535" t="s">
        <v>30</v>
      </c>
      <c r="F1535">
        <v>102</v>
      </c>
      <c r="G1535" t="s">
        <v>44</v>
      </c>
      <c r="H1535" t="s">
        <v>30</v>
      </c>
      <c r="I1535">
        <v>102</v>
      </c>
      <c r="J1535">
        <v>2</v>
      </c>
      <c r="K1535">
        <v>3</v>
      </c>
      <c r="L1535">
        <v>51</v>
      </c>
      <c r="M1535" t="s">
        <v>20</v>
      </c>
      <c r="N1535" t="s">
        <v>45</v>
      </c>
      <c r="O1535">
        <v>36973</v>
      </c>
      <c r="P1535">
        <v>158</v>
      </c>
      <c r="Q1535" t="s">
        <v>44</v>
      </c>
      <c r="R1535" t="str">
        <f t="shared" si="24"/>
        <v>Yes</v>
      </c>
    </row>
    <row r="1536" spans="1:18" x14ac:dyDescent="0.35">
      <c r="A1536" s="1">
        <v>40389</v>
      </c>
      <c r="B1536">
        <v>0</v>
      </c>
      <c r="C1536" t="s">
        <v>55</v>
      </c>
      <c r="D1536" t="s">
        <v>33</v>
      </c>
      <c r="E1536" t="s">
        <v>30</v>
      </c>
      <c r="F1536">
        <v>103</v>
      </c>
      <c r="G1536" t="s">
        <v>46</v>
      </c>
      <c r="H1536" t="s">
        <v>30</v>
      </c>
      <c r="I1536">
        <v>103</v>
      </c>
      <c r="J1536">
        <v>1</v>
      </c>
      <c r="K1536">
        <v>8</v>
      </c>
      <c r="L1536">
        <v>51</v>
      </c>
      <c r="M1536" t="s">
        <v>20</v>
      </c>
      <c r="N1536" t="s">
        <v>78</v>
      </c>
      <c r="O1536">
        <v>20228</v>
      </c>
      <c r="P1536">
        <v>162</v>
      </c>
      <c r="Q1536" t="s">
        <v>46</v>
      </c>
      <c r="R1536" t="str">
        <f t="shared" si="24"/>
        <v>Yes</v>
      </c>
    </row>
    <row r="1537" spans="1:18" x14ac:dyDescent="0.35">
      <c r="A1537" s="1">
        <v>40389</v>
      </c>
      <c r="B1537">
        <v>0</v>
      </c>
      <c r="C1537" t="s">
        <v>55</v>
      </c>
      <c r="D1537" t="s">
        <v>50</v>
      </c>
      <c r="E1537" t="s">
        <v>18</v>
      </c>
      <c r="F1537">
        <v>102</v>
      </c>
      <c r="G1537" t="s">
        <v>53</v>
      </c>
      <c r="H1537" t="s">
        <v>18</v>
      </c>
      <c r="I1537">
        <v>104</v>
      </c>
      <c r="J1537">
        <v>6</v>
      </c>
      <c r="K1537">
        <v>4</v>
      </c>
      <c r="L1537">
        <v>60</v>
      </c>
      <c r="M1537" t="s">
        <v>20</v>
      </c>
      <c r="N1537" t="s">
        <v>54</v>
      </c>
      <c r="O1537">
        <v>40373</v>
      </c>
      <c r="P1537">
        <v>226</v>
      </c>
      <c r="Q1537" t="s">
        <v>50</v>
      </c>
      <c r="R1537" t="str">
        <f t="shared" si="24"/>
        <v>No</v>
      </c>
    </row>
    <row r="1538" spans="1:18" x14ac:dyDescent="0.35">
      <c r="A1538" s="1">
        <v>40389</v>
      </c>
      <c r="B1538">
        <v>0</v>
      </c>
      <c r="C1538" t="s">
        <v>55</v>
      </c>
      <c r="D1538" t="s">
        <v>49</v>
      </c>
      <c r="E1538" t="s">
        <v>18</v>
      </c>
      <c r="F1538">
        <v>103</v>
      </c>
      <c r="G1538" t="s">
        <v>63</v>
      </c>
      <c r="H1538" t="s">
        <v>18</v>
      </c>
      <c r="I1538">
        <v>103</v>
      </c>
      <c r="J1538">
        <v>2</v>
      </c>
      <c r="K1538">
        <v>17</v>
      </c>
      <c r="L1538">
        <v>51</v>
      </c>
      <c r="M1538" t="s">
        <v>20</v>
      </c>
      <c r="N1538" t="s">
        <v>64</v>
      </c>
      <c r="O1538">
        <v>40189</v>
      </c>
      <c r="P1538">
        <v>184</v>
      </c>
      <c r="Q1538" t="s">
        <v>63</v>
      </c>
      <c r="R1538" t="str">
        <f t="shared" si="24"/>
        <v>Yes</v>
      </c>
    </row>
    <row r="1539" spans="1:18" x14ac:dyDescent="0.35">
      <c r="A1539" s="1">
        <v>40389</v>
      </c>
      <c r="B1539">
        <v>0</v>
      </c>
      <c r="C1539" t="s">
        <v>55</v>
      </c>
      <c r="D1539" t="s">
        <v>68</v>
      </c>
      <c r="E1539" t="s">
        <v>18</v>
      </c>
      <c r="F1539">
        <v>104</v>
      </c>
      <c r="G1539" t="s">
        <v>66</v>
      </c>
      <c r="H1539" t="s">
        <v>18</v>
      </c>
      <c r="I1539">
        <v>102</v>
      </c>
      <c r="J1539">
        <v>0</v>
      </c>
      <c r="K1539">
        <v>5</v>
      </c>
      <c r="L1539">
        <v>51</v>
      </c>
      <c r="M1539" t="s">
        <v>20</v>
      </c>
      <c r="N1539" t="s">
        <v>67</v>
      </c>
      <c r="O1539">
        <v>27456</v>
      </c>
      <c r="P1539">
        <v>145</v>
      </c>
      <c r="Q1539" t="s">
        <v>66</v>
      </c>
      <c r="R1539" t="str">
        <f t="shared" ref="R1539:R1602" si="25">IF(K1539&gt;J1539,"Yes","No")</f>
        <v>Yes</v>
      </c>
    </row>
    <row r="1540" spans="1:18" x14ac:dyDescent="0.35">
      <c r="A1540" s="1">
        <v>40389</v>
      </c>
      <c r="B1540">
        <v>0</v>
      </c>
      <c r="C1540" t="s">
        <v>55</v>
      </c>
      <c r="D1540" t="s">
        <v>60</v>
      </c>
      <c r="E1540" t="s">
        <v>18</v>
      </c>
      <c r="F1540">
        <v>103</v>
      </c>
      <c r="G1540" t="s">
        <v>19</v>
      </c>
      <c r="H1540" t="s">
        <v>18</v>
      </c>
      <c r="I1540">
        <v>103</v>
      </c>
      <c r="J1540">
        <v>9</v>
      </c>
      <c r="K1540">
        <v>6</v>
      </c>
      <c r="L1540">
        <v>54</v>
      </c>
      <c r="M1540" t="s">
        <v>20</v>
      </c>
      <c r="N1540" t="s">
        <v>21</v>
      </c>
      <c r="O1540">
        <v>34280</v>
      </c>
      <c r="P1540">
        <v>207</v>
      </c>
      <c r="Q1540" t="s">
        <v>60</v>
      </c>
      <c r="R1540" t="str">
        <f t="shared" si="25"/>
        <v>No</v>
      </c>
    </row>
    <row r="1541" spans="1:18" x14ac:dyDescent="0.35">
      <c r="A1541" s="1">
        <v>40389</v>
      </c>
      <c r="B1541">
        <v>0</v>
      </c>
      <c r="C1541" t="s">
        <v>55</v>
      </c>
      <c r="D1541" t="s">
        <v>17</v>
      </c>
      <c r="E1541" t="s">
        <v>18</v>
      </c>
      <c r="F1541">
        <v>103</v>
      </c>
      <c r="G1541" t="s">
        <v>62</v>
      </c>
      <c r="H1541" t="s">
        <v>18</v>
      </c>
      <c r="I1541">
        <v>101</v>
      </c>
      <c r="J1541">
        <v>4</v>
      </c>
      <c r="K1541">
        <v>2</v>
      </c>
      <c r="L1541">
        <v>54</v>
      </c>
      <c r="M1541" t="s">
        <v>20</v>
      </c>
      <c r="N1541" t="s">
        <v>81</v>
      </c>
      <c r="O1541">
        <v>30478</v>
      </c>
      <c r="P1541">
        <v>154</v>
      </c>
      <c r="Q1541" t="s">
        <v>17</v>
      </c>
      <c r="R1541" t="str">
        <f t="shared" si="25"/>
        <v>No</v>
      </c>
    </row>
    <row r="1542" spans="1:18" x14ac:dyDescent="0.35">
      <c r="A1542" s="1">
        <v>40389</v>
      </c>
      <c r="B1542">
        <v>0</v>
      </c>
      <c r="C1542" t="s">
        <v>55</v>
      </c>
      <c r="D1542" t="s">
        <v>22</v>
      </c>
      <c r="E1542" t="s">
        <v>18</v>
      </c>
      <c r="F1542">
        <v>103</v>
      </c>
      <c r="G1542" t="s">
        <v>70</v>
      </c>
      <c r="H1542" t="s">
        <v>18</v>
      </c>
      <c r="I1542">
        <v>104</v>
      </c>
      <c r="J1542">
        <v>5</v>
      </c>
      <c r="K1542">
        <v>6</v>
      </c>
      <c r="L1542">
        <v>51</v>
      </c>
      <c r="M1542" t="s">
        <v>20</v>
      </c>
      <c r="N1542" t="s">
        <v>71</v>
      </c>
      <c r="O1542">
        <v>42847</v>
      </c>
      <c r="P1542">
        <v>176</v>
      </c>
      <c r="Q1542" t="s">
        <v>70</v>
      </c>
      <c r="R1542" t="str">
        <f t="shared" si="25"/>
        <v>Yes</v>
      </c>
    </row>
    <row r="1543" spans="1:18" x14ac:dyDescent="0.35">
      <c r="A1543" s="1">
        <v>40389</v>
      </c>
      <c r="B1543">
        <v>0</v>
      </c>
      <c r="C1543" t="s">
        <v>55</v>
      </c>
      <c r="D1543" t="s">
        <v>23</v>
      </c>
      <c r="E1543" t="s">
        <v>18</v>
      </c>
      <c r="F1543">
        <v>102</v>
      </c>
      <c r="G1543" t="s">
        <v>52</v>
      </c>
      <c r="H1543" t="s">
        <v>18</v>
      </c>
      <c r="I1543">
        <v>103</v>
      </c>
      <c r="J1543">
        <v>0</v>
      </c>
      <c r="K1543">
        <v>1</v>
      </c>
      <c r="L1543">
        <v>58</v>
      </c>
      <c r="M1543" t="s">
        <v>20</v>
      </c>
      <c r="N1543" t="s">
        <v>82</v>
      </c>
      <c r="O1543">
        <v>44534</v>
      </c>
      <c r="P1543">
        <v>158</v>
      </c>
      <c r="Q1543" t="s">
        <v>52</v>
      </c>
      <c r="R1543" t="str">
        <f t="shared" si="25"/>
        <v>Yes</v>
      </c>
    </row>
    <row r="1544" spans="1:18" x14ac:dyDescent="0.35">
      <c r="A1544" s="1">
        <v>40389</v>
      </c>
      <c r="B1544">
        <v>0</v>
      </c>
      <c r="C1544" t="s">
        <v>55</v>
      </c>
      <c r="D1544" t="s">
        <v>25</v>
      </c>
      <c r="E1544" t="s">
        <v>18</v>
      </c>
      <c r="F1544">
        <v>103</v>
      </c>
      <c r="G1544" t="s">
        <v>26</v>
      </c>
      <c r="H1544" t="s">
        <v>18</v>
      </c>
      <c r="I1544">
        <v>103</v>
      </c>
      <c r="J1544">
        <v>1</v>
      </c>
      <c r="K1544">
        <v>8</v>
      </c>
      <c r="L1544">
        <v>51</v>
      </c>
      <c r="M1544" t="s">
        <v>20</v>
      </c>
      <c r="N1544" t="s">
        <v>27</v>
      </c>
      <c r="O1544">
        <v>32590</v>
      </c>
      <c r="P1544">
        <v>152</v>
      </c>
      <c r="Q1544" t="s">
        <v>26</v>
      </c>
      <c r="R1544" t="str">
        <f t="shared" si="25"/>
        <v>Yes</v>
      </c>
    </row>
    <row r="1545" spans="1:18" x14ac:dyDescent="0.35">
      <c r="A1545" s="1">
        <v>40390</v>
      </c>
      <c r="B1545">
        <v>0</v>
      </c>
      <c r="C1545" t="s">
        <v>72</v>
      </c>
      <c r="D1545" t="s">
        <v>47</v>
      </c>
      <c r="E1545" t="s">
        <v>30</v>
      </c>
      <c r="F1545">
        <v>104</v>
      </c>
      <c r="G1545" t="s">
        <v>31</v>
      </c>
      <c r="H1545" t="s">
        <v>30</v>
      </c>
      <c r="I1545">
        <v>106</v>
      </c>
      <c r="J1545">
        <v>2</v>
      </c>
      <c r="K1545">
        <v>1</v>
      </c>
      <c r="L1545">
        <v>54</v>
      </c>
      <c r="M1545" t="s">
        <v>20</v>
      </c>
      <c r="N1545" t="s">
        <v>32</v>
      </c>
      <c r="O1545">
        <v>41011</v>
      </c>
      <c r="P1545">
        <v>131</v>
      </c>
      <c r="Q1545" t="s">
        <v>47</v>
      </c>
      <c r="R1545" t="str">
        <f t="shared" si="25"/>
        <v>No</v>
      </c>
    </row>
    <row r="1546" spans="1:18" x14ac:dyDescent="0.35">
      <c r="A1546" s="1">
        <v>40390</v>
      </c>
      <c r="B1546">
        <v>0</v>
      </c>
      <c r="C1546" t="s">
        <v>72</v>
      </c>
      <c r="D1546" t="s">
        <v>36</v>
      </c>
      <c r="E1546" t="s">
        <v>30</v>
      </c>
      <c r="F1546">
        <v>103</v>
      </c>
      <c r="G1546" t="s">
        <v>58</v>
      </c>
      <c r="H1546" t="s">
        <v>30</v>
      </c>
      <c r="I1546">
        <v>104</v>
      </c>
      <c r="J1546">
        <v>4</v>
      </c>
      <c r="K1546">
        <v>5</v>
      </c>
      <c r="L1546">
        <v>52</v>
      </c>
      <c r="M1546" t="s">
        <v>38</v>
      </c>
      <c r="N1546" t="s">
        <v>86</v>
      </c>
      <c r="O1546">
        <v>37498</v>
      </c>
      <c r="P1546">
        <v>209</v>
      </c>
      <c r="Q1546" t="s">
        <v>58</v>
      </c>
      <c r="R1546" t="str">
        <f t="shared" si="25"/>
        <v>Yes</v>
      </c>
    </row>
    <row r="1547" spans="1:18" x14ac:dyDescent="0.35">
      <c r="A1547" s="1">
        <v>40390</v>
      </c>
      <c r="B1547">
        <v>0</v>
      </c>
      <c r="C1547" t="s">
        <v>72</v>
      </c>
      <c r="D1547" t="s">
        <v>41</v>
      </c>
      <c r="E1547" t="s">
        <v>30</v>
      </c>
      <c r="F1547">
        <v>103</v>
      </c>
      <c r="G1547" t="s">
        <v>34</v>
      </c>
      <c r="H1547" t="s">
        <v>30</v>
      </c>
      <c r="I1547">
        <v>103</v>
      </c>
      <c r="J1547">
        <v>6</v>
      </c>
      <c r="K1547">
        <v>2</v>
      </c>
      <c r="L1547">
        <v>54</v>
      </c>
      <c r="M1547" t="s">
        <v>20</v>
      </c>
      <c r="N1547" t="s">
        <v>35</v>
      </c>
      <c r="O1547">
        <v>35852</v>
      </c>
      <c r="P1547">
        <v>147</v>
      </c>
      <c r="Q1547" t="s">
        <v>41</v>
      </c>
      <c r="R1547" t="str">
        <f t="shared" si="25"/>
        <v>No</v>
      </c>
    </row>
    <row r="1548" spans="1:18" x14ac:dyDescent="0.35">
      <c r="A1548" s="1">
        <v>40390</v>
      </c>
      <c r="B1548">
        <v>0</v>
      </c>
      <c r="C1548" t="s">
        <v>72</v>
      </c>
      <c r="D1548" t="s">
        <v>43</v>
      </c>
      <c r="E1548" t="s">
        <v>30</v>
      </c>
      <c r="F1548">
        <v>104</v>
      </c>
      <c r="G1548" t="s">
        <v>37</v>
      </c>
      <c r="H1548" t="s">
        <v>30</v>
      </c>
      <c r="I1548">
        <v>104</v>
      </c>
      <c r="J1548">
        <v>3</v>
      </c>
      <c r="K1548">
        <v>4</v>
      </c>
      <c r="L1548">
        <v>51</v>
      </c>
      <c r="M1548" t="s">
        <v>20</v>
      </c>
      <c r="N1548" t="s">
        <v>39</v>
      </c>
      <c r="O1548">
        <v>25055</v>
      </c>
      <c r="P1548">
        <v>129</v>
      </c>
      <c r="Q1548" t="s">
        <v>37</v>
      </c>
      <c r="R1548" t="str">
        <f t="shared" si="25"/>
        <v>Yes</v>
      </c>
    </row>
    <row r="1549" spans="1:18" x14ac:dyDescent="0.35">
      <c r="A1549" s="1">
        <v>40390</v>
      </c>
      <c r="B1549">
        <v>0</v>
      </c>
      <c r="C1549" t="s">
        <v>72</v>
      </c>
      <c r="D1549" t="s">
        <v>40</v>
      </c>
      <c r="E1549" t="s">
        <v>30</v>
      </c>
      <c r="F1549">
        <v>105</v>
      </c>
      <c r="G1549" t="s">
        <v>29</v>
      </c>
      <c r="H1549" t="s">
        <v>30</v>
      </c>
      <c r="I1549">
        <v>104</v>
      </c>
      <c r="J1549">
        <v>0</v>
      </c>
      <c r="K1549">
        <v>4</v>
      </c>
      <c r="L1549">
        <v>51</v>
      </c>
      <c r="M1549" t="s">
        <v>20</v>
      </c>
      <c r="N1549" t="s">
        <v>76</v>
      </c>
      <c r="O1549">
        <v>40799</v>
      </c>
      <c r="P1549">
        <v>127</v>
      </c>
      <c r="Q1549" t="s">
        <v>29</v>
      </c>
      <c r="R1549" t="str">
        <f t="shared" si="25"/>
        <v>Yes</v>
      </c>
    </row>
    <row r="1550" spans="1:18" x14ac:dyDescent="0.35">
      <c r="A1550" s="1">
        <v>40390</v>
      </c>
      <c r="B1550">
        <v>0</v>
      </c>
      <c r="C1550" t="s">
        <v>72</v>
      </c>
      <c r="D1550" t="s">
        <v>59</v>
      </c>
      <c r="E1550" t="s">
        <v>30</v>
      </c>
      <c r="F1550">
        <v>103</v>
      </c>
      <c r="G1550" t="s">
        <v>44</v>
      </c>
      <c r="H1550" t="s">
        <v>30</v>
      </c>
      <c r="I1550">
        <v>103</v>
      </c>
      <c r="J1550">
        <v>5</v>
      </c>
      <c r="K1550">
        <v>4</v>
      </c>
      <c r="L1550">
        <v>54</v>
      </c>
      <c r="M1550" t="s">
        <v>20</v>
      </c>
      <c r="N1550" t="s">
        <v>45</v>
      </c>
      <c r="O1550">
        <v>36973</v>
      </c>
      <c r="P1550">
        <v>178</v>
      </c>
      <c r="Q1550" t="s">
        <v>59</v>
      </c>
      <c r="R1550" t="str">
        <f t="shared" si="25"/>
        <v>No</v>
      </c>
    </row>
    <row r="1551" spans="1:18" x14ac:dyDescent="0.35">
      <c r="A1551" s="1">
        <v>40390</v>
      </c>
      <c r="B1551">
        <v>0</v>
      </c>
      <c r="C1551" t="s">
        <v>72</v>
      </c>
      <c r="D1551" t="s">
        <v>33</v>
      </c>
      <c r="E1551" t="s">
        <v>30</v>
      </c>
      <c r="F1551">
        <v>104</v>
      </c>
      <c r="G1551" t="s">
        <v>46</v>
      </c>
      <c r="H1551" t="s">
        <v>30</v>
      </c>
      <c r="I1551">
        <v>104</v>
      </c>
      <c r="J1551">
        <v>2</v>
      </c>
      <c r="K1551">
        <v>1</v>
      </c>
      <c r="L1551">
        <v>54</v>
      </c>
      <c r="M1551" t="s">
        <v>38</v>
      </c>
      <c r="N1551" t="s">
        <v>78</v>
      </c>
      <c r="O1551">
        <v>22663</v>
      </c>
      <c r="P1551">
        <v>168</v>
      </c>
      <c r="Q1551" t="s">
        <v>33</v>
      </c>
      <c r="R1551" t="str">
        <f t="shared" si="25"/>
        <v>No</v>
      </c>
    </row>
    <row r="1552" spans="1:18" x14ac:dyDescent="0.35">
      <c r="A1552" s="1">
        <v>40390</v>
      </c>
      <c r="B1552">
        <v>0</v>
      </c>
      <c r="C1552" t="s">
        <v>72</v>
      </c>
      <c r="D1552" t="s">
        <v>50</v>
      </c>
      <c r="E1552" t="s">
        <v>18</v>
      </c>
      <c r="F1552">
        <v>103</v>
      </c>
      <c r="G1552" t="s">
        <v>53</v>
      </c>
      <c r="H1552" t="s">
        <v>18</v>
      </c>
      <c r="I1552">
        <v>105</v>
      </c>
      <c r="J1552">
        <v>2</v>
      </c>
      <c r="K1552">
        <v>5</v>
      </c>
      <c r="L1552">
        <v>51</v>
      </c>
      <c r="M1552" t="s">
        <v>38</v>
      </c>
      <c r="N1552" t="s">
        <v>54</v>
      </c>
      <c r="O1552">
        <v>41611</v>
      </c>
      <c r="P1552">
        <v>173</v>
      </c>
      <c r="Q1552" t="s">
        <v>53</v>
      </c>
      <c r="R1552" t="str">
        <f t="shared" si="25"/>
        <v>Yes</v>
      </c>
    </row>
    <row r="1553" spans="1:18" x14ac:dyDescent="0.35">
      <c r="A1553" s="1">
        <v>40390</v>
      </c>
      <c r="B1553">
        <v>0</v>
      </c>
      <c r="C1553" t="s">
        <v>72</v>
      </c>
      <c r="D1553" t="s">
        <v>49</v>
      </c>
      <c r="E1553" t="s">
        <v>18</v>
      </c>
      <c r="F1553">
        <v>104</v>
      </c>
      <c r="G1553" t="s">
        <v>63</v>
      </c>
      <c r="H1553" t="s">
        <v>18</v>
      </c>
      <c r="I1553">
        <v>104</v>
      </c>
      <c r="J1553">
        <v>5</v>
      </c>
      <c r="K1553">
        <v>6</v>
      </c>
      <c r="L1553">
        <v>51</v>
      </c>
      <c r="M1553" t="s">
        <v>20</v>
      </c>
      <c r="N1553" t="s">
        <v>64</v>
      </c>
      <c r="O1553">
        <v>48065</v>
      </c>
      <c r="P1553">
        <v>145</v>
      </c>
      <c r="Q1553" t="s">
        <v>63</v>
      </c>
      <c r="R1553" t="str">
        <f t="shared" si="25"/>
        <v>Yes</v>
      </c>
    </row>
    <row r="1554" spans="1:18" x14ac:dyDescent="0.35">
      <c r="A1554" s="1">
        <v>40390</v>
      </c>
      <c r="B1554">
        <v>0</v>
      </c>
      <c r="C1554" t="s">
        <v>72</v>
      </c>
      <c r="D1554" t="s">
        <v>68</v>
      </c>
      <c r="E1554" t="s">
        <v>18</v>
      </c>
      <c r="F1554">
        <v>105</v>
      </c>
      <c r="G1554" t="s">
        <v>66</v>
      </c>
      <c r="H1554" t="s">
        <v>18</v>
      </c>
      <c r="I1554">
        <v>103</v>
      </c>
      <c r="J1554">
        <v>0</v>
      </c>
      <c r="K1554">
        <v>6</v>
      </c>
      <c r="L1554">
        <v>51</v>
      </c>
      <c r="M1554" t="s">
        <v>20</v>
      </c>
      <c r="N1554" t="s">
        <v>67</v>
      </c>
      <c r="O1554">
        <v>38824</v>
      </c>
      <c r="P1554">
        <v>162</v>
      </c>
      <c r="Q1554" t="s">
        <v>66</v>
      </c>
      <c r="R1554" t="str">
        <f t="shared" si="25"/>
        <v>Yes</v>
      </c>
    </row>
    <row r="1555" spans="1:18" x14ac:dyDescent="0.35">
      <c r="A1555" s="1">
        <v>40390</v>
      </c>
      <c r="B1555">
        <v>0</v>
      </c>
      <c r="C1555" t="s">
        <v>72</v>
      </c>
      <c r="D1555" t="s">
        <v>60</v>
      </c>
      <c r="E1555" t="s">
        <v>18</v>
      </c>
      <c r="F1555">
        <v>104</v>
      </c>
      <c r="G1555" t="s">
        <v>19</v>
      </c>
      <c r="H1555" t="s">
        <v>18</v>
      </c>
      <c r="I1555">
        <v>104</v>
      </c>
      <c r="J1555">
        <v>4</v>
      </c>
      <c r="K1555">
        <v>5</v>
      </c>
      <c r="L1555">
        <v>53</v>
      </c>
      <c r="M1555" t="s">
        <v>20</v>
      </c>
      <c r="N1555" t="s">
        <v>21</v>
      </c>
      <c r="O1555">
        <v>35287</v>
      </c>
      <c r="P1555">
        <v>192</v>
      </c>
      <c r="Q1555" t="s">
        <v>19</v>
      </c>
      <c r="R1555" t="str">
        <f t="shared" si="25"/>
        <v>Yes</v>
      </c>
    </row>
    <row r="1556" spans="1:18" x14ac:dyDescent="0.35">
      <c r="A1556" s="1">
        <v>40390</v>
      </c>
      <c r="B1556">
        <v>0</v>
      </c>
      <c r="C1556" t="s">
        <v>72</v>
      </c>
      <c r="D1556" t="s">
        <v>17</v>
      </c>
      <c r="E1556" t="s">
        <v>18</v>
      </c>
      <c r="F1556">
        <v>104</v>
      </c>
      <c r="G1556" t="s">
        <v>62</v>
      </c>
      <c r="H1556" t="s">
        <v>18</v>
      </c>
      <c r="I1556">
        <v>102</v>
      </c>
      <c r="J1556">
        <v>6</v>
      </c>
      <c r="K1556">
        <v>3</v>
      </c>
      <c r="L1556">
        <v>54</v>
      </c>
      <c r="M1556" t="s">
        <v>20</v>
      </c>
      <c r="N1556" t="s">
        <v>81</v>
      </c>
      <c r="O1556">
        <v>42072</v>
      </c>
      <c r="P1556">
        <v>159</v>
      </c>
      <c r="Q1556" t="s">
        <v>17</v>
      </c>
      <c r="R1556" t="str">
        <f t="shared" si="25"/>
        <v>No</v>
      </c>
    </row>
    <row r="1557" spans="1:18" x14ac:dyDescent="0.35">
      <c r="A1557" s="1">
        <v>40390</v>
      </c>
      <c r="B1557">
        <v>0</v>
      </c>
      <c r="C1557" t="s">
        <v>72</v>
      </c>
      <c r="D1557" t="s">
        <v>22</v>
      </c>
      <c r="E1557" t="s">
        <v>18</v>
      </c>
      <c r="F1557">
        <v>104</v>
      </c>
      <c r="G1557" t="s">
        <v>70</v>
      </c>
      <c r="H1557" t="s">
        <v>18</v>
      </c>
      <c r="I1557">
        <v>105</v>
      </c>
      <c r="J1557">
        <v>1</v>
      </c>
      <c r="K1557">
        <v>2</v>
      </c>
      <c r="L1557">
        <v>51</v>
      </c>
      <c r="M1557" t="s">
        <v>38</v>
      </c>
      <c r="N1557" t="s">
        <v>71</v>
      </c>
      <c r="O1557">
        <v>42882</v>
      </c>
      <c r="P1557">
        <v>160</v>
      </c>
      <c r="Q1557" t="s">
        <v>70</v>
      </c>
      <c r="R1557" t="str">
        <f t="shared" si="25"/>
        <v>Yes</v>
      </c>
    </row>
    <row r="1558" spans="1:18" x14ac:dyDescent="0.35">
      <c r="A1558" s="1">
        <v>40390</v>
      </c>
      <c r="B1558">
        <v>0</v>
      </c>
      <c r="C1558" t="s">
        <v>72</v>
      </c>
      <c r="D1558" t="s">
        <v>23</v>
      </c>
      <c r="E1558" t="s">
        <v>18</v>
      </c>
      <c r="F1558">
        <v>103</v>
      </c>
      <c r="G1558" t="s">
        <v>52</v>
      </c>
      <c r="H1558" t="s">
        <v>18</v>
      </c>
      <c r="I1558">
        <v>104</v>
      </c>
      <c r="J1558">
        <v>1</v>
      </c>
      <c r="K1558">
        <v>11</v>
      </c>
      <c r="L1558">
        <v>51</v>
      </c>
      <c r="M1558" t="s">
        <v>20</v>
      </c>
      <c r="N1558" t="s">
        <v>82</v>
      </c>
      <c r="O1558">
        <v>45783</v>
      </c>
      <c r="P1558">
        <v>203</v>
      </c>
      <c r="Q1558" t="s">
        <v>52</v>
      </c>
      <c r="R1558" t="str">
        <f t="shared" si="25"/>
        <v>Yes</v>
      </c>
    </row>
    <row r="1559" spans="1:18" x14ac:dyDescent="0.35">
      <c r="A1559" s="1">
        <v>40390</v>
      </c>
      <c r="B1559">
        <v>0</v>
      </c>
      <c r="C1559" t="s">
        <v>72</v>
      </c>
      <c r="D1559" t="s">
        <v>25</v>
      </c>
      <c r="E1559" t="s">
        <v>18</v>
      </c>
      <c r="F1559">
        <v>104</v>
      </c>
      <c r="G1559" t="s">
        <v>26</v>
      </c>
      <c r="H1559" t="s">
        <v>18</v>
      </c>
      <c r="I1559">
        <v>104</v>
      </c>
      <c r="J1559">
        <v>5</v>
      </c>
      <c r="K1559">
        <v>7</v>
      </c>
      <c r="L1559">
        <v>52</v>
      </c>
      <c r="M1559" t="s">
        <v>20</v>
      </c>
      <c r="N1559" t="s">
        <v>27</v>
      </c>
      <c r="O1559">
        <v>38049</v>
      </c>
      <c r="P1559">
        <v>194</v>
      </c>
      <c r="Q1559" t="s">
        <v>26</v>
      </c>
      <c r="R1559" t="str">
        <f t="shared" si="25"/>
        <v>Yes</v>
      </c>
    </row>
    <row r="1560" spans="1:18" x14ac:dyDescent="0.35">
      <c r="A1560" s="1">
        <v>40391</v>
      </c>
      <c r="B1560">
        <v>0</v>
      </c>
      <c r="C1560" t="s">
        <v>73</v>
      </c>
      <c r="D1560" t="s">
        <v>47</v>
      </c>
      <c r="E1560" t="s">
        <v>30</v>
      </c>
      <c r="F1560">
        <v>105</v>
      </c>
      <c r="G1560" t="s">
        <v>31</v>
      </c>
      <c r="H1560" t="s">
        <v>30</v>
      </c>
      <c r="I1560">
        <v>107</v>
      </c>
      <c r="J1560">
        <v>1</v>
      </c>
      <c r="K1560">
        <v>4</v>
      </c>
      <c r="L1560">
        <v>51</v>
      </c>
      <c r="M1560" t="s">
        <v>38</v>
      </c>
      <c r="N1560" t="s">
        <v>32</v>
      </c>
      <c r="O1560">
        <v>41019</v>
      </c>
      <c r="P1560">
        <v>150</v>
      </c>
      <c r="Q1560" t="s">
        <v>31</v>
      </c>
      <c r="R1560" t="str">
        <f t="shared" si="25"/>
        <v>Yes</v>
      </c>
    </row>
    <row r="1561" spans="1:18" x14ac:dyDescent="0.35">
      <c r="A1561" s="1">
        <v>40391</v>
      </c>
      <c r="B1561">
        <v>0</v>
      </c>
      <c r="C1561" t="s">
        <v>73</v>
      </c>
      <c r="D1561" t="s">
        <v>36</v>
      </c>
      <c r="E1561" t="s">
        <v>30</v>
      </c>
      <c r="F1561">
        <v>104</v>
      </c>
      <c r="G1561" t="s">
        <v>58</v>
      </c>
      <c r="H1561" t="s">
        <v>30</v>
      </c>
      <c r="I1561">
        <v>105</v>
      </c>
      <c r="J1561">
        <v>3</v>
      </c>
      <c r="K1561">
        <v>4</v>
      </c>
      <c r="L1561">
        <v>51</v>
      </c>
      <c r="M1561" t="s">
        <v>38</v>
      </c>
      <c r="N1561" t="s">
        <v>86</v>
      </c>
      <c r="O1561">
        <v>37479</v>
      </c>
      <c r="P1561">
        <v>168</v>
      </c>
      <c r="Q1561" t="s">
        <v>58</v>
      </c>
      <c r="R1561" t="str">
        <f t="shared" si="25"/>
        <v>Yes</v>
      </c>
    </row>
    <row r="1562" spans="1:18" x14ac:dyDescent="0.35">
      <c r="A1562" s="1">
        <v>40391</v>
      </c>
      <c r="B1562">
        <v>0</v>
      </c>
      <c r="C1562" t="s">
        <v>73</v>
      </c>
      <c r="D1562" t="s">
        <v>41</v>
      </c>
      <c r="E1562" t="s">
        <v>30</v>
      </c>
      <c r="F1562">
        <v>104</v>
      </c>
      <c r="G1562" t="s">
        <v>34</v>
      </c>
      <c r="H1562" t="s">
        <v>30</v>
      </c>
      <c r="I1562">
        <v>104</v>
      </c>
      <c r="J1562">
        <v>1</v>
      </c>
      <c r="K1562">
        <v>4</v>
      </c>
      <c r="L1562">
        <v>51</v>
      </c>
      <c r="M1562" t="s">
        <v>38</v>
      </c>
      <c r="N1562" t="s">
        <v>35</v>
      </c>
      <c r="O1562">
        <v>32118</v>
      </c>
      <c r="P1562">
        <v>139</v>
      </c>
      <c r="Q1562" t="s">
        <v>34</v>
      </c>
      <c r="R1562" t="str">
        <f t="shared" si="25"/>
        <v>Yes</v>
      </c>
    </row>
    <row r="1563" spans="1:18" x14ac:dyDescent="0.35">
      <c r="A1563" s="1">
        <v>40391</v>
      </c>
      <c r="B1563">
        <v>0</v>
      </c>
      <c r="C1563" t="s">
        <v>73</v>
      </c>
      <c r="D1563" t="s">
        <v>43</v>
      </c>
      <c r="E1563" t="s">
        <v>30</v>
      </c>
      <c r="F1563">
        <v>105</v>
      </c>
      <c r="G1563" t="s">
        <v>37</v>
      </c>
      <c r="H1563" t="s">
        <v>30</v>
      </c>
      <c r="I1563">
        <v>105</v>
      </c>
      <c r="J1563">
        <v>4</v>
      </c>
      <c r="K1563">
        <v>5</v>
      </c>
      <c r="L1563">
        <v>51</v>
      </c>
      <c r="M1563" t="s">
        <v>38</v>
      </c>
      <c r="N1563" t="s">
        <v>39</v>
      </c>
      <c r="O1563">
        <v>14662</v>
      </c>
      <c r="P1563">
        <v>171</v>
      </c>
      <c r="Q1563" t="s">
        <v>37</v>
      </c>
      <c r="R1563" t="str">
        <f t="shared" si="25"/>
        <v>Yes</v>
      </c>
    </row>
    <row r="1564" spans="1:18" x14ac:dyDescent="0.35">
      <c r="A1564" s="1">
        <v>40391</v>
      </c>
      <c r="B1564">
        <v>0</v>
      </c>
      <c r="C1564" t="s">
        <v>73</v>
      </c>
      <c r="D1564" t="s">
        <v>40</v>
      </c>
      <c r="E1564" t="s">
        <v>30</v>
      </c>
      <c r="F1564">
        <v>106</v>
      </c>
      <c r="G1564" t="s">
        <v>29</v>
      </c>
      <c r="H1564" t="s">
        <v>30</v>
      </c>
      <c r="I1564">
        <v>105</v>
      </c>
      <c r="J1564">
        <v>0</v>
      </c>
      <c r="K1564">
        <v>4</v>
      </c>
      <c r="L1564">
        <v>51</v>
      </c>
      <c r="M1564" t="s">
        <v>38</v>
      </c>
      <c r="N1564" t="s">
        <v>76</v>
      </c>
      <c r="O1564">
        <v>40374</v>
      </c>
      <c r="P1564">
        <v>134</v>
      </c>
      <c r="Q1564" t="s">
        <v>29</v>
      </c>
      <c r="R1564" t="str">
        <f t="shared" si="25"/>
        <v>Yes</v>
      </c>
    </row>
    <row r="1565" spans="1:18" x14ac:dyDescent="0.35">
      <c r="A1565" s="1">
        <v>40391</v>
      </c>
      <c r="B1565">
        <v>0</v>
      </c>
      <c r="C1565" t="s">
        <v>73</v>
      </c>
      <c r="D1565" t="s">
        <v>59</v>
      </c>
      <c r="E1565" t="s">
        <v>30</v>
      </c>
      <c r="F1565">
        <v>104</v>
      </c>
      <c r="G1565" t="s">
        <v>44</v>
      </c>
      <c r="H1565" t="s">
        <v>30</v>
      </c>
      <c r="I1565">
        <v>104</v>
      </c>
      <c r="J1565">
        <v>0</v>
      </c>
      <c r="K1565">
        <v>3</v>
      </c>
      <c r="L1565">
        <v>51</v>
      </c>
      <c r="M1565" t="s">
        <v>38</v>
      </c>
      <c r="N1565" t="s">
        <v>45</v>
      </c>
      <c r="O1565">
        <v>36973</v>
      </c>
      <c r="P1565">
        <v>186</v>
      </c>
      <c r="Q1565" t="s">
        <v>44</v>
      </c>
      <c r="R1565" t="str">
        <f t="shared" si="25"/>
        <v>Yes</v>
      </c>
    </row>
    <row r="1566" spans="1:18" x14ac:dyDescent="0.35">
      <c r="A1566" s="1">
        <v>40391</v>
      </c>
      <c r="B1566">
        <v>0</v>
      </c>
      <c r="C1566" t="s">
        <v>73</v>
      </c>
      <c r="D1566" t="s">
        <v>33</v>
      </c>
      <c r="E1566" t="s">
        <v>30</v>
      </c>
      <c r="F1566">
        <v>105</v>
      </c>
      <c r="G1566" t="s">
        <v>46</v>
      </c>
      <c r="H1566" t="s">
        <v>30</v>
      </c>
      <c r="I1566">
        <v>105</v>
      </c>
      <c r="J1566">
        <v>5</v>
      </c>
      <c r="K1566">
        <v>4</v>
      </c>
      <c r="L1566">
        <v>54</v>
      </c>
      <c r="M1566" t="s">
        <v>38</v>
      </c>
      <c r="N1566" t="s">
        <v>78</v>
      </c>
      <c r="O1566">
        <v>21797</v>
      </c>
      <c r="P1566">
        <v>179</v>
      </c>
      <c r="Q1566" t="s">
        <v>33</v>
      </c>
      <c r="R1566" t="str">
        <f t="shared" si="25"/>
        <v>No</v>
      </c>
    </row>
    <row r="1567" spans="1:18" x14ac:dyDescent="0.35">
      <c r="A1567" s="1">
        <v>40391</v>
      </c>
      <c r="B1567">
        <v>0</v>
      </c>
      <c r="C1567" t="s">
        <v>73</v>
      </c>
      <c r="D1567" t="s">
        <v>50</v>
      </c>
      <c r="E1567" t="s">
        <v>18</v>
      </c>
      <c r="F1567">
        <v>104</v>
      </c>
      <c r="G1567" t="s">
        <v>53</v>
      </c>
      <c r="H1567" t="s">
        <v>18</v>
      </c>
      <c r="I1567">
        <v>106</v>
      </c>
      <c r="J1567">
        <v>1</v>
      </c>
      <c r="K1567">
        <v>2</v>
      </c>
      <c r="L1567">
        <v>51</v>
      </c>
      <c r="M1567" t="s">
        <v>38</v>
      </c>
      <c r="N1567" t="s">
        <v>54</v>
      </c>
      <c r="O1567">
        <v>40871</v>
      </c>
      <c r="P1567">
        <v>168</v>
      </c>
      <c r="Q1567" t="s">
        <v>53</v>
      </c>
      <c r="R1567" t="str">
        <f t="shared" si="25"/>
        <v>Yes</v>
      </c>
    </row>
    <row r="1568" spans="1:18" x14ac:dyDescent="0.35">
      <c r="A1568" s="1">
        <v>40391</v>
      </c>
      <c r="B1568">
        <v>0</v>
      </c>
      <c r="C1568" t="s">
        <v>73</v>
      </c>
      <c r="D1568" t="s">
        <v>49</v>
      </c>
      <c r="E1568" t="s">
        <v>18</v>
      </c>
      <c r="F1568">
        <v>105</v>
      </c>
      <c r="G1568" t="s">
        <v>63</v>
      </c>
      <c r="H1568" t="s">
        <v>18</v>
      </c>
      <c r="I1568">
        <v>105</v>
      </c>
      <c r="J1568">
        <v>7</v>
      </c>
      <c r="K1568">
        <v>8</v>
      </c>
      <c r="L1568">
        <v>51</v>
      </c>
      <c r="M1568" t="s">
        <v>38</v>
      </c>
      <c r="N1568" t="s">
        <v>64</v>
      </c>
      <c r="O1568">
        <v>38256</v>
      </c>
      <c r="P1568">
        <v>191</v>
      </c>
      <c r="Q1568" t="s">
        <v>63</v>
      </c>
      <c r="R1568" t="str">
        <f t="shared" si="25"/>
        <v>Yes</v>
      </c>
    </row>
    <row r="1569" spans="1:18" x14ac:dyDescent="0.35">
      <c r="A1569" s="1">
        <v>40391</v>
      </c>
      <c r="B1569">
        <v>0</v>
      </c>
      <c r="C1569" t="s">
        <v>73</v>
      </c>
      <c r="D1569" t="s">
        <v>68</v>
      </c>
      <c r="E1569" t="s">
        <v>18</v>
      </c>
      <c r="F1569">
        <v>106</v>
      </c>
      <c r="G1569" t="s">
        <v>66</v>
      </c>
      <c r="H1569" t="s">
        <v>18</v>
      </c>
      <c r="I1569">
        <v>104</v>
      </c>
      <c r="J1569">
        <v>2</v>
      </c>
      <c r="K1569">
        <v>5</v>
      </c>
      <c r="L1569">
        <v>51</v>
      </c>
      <c r="M1569" t="s">
        <v>38</v>
      </c>
      <c r="N1569" t="s">
        <v>67</v>
      </c>
      <c r="O1569">
        <v>27964</v>
      </c>
      <c r="P1569">
        <v>153</v>
      </c>
      <c r="Q1569" t="s">
        <v>66</v>
      </c>
      <c r="R1569" t="str">
        <f t="shared" si="25"/>
        <v>Yes</v>
      </c>
    </row>
    <row r="1570" spans="1:18" x14ac:dyDescent="0.35">
      <c r="A1570" s="1">
        <v>40391</v>
      </c>
      <c r="B1570">
        <v>0</v>
      </c>
      <c r="C1570" t="s">
        <v>73</v>
      </c>
      <c r="D1570" t="s">
        <v>60</v>
      </c>
      <c r="E1570" t="s">
        <v>18</v>
      </c>
      <c r="F1570">
        <v>105</v>
      </c>
      <c r="G1570" t="s">
        <v>19</v>
      </c>
      <c r="H1570" t="s">
        <v>18</v>
      </c>
      <c r="I1570">
        <v>105</v>
      </c>
      <c r="J1570">
        <v>14</v>
      </c>
      <c r="K1570">
        <v>1</v>
      </c>
      <c r="L1570">
        <v>54</v>
      </c>
      <c r="M1570" t="s">
        <v>38</v>
      </c>
      <c r="N1570" t="s">
        <v>21</v>
      </c>
      <c r="O1570">
        <v>35014</v>
      </c>
      <c r="P1570">
        <v>161</v>
      </c>
      <c r="Q1570" t="s">
        <v>60</v>
      </c>
      <c r="R1570" t="str">
        <f t="shared" si="25"/>
        <v>No</v>
      </c>
    </row>
    <row r="1571" spans="1:18" x14ac:dyDescent="0.35">
      <c r="A1571" s="1">
        <v>40391</v>
      </c>
      <c r="B1571">
        <v>0</v>
      </c>
      <c r="C1571" t="s">
        <v>73</v>
      </c>
      <c r="D1571" t="s">
        <v>17</v>
      </c>
      <c r="E1571" t="s">
        <v>18</v>
      </c>
      <c r="F1571">
        <v>105</v>
      </c>
      <c r="G1571" t="s">
        <v>62</v>
      </c>
      <c r="H1571" t="s">
        <v>18</v>
      </c>
      <c r="I1571">
        <v>103</v>
      </c>
      <c r="J1571">
        <v>4</v>
      </c>
      <c r="K1571">
        <v>5</v>
      </c>
      <c r="L1571">
        <v>51</v>
      </c>
      <c r="M1571" t="s">
        <v>38</v>
      </c>
      <c r="N1571" t="s">
        <v>81</v>
      </c>
      <c r="O1571">
        <v>27560</v>
      </c>
      <c r="P1571">
        <v>177</v>
      </c>
      <c r="Q1571" t="s">
        <v>62</v>
      </c>
      <c r="R1571" t="str">
        <f t="shared" si="25"/>
        <v>Yes</v>
      </c>
    </row>
    <row r="1572" spans="1:18" x14ac:dyDescent="0.35">
      <c r="A1572" s="1">
        <v>40391</v>
      </c>
      <c r="B1572">
        <v>0</v>
      </c>
      <c r="C1572" t="s">
        <v>73</v>
      </c>
      <c r="D1572" t="s">
        <v>22</v>
      </c>
      <c r="E1572" t="s">
        <v>18</v>
      </c>
      <c r="F1572">
        <v>105</v>
      </c>
      <c r="G1572" t="s">
        <v>70</v>
      </c>
      <c r="H1572" t="s">
        <v>18</v>
      </c>
      <c r="I1572">
        <v>106</v>
      </c>
      <c r="J1572">
        <v>0</v>
      </c>
      <c r="K1572">
        <v>2</v>
      </c>
      <c r="L1572">
        <v>51</v>
      </c>
      <c r="M1572" t="s">
        <v>20</v>
      </c>
      <c r="N1572" t="s">
        <v>71</v>
      </c>
      <c r="O1572">
        <v>42922</v>
      </c>
      <c r="P1572">
        <v>164</v>
      </c>
      <c r="Q1572" t="s">
        <v>70</v>
      </c>
      <c r="R1572" t="str">
        <f t="shared" si="25"/>
        <v>Yes</v>
      </c>
    </row>
    <row r="1573" spans="1:18" x14ac:dyDescent="0.35">
      <c r="A1573" s="1">
        <v>40391</v>
      </c>
      <c r="B1573">
        <v>0</v>
      </c>
      <c r="C1573" t="s">
        <v>73</v>
      </c>
      <c r="D1573" t="s">
        <v>23</v>
      </c>
      <c r="E1573" t="s">
        <v>18</v>
      </c>
      <c r="F1573">
        <v>104</v>
      </c>
      <c r="G1573" t="s">
        <v>52</v>
      </c>
      <c r="H1573" t="s">
        <v>18</v>
      </c>
      <c r="I1573">
        <v>105</v>
      </c>
      <c r="J1573">
        <v>1</v>
      </c>
      <c r="K1573">
        <v>9</v>
      </c>
      <c r="L1573">
        <v>51</v>
      </c>
      <c r="M1573" t="s">
        <v>38</v>
      </c>
      <c r="N1573" t="s">
        <v>82</v>
      </c>
      <c r="O1573">
        <v>43338</v>
      </c>
      <c r="P1573">
        <v>170</v>
      </c>
      <c r="Q1573" t="s">
        <v>52</v>
      </c>
      <c r="R1573" t="str">
        <f t="shared" si="25"/>
        <v>Yes</v>
      </c>
    </row>
    <row r="1574" spans="1:18" x14ac:dyDescent="0.35">
      <c r="A1574" s="1">
        <v>40391</v>
      </c>
      <c r="B1574">
        <v>0</v>
      </c>
      <c r="C1574" t="s">
        <v>73</v>
      </c>
      <c r="D1574" t="s">
        <v>25</v>
      </c>
      <c r="E1574" t="s">
        <v>18</v>
      </c>
      <c r="F1574">
        <v>105</v>
      </c>
      <c r="G1574" t="s">
        <v>26</v>
      </c>
      <c r="H1574" t="s">
        <v>18</v>
      </c>
      <c r="I1574">
        <v>105</v>
      </c>
      <c r="J1574">
        <v>6</v>
      </c>
      <c r="K1574">
        <v>4</v>
      </c>
      <c r="L1574">
        <v>66</v>
      </c>
      <c r="M1574" t="s">
        <v>38</v>
      </c>
      <c r="N1574" t="s">
        <v>27</v>
      </c>
      <c r="O1574">
        <v>35807</v>
      </c>
      <c r="P1574">
        <v>216</v>
      </c>
      <c r="Q1574" t="s">
        <v>25</v>
      </c>
      <c r="R1574" t="str">
        <f t="shared" si="25"/>
        <v>No</v>
      </c>
    </row>
    <row r="1575" spans="1:18" x14ac:dyDescent="0.35">
      <c r="A1575" s="1">
        <v>40392</v>
      </c>
      <c r="B1575">
        <v>0</v>
      </c>
      <c r="C1575" t="s">
        <v>74</v>
      </c>
      <c r="D1575" t="s">
        <v>33</v>
      </c>
      <c r="E1575" t="s">
        <v>30</v>
      </c>
      <c r="F1575">
        <v>106</v>
      </c>
      <c r="G1575" t="s">
        <v>58</v>
      </c>
      <c r="H1575" t="s">
        <v>30</v>
      </c>
      <c r="I1575">
        <v>106</v>
      </c>
      <c r="J1575">
        <v>6</v>
      </c>
      <c r="K1575">
        <v>5</v>
      </c>
      <c r="L1575">
        <v>54</v>
      </c>
      <c r="M1575" t="s">
        <v>20</v>
      </c>
      <c r="N1575" t="s">
        <v>86</v>
      </c>
      <c r="O1575">
        <v>37931</v>
      </c>
      <c r="P1575">
        <v>198</v>
      </c>
      <c r="Q1575" t="s">
        <v>33</v>
      </c>
      <c r="R1575" t="str">
        <f t="shared" si="25"/>
        <v>No</v>
      </c>
    </row>
    <row r="1576" spans="1:18" x14ac:dyDescent="0.35">
      <c r="A1576" s="1">
        <v>40392</v>
      </c>
      <c r="B1576">
        <v>0</v>
      </c>
      <c r="C1576" t="s">
        <v>74</v>
      </c>
      <c r="D1576" t="s">
        <v>46</v>
      </c>
      <c r="E1576" t="s">
        <v>30</v>
      </c>
      <c r="F1576">
        <v>106</v>
      </c>
      <c r="G1576" t="s">
        <v>59</v>
      </c>
      <c r="H1576" t="s">
        <v>30</v>
      </c>
      <c r="I1576">
        <v>105</v>
      </c>
      <c r="J1576">
        <v>8</v>
      </c>
      <c r="K1576">
        <v>6</v>
      </c>
      <c r="L1576">
        <v>54</v>
      </c>
      <c r="M1576" t="s">
        <v>20</v>
      </c>
      <c r="N1576" t="s">
        <v>84</v>
      </c>
      <c r="O1576">
        <v>47034</v>
      </c>
      <c r="P1576">
        <v>211</v>
      </c>
      <c r="Q1576" t="s">
        <v>46</v>
      </c>
      <c r="R1576" t="str">
        <f t="shared" si="25"/>
        <v>No</v>
      </c>
    </row>
    <row r="1577" spans="1:18" x14ac:dyDescent="0.35">
      <c r="A1577" s="1">
        <v>40392</v>
      </c>
      <c r="B1577">
        <v>0</v>
      </c>
      <c r="C1577" t="s">
        <v>74</v>
      </c>
      <c r="D1577" t="s">
        <v>37</v>
      </c>
      <c r="E1577" t="s">
        <v>30</v>
      </c>
      <c r="F1577">
        <v>106</v>
      </c>
      <c r="G1577" t="s">
        <v>41</v>
      </c>
      <c r="H1577" t="s">
        <v>30</v>
      </c>
      <c r="I1577">
        <v>105</v>
      </c>
      <c r="J1577">
        <v>0</v>
      </c>
      <c r="K1577">
        <v>6</v>
      </c>
      <c r="L1577">
        <v>51</v>
      </c>
      <c r="M1577" t="s">
        <v>20</v>
      </c>
      <c r="N1577" t="s">
        <v>42</v>
      </c>
      <c r="O1577">
        <v>10047</v>
      </c>
      <c r="P1577">
        <v>142</v>
      </c>
      <c r="Q1577" t="s">
        <v>41</v>
      </c>
      <c r="R1577" t="str">
        <f t="shared" si="25"/>
        <v>Yes</v>
      </c>
    </row>
    <row r="1578" spans="1:18" x14ac:dyDescent="0.35">
      <c r="A1578" s="1">
        <v>40392</v>
      </c>
      <c r="B1578">
        <v>0</v>
      </c>
      <c r="C1578" t="s">
        <v>74</v>
      </c>
      <c r="D1578" t="s">
        <v>29</v>
      </c>
      <c r="E1578" t="s">
        <v>30</v>
      </c>
      <c r="F1578">
        <v>106</v>
      </c>
      <c r="G1578" t="s">
        <v>44</v>
      </c>
      <c r="H1578" t="s">
        <v>30</v>
      </c>
      <c r="I1578">
        <v>105</v>
      </c>
      <c r="J1578">
        <v>2</v>
      </c>
      <c r="K1578">
        <v>4</v>
      </c>
      <c r="L1578">
        <v>51</v>
      </c>
      <c r="M1578" t="s">
        <v>20</v>
      </c>
      <c r="N1578" t="s">
        <v>45</v>
      </c>
      <c r="O1578">
        <v>17689</v>
      </c>
      <c r="P1578">
        <v>168</v>
      </c>
      <c r="Q1578" t="s">
        <v>44</v>
      </c>
      <c r="R1578" t="str">
        <f t="shared" si="25"/>
        <v>Yes</v>
      </c>
    </row>
    <row r="1579" spans="1:18" x14ac:dyDescent="0.35">
      <c r="A1579" s="1">
        <v>40392</v>
      </c>
      <c r="B1579">
        <v>0</v>
      </c>
      <c r="C1579" t="s">
        <v>74</v>
      </c>
      <c r="D1579" t="s">
        <v>26</v>
      </c>
      <c r="E1579" t="s">
        <v>18</v>
      </c>
      <c r="F1579">
        <v>106</v>
      </c>
      <c r="G1579" t="s">
        <v>60</v>
      </c>
      <c r="H1579" t="s">
        <v>18</v>
      </c>
      <c r="I1579">
        <v>106</v>
      </c>
      <c r="J1579">
        <v>3</v>
      </c>
      <c r="K1579">
        <v>1</v>
      </c>
      <c r="L1579">
        <v>54</v>
      </c>
      <c r="M1579" t="s">
        <v>20</v>
      </c>
      <c r="N1579" t="s">
        <v>61</v>
      </c>
      <c r="O1579">
        <v>16793</v>
      </c>
      <c r="P1579">
        <v>139</v>
      </c>
      <c r="Q1579" t="s">
        <v>26</v>
      </c>
      <c r="R1579" t="str">
        <f t="shared" si="25"/>
        <v>No</v>
      </c>
    </row>
    <row r="1580" spans="1:18" x14ac:dyDescent="0.35">
      <c r="A1580" s="1">
        <v>40392</v>
      </c>
      <c r="B1580">
        <v>0</v>
      </c>
      <c r="C1580" t="s">
        <v>74</v>
      </c>
      <c r="D1580" t="s">
        <v>19</v>
      </c>
      <c r="E1580" t="s">
        <v>18</v>
      </c>
      <c r="F1580">
        <v>106</v>
      </c>
      <c r="G1580" t="s">
        <v>50</v>
      </c>
      <c r="H1580" t="s">
        <v>18</v>
      </c>
      <c r="I1580">
        <v>105</v>
      </c>
      <c r="J1580">
        <v>1</v>
      </c>
      <c r="K1580">
        <v>4</v>
      </c>
      <c r="L1580">
        <v>51</v>
      </c>
      <c r="M1580" t="s">
        <v>20</v>
      </c>
      <c r="N1580" t="s">
        <v>51</v>
      </c>
      <c r="O1580">
        <v>33030</v>
      </c>
      <c r="P1580">
        <v>180</v>
      </c>
      <c r="Q1580" t="s">
        <v>50</v>
      </c>
      <c r="R1580" t="str">
        <f t="shared" si="25"/>
        <v>Yes</v>
      </c>
    </row>
    <row r="1581" spans="1:18" x14ac:dyDescent="0.35">
      <c r="A1581" s="1">
        <v>40392</v>
      </c>
      <c r="B1581">
        <v>0</v>
      </c>
      <c r="C1581" t="s">
        <v>74</v>
      </c>
      <c r="D1581" t="s">
        <v>68</v>
      </c>
      <c r="E1581" t="s">
        <v>18</v>
      </c>
      <c r="F1581">
        <v>107</v>
      </c>
      <c r="G1581" t="s">
        <v>49</v>
      </c>
      <c r="H1581" t="s">
        <v>18</v>
      </c>
      <c r="I1581">
        <v>106</v>
      </c>
      <c r="J1581">
        <v>18</v>
      </c>
      <c r="K1581">
        <v>1</v>
      </c>
      <c r="L1581">
        <v>54</v>
      </c>
      <c r="M1581" t="s">
        <v>20</v>
      </c>
      <c r="N1581" t="s">
        <v>79</v>
      </c>
      <c r="O1581">
        <v>37731</v>
      </c>
      <c r="P1581">
        <v>198</v>
      </c>
      <c r="Q1581" t="s">
        <v>68</v>
      </c>
      <c r="R1581" t="str">
        <f t="shared" si="25"/>
        <v>No</v>
      </c>
    </row>
    <row r="1582" spans="1:18" x14ac:dyDescent="0.35">
      <c r="A1582" s="1">
        <v>40392</v>
      </c>
      <c r="B1582">
        <v>0</v>
      </c>
      <c r="C1582" t="s">
        <v>74</v>
      </c>
      <c r="D1582" t="s">
        <v>62</v>
      </c>
      <c r="E1582" t="s">
        <v>18</v>
      </c>
      <c r="F1582">
        <v>104</v>
      </c>
      <c r="G1582" t="s">
        <v>22</v>
      </c>
      <c r="H1582" t="s">
        <v>18</v>
      </c>
      <c r="I1582">
        <v>106</v>
      </c>
      <c r="J1582">
        <v>10</v>
      </c>
      <c r="K1582">
        <v>5</v>
      </c>
      <c r="L1582">
        <v>54</v>
      </c>
      <c r="M1582" t="s">
        <v>20</v>
      </c>
      <c r="N1582" t="s">
        <v>85</v>
      </c>
      <c r="O1582">
        <v>40860</v>
      </c>
      <c r="P1582">
        <v>194</v>
      </c>
      <c r="Q1582" t="s">
        <v>62</v>
      </c>
      <c r="R1582" t="str">
        <f t="shared" si="25"/>
        <v>No</v>
      </c>
    </row>
    <row r="1583" spans="1:18" x14ac:dyDescent="0.35">
      <c r="A1583" s="1">
        <v>40392</v>
      </c>
      <c r="B1583">
        <v>0</v>
      </c>
      <c r="C1583" t="s">
        <v>74</v>
      </c>
      <c r="D1583" t="s">
        <v>53</v>
      </c>
      <c r="E1583" t="s">
        <v>18</v>
      </c>
      <c r="F1583">
        <v>107</v>
      </c>
      <c r="G1583" t="s">
        <v>23</v>
      </c>
      <c r="H1583" t="s">
        <v>18</v>
      </c>
      <c r="I1583">
        <v>105</v>
      </c>
      <c r="J1583">
        <v>4</v>
      </c>
      <c r="K1583">
        <v>0</v>
      </c>
      <c r="L1583">
        <v>54</v>
      </c>
      <c r="M1583" t="s">
        <v>20</v>
      </c>
      <c r="N1583" t="s">
        <v>24</v>
      </c>
      <c r="O1583">
        <v>15172</v>
      </c>
      <c r="P1583">
        <v>166</v>
      </c>
      <c r="Q1583" t="s">
        <v>53</v>
      </c>
      <c r="R1583" t="str">
        <f t="shared" si="25"/>
        <v>No</v>
      </c>
    </row>
    <row r="1584" spans="1:18" x14ac:dyDescent="0.35">
      <c r="A1584" s="1">
        <v>40392</v>
      </c>
      <c r="B1584">
        <v>0</v>
      </c>
      <c r="C1584" t="s">
        <v>74</v>
      </c>
      <c r="D1584" t="s">
        <v>66</v>
      </c>
      <c r="E1584" t="s">
        <v>18</v>
      </c>
      <c r="F1584">
        <v>105</v>
      </c>
      <c r="G1584" t="s">
        <v>52</v>
      </c>
      <c r="H1584" t="s">
        <v>18</v>
      </c>
      <c r="I1584">
        <v>106</v>
      </c>
      <c r="J1584">
        <v>9</v>
      </c>
      <c r="K1584">
        <v>4</v>
      </c>
      <c r="L1584">
        <v>54</v>
      </c>
      <c r="M1584" t="s">
        <v>20</v>
      </c>
      <c r="N1584" t="s">
        <v>82</v>
      </c>
      <c r="O1584">
        <v>43369</v>
      </c>
      <c r="P1584">
        <v>178</v>
      </c>
      <c r="Q1584" t="s">
        <v>66</v>
      </c>
      <c r="R1584" t="str">
        <f t="shared" si="25"/>
        <v>No</v>
      </c>
    </row>
    <row r="1585" spans="1:18" x14ac:dyDescent="0.35">
      <c r="A1585" s="1">
        <v>40393</v>
      </c>
      <c r="B1585">
        <v>0</v>
      </c>
      <c r="C1585" t="s">
        <v>83</v>
      </c>
      <c r="D1585" t="s">
        <v>31</v>
      </c>
      <c r="E1585" t="s">
        <v>30</v>
      </c>
      <c r="F1585">
        <v>108</v>
      </c>
      <c r="G1585" t="s">
        <v>43</v>
      </c>
      <c r="H1585" t="s">
        <v>30</v>
      </c>
      <c r="I1585">
        <v>106</v>
      </c>
      <c r="J1585">
        <v>3</v>
      </c>
      <c r="K1585">
        <v>6</v>
      </c>
      <c r="L1585">
        <v>51</v>
      </c>
      <c r="M1585" t="s">
        <v>20</v>
      </c>
      <c r="N1585" t="s">
        <v>56</v>
      </c>
      <c r="O1585">
        <v>16723</v>
      </c>
      <c r="P1585">
        <v>143</v>
      </c>
      <c r="Q1585" t="s">
        <v>43</v>
      </c>
      <c r="R1585" t="str">
        <f t="shared" si="25"/>
        <v>Yes</v>
      </c>
    </row>
    <row r="1586" spans="1:18" x14ac:dyDescent="0.35">
      <c r="A1586" s="1">
        <v>40393</v>
      </c>
      <c r="B1586">
        <v>0</v>
      </c>
      <c r="C1586" t="s">
        <v>83</v>
      </c>
      <c r="D1586" t="s">
        <v>33</v>
      </c>
      <c r="E1586" t="s">
        <v>30</v>
      </c>
      <c r="F1586">
        <v>107</v>
      </c>
      <c r="G1586" t="s">
        <v>58</v>
      </c>
      <c r="H1586" t="s">
        <v>30</v>
      </c>
      <c r="I1586">
        <v>107</v>
      </c>
      <c r="J1586">
        <v>1</v>
      </c>
      <c r="K1586">
        <v>3</v>
      </c>
      <c r="L1586">
        <v>51</v>
      </c>
      <c r="M1586" t="s">
        <v>20</v>
      </c>
      <c r="N1586" t="s">
        <v>86</v>
      </c>
      <c r="O1586">
        <v>37714</v>
      </c>
      <c r="P1586">
        <v>161</v>
      </c>
      <c r="Q1586" t="s">
        <v>58</v>
      </c>
      <c r="R1586" t="str">
        <f t="shared" si="25"/>
        <v>Yes</v>
      </c>
    </row>
    <row r="1587" spans="1:18" x14ac:dyDescent="0.35">
      <c r="A1587" s="1">
        <v>40393</v>
      </c>
      <c r="B1587">
        <v>1</v>
      </c>
      <c r="C1587" t="s">
        <v>83</v>
      </c>
      <c r="D1587" t="s">
        <v>34</v>
      </c>
      <c r="E1587" t="s">
        <v>30</v>
      </c>
      <c r="F1587">
        <v>105</v>
      </c>
      <c r="G1587" t="s">
        <v>36</v>
      </c>
      <c r="H1587" t="s">
        <v>30</v>
      </c>
      <c r="I1587">
        <v>105</v>
      </c>
      <c r="J1587">
        <v>12</v>
      </c>
      <c r="K1587">
        <v>2</v>
      </c>
      <c r="L1587">
        <v>54</v>
      </c>
      <c r="M1587" t="s">
        <v>38</v>
      </c>
      <c r="N1587" t="s">
        <v>57</v>
      </c>
      <c r="O1587">
        <v>26141</v>
      </c>
      <c r="P1587">
        <v>145</v>
      </c>
      <c r="Q1587" t="s">
        <v>34</v>
      </c>
      <c r="R1587" t="str">
        <f t="shared" si="25"/>
        <v>No</v>
      </c>
    </row>
    <row r="1588" spans="1:18" x14ac:dyDescent="0.35">
      <c r="A1588" s="1">
        <v>40393</v>
      </c>
      <c r="B1588">
        <v>2</v>
      </c>
      <c r="C1588" t="s">
        <v>83</v>
      </c>
      <c r="D1588" t="s">
        <v>34</v>
      </c>
      <c r="E1588" t="s">
        <v>30</v>
      </c>
      <c r="F1588">
        <v>106</v>
      </c>
      <c r="G1588" t="s">
        <v>36</v>
      </c>
      <c r="H1588" t="s">
        <v>30</v>
      </c>
      <c r="I1588">
        <v>106</v>
      </c>
      <c r="J1588">
        <v>1</v>
      </c>
      <c r="K1588">
        <v>7</v>
      </c>
      <c r="L1588">
        <v>51</v>
      </c>
      <c r="M1588" t="s">
        <v>20</v>
      </c>
      <c r="N1588" t="s">
        <v>57</v>
      </c>
      <c r="O1588">
        <v>24826</v>
      </c>
      <c r="P1588">
        <v>147</v>
      </c>
      <c r="Q1588" t="s">
        <v>36</v>
      </c>
      <c r="R1588" t="str">
        <f t="shared" si="25"/>
        <v>Yes</v>
      </c>
    </row>
    <row r="1589" spans="1:18" x14ac:dyDescent="0.35">
      <c r="A1589" s="1">
        <v>40393</v>
      </c>
      <c r="B1589">
        <v>0</v>
      </c>
      <c r="C1589" t="s">
        <v>83</v>
      </c>
      <c r="D1589" t="s">
        <v>46</v>
      </c>
      <c r="E1589" t="s">
        <v>30</v>
      </c>
      <c r="F1589">
        <v>107</v>
      </c>
      <c r="G1589" t="s">
        <v>59</v>
      </c>
      <c r="H1589" t="s">
        <v>30</v>
      </c>
      <c r="I1589">
        <v>106</v>
      </c>
      <c r="J1589">
        <v>8</v>
      </c>
      <c r="K1589">
        <v>2</v>
      </c>
      <c r="L1589">
        <v>54</v>
      </c>
      <c r="M1589" t="s">
        <v>20</v>
      </c>
      <c r="N1589" t="s">
        <v>84</v>
      </c>
      <c r="O1589">
        <v>46480</v>
      </c>
      <c r="P1589">
        <v>141</v>
      </c>
      <c r="Q1589" t="s">
        <v>46</v>
      </c>
      <c r="R1589" t="str">
        <f t="shared" si="25"/>
        <v>No</v>
      </c>
    </row>
    <row r="1590" spans="1:18" x14ac:dyDescent="0.35">
      <c r="A1590" s="1">
        <v>40393</v>
      </c>
      <c r="B1590">
        <v>0</v>
      </c>
      <c r="C1590" t="s">
        <v>83</v>
      </c>
      <c r="D1590" t="s">
        <v>37</v>
      </c>
      <c r="E1590" t="s">
        <v>30</v>
      </c>
      <c r="F1590">
        <v>107</v>
      </c>
      <c r="G1590" t="s">
        <v>41</v>
      </c>
      <c r="H1590" t="s">
        <v>30</v>
      </c>
      <c r="I1590">
        <v>106</v>
      </c>
      <c r="J1590">
        <v>3</v>
      </c>
      <c r="K1590">
        <v>2</v>
      </c>
      <c r="L1590">
        <v>54</v>
      </c>
      <c r="M1590" t="s">
        <v>20</v>
      </c>
      <c r="N1590" t="s">
        <v>42</v>
      </c>
      <c r="O1590">
        <v>10670</v>
      </c>
      <c r="P1590">
        <v>165</v>
      </c>
      <c r="Q1590" t="s">
        <v>37</v>
      </c>
      <c r="R1590" t="str">
        <f t="shared" si="25"/>
        <v>No</v>
      </c>
    </row>
    <row r="1591" spans="1:18" x14ac:dyDescent="0.35">
      <c r="A1591" s="1">
        <v>40393</v>
      </c>
      <c r="B1591">
        <v>0</v>
      </c>
      <c r="C1591" t="s">
        <v>83</v>
      </c>
      <c r="D1591" t="s">
        <v>47</v>
      </c>
      <c r="E1591" t="s">
        <v>30</v>
      </c>
      <c r="F1591">
        <v>106</v>
      </c>
      <c r="G1591" t="s">
        <v>40</v>
      </c>
      <c r="H1591" t="s">
        <v>30</v>
      </c>
      <c r="I1591">
        <v>107</v>
      </c>
      <c r="J1591">
        <v>2</v>
      </c>
      <c r="K1591">
        <v>3</v>
      </c>
      <c r="L1591">
        <v>51</v>
      </c>
      <c r="M1591" t="s">
        <v>20</v>
      </c>
      <c r="N1591" t="s">
        <v>77</v>
      </c>
      <c r="O1591">
        <v>23466</v>
      </c>
      <c r="P1591">
        <v>153</v>
      </c>
      <c r="Q1591" t="s">
        <v>40</v>
      </c>
      <c r="R1591" t="str">
        <f t="shared" si="25"/>
        <v>Yes</v>
      </c>
    </row>
    <row r="1592" spans="1:18" x14ac:dyDescent="0.35">
      <c r="A1592" s="1">
        <v>40393</v>
      </c>
      <c r="B1592">
        <v>0</v>
      </c>
      <c r="C1592" t="s">
        <v>83</v>
      </c>
      <c r="D1592" t="s">
        <v>29</v>
      </c>
      <c r="E1592" t="s">
        <v>30</v>
      </c>
      <c r="F1592">
        <v>107</v>
      </c>
      <c r="G1592" t="s">
        <v>44</v>
      </c>
      <c r="H1592" t="s">
        <v>30</v>
      </c>
      <c r="I1592">
        <v>106</v>
      </c>
      <c r="J1592">
        <v>4</v>
      </c>
      <c r="K1592">
        <v>6</v>
      </c>
      <c r="L1592">
        <v>51</v>
      </c>
      <c r="M1592" t="s">
        <v>20</v>
      </c>
      <c r="N1592" t="s">
        <v>45</v>
      </c>
      <c r="O1592">
        <v>18261</v>
      </c>
      <c r="P1592">
        <v>175</v>
      </c>
      <c r="Q1592" t="s">
        <v>44</v>
      </c>
      <c r="R1592" t="str">
        <f t="shared" si="25"/>
        <v>Yes</v>
      </c>
    </row>
    <row r="1593" spans="1:18" x14ac:dyDescent="0.35">
      <c r="A1593" s="1">
        <v>40393</v>
      </c>
      <c r="B1593">
        <v>0</v>
      </c>
      <c r="C1593" t="s">
        <v>83</v>
      </c>
      <c r="D1593" t="s">
        <v>26</v>
      </c>
      <c r="E1593" t="s">
        <v>18</v>
      </c>
      <c r="F1593">
        <v>107</v>
      </c>
      <c r="G1593" t="s">
        <v>60</v>
      </c>
      <c r="H1593" t="s">
        <v>18</v>
      </c>
      <c r="I1593">
        <v>107</v>
      </c>
      <c r="J1593">
        <v>1</v>
      </c>
      <c r="K1593">
        <v>6</v>
      </c>
      <c r="L1593">
        <v>51</v>
      </c>
      <c r="M1593" t="s">
        <v>20</v>
      </c>
      <c r="N1593" t="s">
        <v>61</v>
      </c>
      <c r="O1593">
        <v>17164</v>
      </c>
      <c r="P1593">
        <v>142</v>
      </c>
      <c r="Q1593" t="s">
        <v>60</v>
      </c>
      <c r="R1593" t="str">
        <f t="shared" si="25"/>
        <v>Yes</v>
      </c>
    </row>
    <row r="1594" spans="1:18" x14ac:dyDescent="0.35">
      <c r="A1594" s="1">
        <v>40393</v>
      </c>
      <c r="B1594">
        <v>0</v>
      </c>
      <c r="C1594" t="s">
        <v>83</v>
      </c>
      <c r="D1594" t="s">
        <v>19</v>
      </c>
      <c r="E1594" t="s">
        <v>18</v>
      </c>
      <c r="F1594">
        <v>107</v>
      </c>
      <c r="G1594" t="s">
        <v>50</v>
      </c>
      <c r="H1594" t="s">
        <v>18</v>
      </c>
      <c r="I1594">
        <v>106</v>
      </c>
      <c r="J1594">
        <v>3</v>
      </c>
      <c r="K1594">
        <v>2</v>
      </c>
      <c r="L1594">
        <v>54</v>
      </c>
      <c r="M1594" t="s">
        <v>20</v>
      </c>
      <c r="N1594" t="s">
        <v>51</v>
      </c>
      <c r="O1594">
        <v>26578</v>
      </c>
      <c r="P1594">
        <v>173</v>
      </c>
      <c r="Q1594" t="s">
        <v>19</v>
      </c>
      <c r="R1594" t="str">
        <f t="shared" si="25"/>
        <v>No</v>
      </c>
    </row>
    <row r="1595" spans="1:18" x14ac:dyDescent="0.35">
      <c r="A1595" s="1">
        <v>40393</v>
      </c>
      <c r="B1595">
        <v>0</v>
      </c>
      <c r="C1595" t="s">
        <v>83</v>
      </c>
      <c r="D1595" t="s">
        <v>68</v>
      </c>
      <c r="E1595" t="s">
        <v>18</v>
      </c>
      <c r="F1595">
        <v>108</v>
      </c>
      <c r="G1595" t="s">
        <v>49</v>
      </c>
      <c r="H1595" t="s">
        <v>18</v>
      </c>
      <c r="I1595">
        <v>107</v>
      </c>
      <c r="J1595">
        <v>4</v>
      </c>
      <c r="K1595">
        <v>3</v>
      </c>
      <c r="L1595">
        <v>54</v>
      </c>
      <c r="M1595" t="s">
        <v>20</v>
      </c>
      <c r="N1595" t="s">
        <v>79</v>
      </c>
      <c r="O1595">
        <v>36183</v>
      </c>
      <c r="P1595">
        <v>198</v>
      </c>
      <c r="Q1595" t="s">
        <v>68</v>
      </c>
      <c r="R1595" t="str">
        <f t="shared" si="25"/>
        <v>No</v>
      </c>
    </row>
    <row r="1596" spans="1:18" x14ac:dyDescent="0.35">
      <c r="A1596" s="1">
        <v>40393</v>
      </c>
      <c r="B1596">
        <v>0</v>
      </c>
      <c r="C1596" t="s">
        <v>83</v>
      </c>
      <c r="D1596" t="s">
        <v>70</v>
      </c>
      <c r="E1596" t="s">
        <v>18</v>
      </c>
      <c r="F1596">
        <v>107</v>
      </c>
      <c r="G1596" t="s">
        <v>63</v>
      </c>
      <c r="H1596" t="s">
        <v>18</v>
      </c>
      <c r="I1596">
        <v>106</v>
      </c>
      <c r="J1596">
        <v>10</v>
      </c>
      <c r="K1596">
        <v>0</v>
      </c>
      <c r="L1596">
        <v>54</v>
      </c>
      <c r="M1596" t="s">
        <v>20</v>
      </c>
      <c r="N1596" t="s">
        <v>64</v>
      </c>
      <c r="O1596">
        <v>43549</v>
      </c>
      <c r="P1596">
        <v>186</v>
      </c>
      <c r="Q1596" t="s">
        <v>70</v>
      </c>
      <c r="R1596" t="str">
        <f t="shared" si="25"/>
        <v>No</v>
      </c>
    </row>
    <row r="1597" spans="1:18" x14ac:dyDescent="0.35">
      <c r="A1597" s="1">
        <v>40393</v>
      </c>
      <c r="B1597">
        <v>0</v>
      </c>
      <c r="C1597" t="s">
        <v>83</v>
      </c>
      <c r="D1597" t="s">
        <v>25</v>
      </c>
      <c r="E1597" t="s">
        <v>18</v>
      </c>
      <c r="F1597">
        <v>106</v>
      </c>
      <c r="G1597" t="s">
        <v>17</v>
      </c>
      <c r="H1597" t="s">
        <v>18</v>
      </c>
      <c r="I1597">
        <v>106</v>
      </c>
      <c r="J1597">
        <v>6</v>
      </c>
      <c r="K1597">
        <v>1</v>
      </c>
      <c r="L1597">
        <v>54</v>
      </c>
      <c r="M1597" t="s">
        <v>20</v>
      </c>
      <c r="N1597" t="s">
        <v>65</v>
      </c>
      <c r="O1597">
        <v>19378</v>
      </c>
      <c r="P1597">
        <v>161</v>
      </c>
      <c r="Q1597" t="s">
        <v>25</v>
      </c>
      <c r="R1597" t="str">
        <f t="shared" si="25"/>
        <v>No</v>
      </c>
    </row>
    <row r="1598" spans="1:18" x14ac:dyDescent="0.35">
      <c r="A1598" s="1">
        <v>40393</v>
      </c>
      <c r="B1598">
        <v>0</v>
      </c>
      <c r="C1598" t="s">
        <v>83</v>
      </c>
      <c r="D1598" t="s">
        <v>62</v>
      </c>
      <c r="E1598" t="s">
        <v>18</v>
      </c>
      <c r="F1598">
        <v>105</v>
      </c>
      <c r="G1598" t="s">
        <v>22</v>
      </c>
      <c r="H1598" t="s">
        <v>18</v>
      </c>
      <c r="I1598">
        <v>107</v>
      </c>
      <c r="J1598">
        <v>1</v>
      </c>
      <c r="K1598">
        <v>2</v>
      </c>
      <c r="L1598">
        <v>51</v>
      </c>
      <c r="M1598" t="s">
        <v>20</v>
      </c>
      <c r="N1598" t="s">
        <v>85</v>
      </c>
      <c r="O1598">
        <v>38886</v>
      </c>
      <c r="P1598">
        <v>147</v>
      </c>
      <c r="Q1598" t="s">
        <v>22</v>
      </c>
      <c r="R1598" t="str">
        <f t="shared" si="25"/>
        <v>Yes</v>
      </c>
    </row>
    <row r="1599" spans="1:18" x14ac:dyDescent="0.35">
      <c r="A1599" s="1">
        <v>40393</v>
      </c>
      <c r="B1599">
        <v>0</v>
      </c>
      <c r="C1599" t="s">
        <v>83</v>
      </c>
      <c r="D1599" t="s">
        <v>53</v>
      </c>
      <c r="E1599" t="s">
        <v>18</v>
      </c>
      <c r="F1599">
        <v>108</v>
      </c>
      <c r="G1599" t="s">
        <v>23</v>
      </c>
      <c r="H1599" t="s">
        <v>18</v>
      </c>
      <c r="I1599">
        <v>106</v>
      </c>
      <c r="J1599">
        <v>6</v>
      </c>
      <c r="K1599">
        <v>7</v>
      </c>
      <c r="L1599">
        <v>51</v>
      </c>
      <c r="M1599" t="s">
        <v>20</v>
      </c>
      <c r="N1599" t="s">
        <v>24</v>
      </c>
      <c r="O1599">
        <v>13623</v>
      </c>
      <c r="P1599">
        <v>171</v>
      </c>
      <c r="Q1599" t="s">
        <v>23</v>
      </c>
      <c r="R1599" t="str">
        <f t="shared" si="25"/>
        <v>Yes</v>
      </c>
    </row>
    <row r="1600" spans="1:18" x14ac:dyDescent="0.35">
      <c r="A1600" s="1">
        <v>40393</v>
      </c>
      <c r="B1600">
        <v>0</v>
      </c>
      <c r="C1600" t="s">
        <v>83</v>
      </c>
      <c r="D1600" t="s">
        <v>66</v>
      </c>
      <c r="E1600" t="s">
        <v>18</v>
      </c>
      <c r="F1600">
        <v>106</v>
      </c>
      <c r="G1600" t="s">
        <v>52</v>
      </c>
      <c r="H1600" t="s">
        <v>18</v>
      </c>
      <c r="I1600">
        <v>107</v>
      </c>
      <c r="J1600">
        <v>18</v>
      </c>
      <c r="K1600">
        <v>4</v>
      </c>
      <c r="L1600">
        <v>54</v>
      </c>
      <c r="M1600" t="s">
        <v>20</v>
      </c>
      <c r="N1600" t="s">
        <v>82</v>
      </c>
      <c r="O1600">
        <v>41958</v>
      </c>
      <c r="P1600">
        <v>199</v>
      </c>
      <c r="Q1600" t="s">
        <v>66</v>
      </c>
      <c r="R1600" t="str">
        <f t="shared" si="25"/>
        <v>No</v>
      </c>
    </row>
    <row r="1601" spans="1:18" x14ac:dyDescent="0.35">
      <c r="A1601" s="1">
        <v>40394</v>
      </c>
      <c r="B1601">
        <v>0</v>
      </c>
      <c r="C1601" t="s">
        <v>16</v>
      </c>
      <c r="D1601" t="s">
        <v>31</v>
      </c>
      <c r="E1601" t="s">
        <v>30</v>
      </c>
      <c r="F1601">
        <v>109</v>
      </c>
      <c r="G1601" t="s">
        <v>43</v>
      </c>
      <c r="H1601" t="s">
        <v>30</v>
      </c>
      <c r="I1601">
        <v>107</v>
      </c>
      <c r="J1601">
        <v>7</v>
      </c>
      <c r="K1601">
        <v>9</v>
      </c>
      <c r="L1601">
        <v>51</v>
      </c>
      <c r="M1601" t="s">
        <v>20</v>
      </c>
      <c r="N1601" t="s">
        <v>56</v>
      </c>
      <c r="O1601">
        <v>13467</v>
      </c>
      <c r="P1601">
        <v>202</v>
      </c>
      <c r="Q1601" t="s">
        <v>43</v>
      </c>
      <c r="R1601" t="str">
        <f t="shared" si="25"/>
        <v>Yes</v>
      </c>
    </row>
    <row r="1602" spans="1:18" x14ac:dyDescent="0.35">
      <c r="A1602" s="1">
        <v>40394</v>
      </c>
      <c r="B1602">
        <v>0</v>
      </c>
      <c r="C1602" t="s">
        <v>16</v>
      </c>
      <c r="D1602" t="s">
        <v>33</v>
      </c>
      <c r="E1602" t="s">
        <v>30</v>
      </c>
      <c r="F1602">
        <v>108</v>
      </c>
      <c r="G1602" t="s">
        <v>58</v>
      </c>
      <c r="H1602" t="s">
        <v>30</v>
      </c>
      <c r="I1602">
        <v>108</v>
      </c>
      <c r="J1602">
        <v>9</v>
      </c>
      <c r="K1602">
        <v>1</v>
      </c>
      <c r="L1602">
        <v>54</v>
      </c>
      <c r="M1602" t="s">
        <v>20</v>
      </c>
      <c r="N1602" t="s">
        <v>86</v>
      </c>
      <c r="O1602">
        <v>37902</v>
      </c>
      <c r="P1602">
        <v>187</v>
      </c>
      <c r="Q1602" t="s">
        <v>33</v>
      </c>
      <c r="R1602" t="str">
        <f t="shared" si="25"/>
        <v>No</v>
      </c>
    </row>
    <row r="1603" spans="1:18" x14ac:dyDescent="0.35">
      <c r="A1603" s="1">
        <v>40394</v>
      </c>
      <c r="B1603">
        <v>0</v>
      </c>
      <c r="C1603" t="s">
        <v>16</v>
      </c>
      <c r="D1603" t="s">
        <v>34</v>
      </c>
      <c r="E1603" t="s">
        <v>30</v>
      </c>
      <c r="F1603">
        <v>107</v>
      </c>
      <c r="G1603" t="s">
        <v>36</v>
      </c>
      <c r="H1603" t="s">
        <v>30</v>
      </c>
      <c r="I1603">
        <v>107</v>
      </c>
      <c r="J1603">
        <v>4</v>
      </c>
      <c r="K1603">
        <v>1</v>
      </c>
      <c r="L1603">
        <v>54</v>
      </c>
      <c r="M1603" t="s">
        <v>20</v>
      </c>
      <c r="N1603" t="s">
        <v>57</v>
      </c>
      <c r="O1603">
        <v>31770</v>
      </c>
      <c r="P1603">
        <v>171</v>
      </c>
      <c r="Q1603" t="s">
        <v>34</v>
      </c>
      <c r="R1603" t="str">
        <f t="shared" ref="R1603:R1666" si="26">IF(K1603&gt;J1603,"Yes","No")</f>
        <v>No</v>
      </c>
    </row>
    <row r="1604" spans="1:18" x14ac:dyDescent="0.35">
      <c r="A1604" s="1">
        <v>40394</v>
      </c>
      <c r="B1604">
        <v>0</v>
      </c>
      <c r="C1604" t="s">
        <v>16</v>
      </c>
      <c r="D1604" t="s">
        <v>46</v>
      </c>
      <c r="E1604" t="s">
        <v>30</v>
      </c>
      <c r="F1604">
        <v>108</v>
      </c>
      <c r="G1604" t="s">
        <v>59</v>
      </c>
      <c r="H1604" t="s">
        <v>30</v>
      </c>
      <c r="I1604">
        <v>107</v>
      </c>
      <c r="J1604">
        <v>1</v>
      </c>
      <c r="K1604">
        <v>5</v>
      </c>
      <c r="L1604">
        <v>51</v>
      </c>
      <c r="M1604" t="s">
        <v>38</v>
      </c>
      <c r="N1604" t="s">
        <v>84</v>
      </c>
      <c r="O1604">
        <v>47659</v>
      </c>
      <c r="P1604">
        <v>179</v>
      </c>
      <c r="Q1604" t="s">
        <v>59</v>
      </c>
      <c r="R1604" t="str">
        <f t="shared" si="26"/>
        <v>Yes</v>
      </c>
    </row>
    <row r="1605" spans="1:18" x14ac:dyDescent="0.35">
      <c r="A1605" s="1">
        <v>40394</v>
      </c>
      <c r="B1605">
        <v>0</v>
      </c>
      <c r="C1605" t="s">
        <v>16</v>
      </c>
      <c r="D1605" t="s">
        <v>37</v>
      </c>
      <c r="E1605" t="s">
        <v>30</v>
      </c>
      <c r="F1605">
        <v>108</v>
      </c>
      <c r="G1605" t="s">
        <v>41</v>
      </c>
      <c r="H1605" t="s">
        <v>30</v>
      </c>
      <c r="I1605">
        <v>107</v>
      </c>
      <c r="J1605">
        <v>3</v>
      </c>
      <c r="K1605">
        <v>4</v>
      </c>
      <c r="L1605">
        <v>51</v>
      </c>
      <c r="M1605" t="s">
        <v>38</v>
      </c>
      <c r="N1605" t="s">
        <v>42</v>
      </c>
      <c r="O1605">
        <v>22325</v>
      </c>
      <c r="P1605">
        <v>158</v>
      </c>
      <c r="Q1605" t="s">
        <v>41</v>
      </c>
      <c r="R1605" t="str">
        <f t="shared" si="26"/>
        <v>Yes</v>
      </c>
    </row>
    <row r="1606" spans="1:18" x14ac:dyDescent="0.35">
      <c r="A1606" s="1">
        <v>40394</v>
      </c>
      <c r="B1606">
        <v>0</v>
      </c>
      <c r="C1606" t="s">
        <v>16</v>
      </c>
      <c r="D1606" t="s">
        <v>47</v>
      </c>
      <c r="E1606" t="s">
        <v>30</v>
      </c>
      <c r="F1606">
        <v>107</v>
      </c>
      <c r="G1606" t="s">
        <v>40</v>
      </c>
      <c r="H1606" t="s">
        <v>30</v>
      </c>
      <c r="I1606">
        <v>108</v>
      </c>
      <c r="J1606">
        <v>11</v>
      </c>
      <c r="K1606">
        <v>6</v>
      </c>
      <c r="L1606">
        <v>54</v>
      </c>
      <c r="M1606" t="s">
        <v>20</v>
      </c>
      <c r="N1606" t="s">
        <v>77</v>
      </c>
      <c r="O1606">
        <v>20174</v>
      </c>
      <c r="P1606">
        <v>199</v>
      </c>
      <c r="Q1606" t="s">
        <v>47</v>
      </c>
      <c r="R1606" t="str">
        <f t="shared" si="26"/>
        <v>No</v>
      </c>
    </row>
    <row r="1607" spans="1:18" x14ac:dyDescent="0.35">
      <c r="A1607" s="1">
        <v>40394</v>
      </c>
      <c r="B1607">
        <v>0</v>
      </c>
      <c r="C1607" t="s">
        <v>16</v>
      </c>
      <c r="D1607" t="s">
        <v>29</v>
      </c>
      <c r="E1607" t="s">
        <v>30</v>
      </c>
      <c r="F1607">
        <v>108</v>
      </c>
      <c r="G1607" t="s">
        <v>44</v>
      </c>
      <c r="H1607" t="s">
        <v>30</v>
      </c>
      <c r="I1607">
        <v>107</v>
      </c>
      <c r="J1607">
        <v>2</v>
      </c>
      <c r="K1607">
        <v>1</v>
      </c>
      <c r="L1607">
        <v>78</v>
      </c>
      <c r="M1607" t="s">
        <v>20</v>
      </c>
      <c r="N1607" t="s">
        <v>45</v>
      </c>
      <c r="O1607">
        <v>19172</v>
      </c>
      <c r="P1607">
        <v>232</v>
      </c>
      <c r="Q1607" t="s">
        <v>29</v>
      </c>
      <c r="R1607" t="str">
        <f t="shared" si="26"/>
        <v>No</v>
      </c>
    </row>
    <row r="1608" spans="1:18" x14ac:dyDescent="0.35">
      <c r="A1608" s="1">
        <v>40394</v>
      </c>
      <c r="B1608">
        <v>0</v>
      </c>
      <c r="C1608" t="s">
        <v>16</v>
      </c>
      <c r="D1608" t="s">
        <v>26</v>
      </c>
      <c r="E1608" t="s">
        <v>18</v>
      </c>
      <c r="F1608">
        <v>108</v>
      </c>
      <c r="G1608" t="s">
        <v>60</v>
      </c>
      <c r="H1608" t="s">
        <v>18</v>
      </c>
      <c r="I1608">
        <v>108</v>
      </c>
      <c r="J1608">
        <v>7</v>
      </c>
      <c r="K1608">
        <v>2</v>
      </c>
      <c r="L1608">
        <v>54</v>
      </c>
      <c r="M1608" t="s">
        <v>20</v>
      </c>
      <c r="N1608" t="s">
        <v>61</v>
      </c>
      <c r="O1608">
        <v>15670</v>
      </c>
      <c r="P1608">
        <v>196</v>
      </c>
      <c r="Q1608" t="s">
        <v>26</v>
      </c>
      <c r="R1608" t="str">
        <f t="shared" si="26"/>
        <v>No</v>
      </c>
    </row>
    <row r="1609" spans="1:18" x14ac:dyDescent="0.35">
      <c r="A1609" s="1">
        <v>40394</v>
      </c>
      <c r="B1609">
        <v>0</v>
      </c>
      <c r="C1609" t="s">
        <v>16</v>
      </c>
      <c r="D1609" t="s">
        <v>19</v>
      </c>
      <c r="E1609" t="s">
        <v>18</v>
      </c>
      <c r="F1609">
        <v>108</v>
      </c>
      <c r="G1609" t="s">
        <v>50</v>
      </c>
      <c r="H1609" t="s">
        <v>18</v>
      </c>
      <c r="I1609">
        <v>107</v>
      </c>
      <c r="J1609">
        <v>3</v>
      </c>
      <c r="K1609">
        <v>8</v>
      </c>
      <c r="L1609">
        <v>51</v>
      </c>
      <c r="M1609" t="s">
        <v>20</v>
      </c>
      <c r="N1609" t="s">
        <v>51</v>
      </c>
      <c r="O1609">
        <v>28536</v>
      </c>
      <c r="P1609">
        <v>185</v>
      </c>
      <c r="Q1609" t="s">
        <v>50</v>
      </c>
      <c r="R1609" t="str">
        <f t="shared" si="26"/>
        <v>Yes</v>
      </c>
    </row>
    <row r="1610" spans="1:18" x14ac:dyDescent="0.35">
      <c r="A1610" s="1">
        <v>40394</v>
      </c>
      <c r="B1610">
        <v>0</v>
      </c>
      <c r="C1610" t="s">
        <v>16</v>
      </c>
      <c r="D1610" t="s">
        <v>68</v>
      </c>
      <c r="E1610" t="s">
        <v>18</v>
      </c>
      <c r="F1610">
        <v>109</v>
      </c>
      <c r="G1610" t="s">
        <v>49</v>
      </c>
      <c r="H1610" t="s">
        <v>18</v>
      </c>
      <c r="I1610">
        <v>108</v>
      </c>
      <c r="J1610">
        <v>3</v>
      </c>
      <c r="K1610">
        <v>15</v>
      </c>
      <c r="L1610">
        <v>51</v>
      </c>
      <c r="M1610" t="s">
        <v>38</v>
      </c>
      <c r="N1610" t="s">
        <v>79</v>
      </c>
      <c r="O1610">
        <v>38425</v>
      </c>
      <c r="P1610">
        <v>187</v>
      </c>
      <c r="Q1610" t="s">
        <v>49</v>
      </c>
      <c r="R1610" t="str">
        <f t="shared" si="26"/>
        <v>Yes</v>
      </c>
    </row>
    <row r="1611" spans="1:18" x14ac:dyDescent="0.35">
      <c r="A1611" s="1">
        <v>40394</v>
      </c>
      <c r="B1611">
        <v>0</v>
      </c>
      <c r="C1611" t="s">
        <v>16</v>
      </c>
      <c r="D1611" t="s">
        <v>70</v>
      </c>
      <c r="E1611" t="s">
        <v>18</v>
      </c>
      <c r="F1611">
        <v>108</v>
      </c>
      <c r="G1611" t="s">
        <v>63</v>
      </c>
      <c r="H1611" t="s">
        <v>18</v>
      </c>
      <c r="I1611">
        <v>107</v>
      </c>
      <c r="J1611">
        <v>1</v>
      </c>
      <c r="K1611">
        <v>6</v>
      </c>
      <c r="L1611">
        <v>51</v>
      </c>
      <c r="M1611" t="s">
        <v>38</v>
      </c>
      <c r="N1611" t="s">
        <v>64</v>
      </c>
      <c r="O1611">
        <v>37278</v>
      </c>
      <c r="P1611">
        <v>171</v>
      </c>
      <c r="Q1611" t="s">
        <v>63</v>
      </c>
      <c r="R1611" t="str">
        <f t="shared" si="26"/>
        <v>Yes</v>
      </c>
    </row>
    <row r="1612" spans="1:18" x14ac:dyDescent="0.35">
      <c r="A1612" s="1">
        <v>40394</v>
      </c>
      <c r="B1612">
        <v>0</v>
      </c>
      <c r="C1612" t="s">
        <v>16</v>
      </c>
      <c r="D1612" t="s">
        <v>25</v>
      </c>
      <c r="E1612" t="s">
        <v>18</v>
      </c>
      <c r="F1612">
        <v>107</v>
      </c>
      <c r="G1612" t="s">
        <v>17</v>
      </c>
      <c r="H1612" t="s">
        <v>18</v>
      </c>
      <c r="I1612">
        <v>107</v>
      </c>
      <c r="J1612">
        <v>7</v>
      </c>
      <c r="K1612">
        <v>2</v>
      </c>
      <c r="L1612">
        <v>54</v>
      </c>
      <c r="M1612" t="s">
        <v>20</v>
      </c>
      <c r="N1612" t="s">
        <v>65</v>
      </c>
      <c r="O1612">
        <v>21844</v>
      </c>
      <c r="P1612">
        <v>193</v>
      </c>
      <c r="Q1612" t="s">
        <v>25</v>
      </c>
      <c r="R1612" t="str">
        <f t="shared" si="26"/>
        <v>No</v>
      </c>
    </row>
    <row r="1613" spans="1:18" x14ac:dyDescent="0.35">
      <c r="A1613" s="1">
        <v>40394</v>
      </c>
      <c r="B1613">
        <v>0</v>
      </c>
      <c r="C1613" t="s">
        <v>16</v>
      </c>
      <c r="D1613" t="s">
        <v>62</v>
      </c>
      <c r="E1613" t="s">
        <v>18</v>
      </c>
      <c r="F1613">
        <v>106</v>
      </c>
      <c r="G1613" t="s">
        <v>22</v>
      </c>
      <c r="H1613" t="s">
        <v>18</v>
      </c>
      <c r="I1613">
        <v>108</v>
      </c>
      <c r="J1613">
        <v>0</v>
      </c>
      <c r="K1613">
        <v>9</v>
      </c>
      <c r="L1613">
        <v>51</v>
      </c>
      <c r="M1613" t="s">
        <v>20</v>
      </c>
      <c r="N1613" t="s">
        <v>85</v>
      </c>
      <c r="O1613">
        <v>48988</v>
      </c>
      <c r="P1613">
        <v>150</v>
      </c>
      <c r="Q1613" t="s">
        <v>22</v>
      </c>
      <c r="R1613" t="str">
        <f t="shared" si="26"/>
        <v>Yes</v>
      </c>
    </row>
    <row r="1614" spans="1:18" x14ac:dyDescent="0.35">
      <c r="A1614" s="1">
        <v>40394</v>
      </c>
      <c r="B1614">
        <v>0</v>
      </c>
      <c r="C1614" t="s">
        <v>16</v>
      </c>
      <c r="D1614" t="s">
        <v>53</v>
      </c>
      <c r="E1614" t="s">
        <v>18</v>
      </c>
      <c r="F1614">
        <v>109</v>
      </c>
      <c r="G1614" t="s">
        <v>23</v>
      </c>
      <c r="H1614" t="s">
        <v>18</v>
      </c>
      <c r="I1614">
        <v>107</v>
      </c>
      <c r="J1614">
        <v>9</v>
      </c>
      <c r="K1614">
        <v>4</v>
      </c>
      <c r="L1614">
        <v>54</v>
      </c>
      <c r="M1614" t="s">
        <v>38</v>
      </c>
      <c r="N1614" t="s">
        <v>24</v>
      </c>
      <c r="O1614">
        <v>20420</v>
      </c>
      <c r="P1614">
        <v>183</v>
      </c>
      <c r="Q1614" t="s">
        <v>53</v>
      </c>
      <c r="R1614" t="str">
        <f t="shared" si="26"/>
        <v>No</v>
      </c>
    </row>
    <row r="1615" spans="1:18" x14ac:dyDescent="0.35">
      <c r="A1615" s="1">
        <v>40394</v>
      </c>
      <c r="B1615">
        <v>0</v>
      </c>
      <c r="C1615" t="s">
        <v>16</v>
      </c>
      <c r="D1615" t="s">
        <v>66</v>
      </c>
      <c r="E1615" t="s">
        <v>18</v>
      </c>
      <c r="F1615">
        <v>107</v>
      </c>
      <c r="G1615" t="s">
        <v>52</v>
      </c>
      <c r="H1615" t="s">
        <v>18</v>
      </c>
      <c r="I1615">
        <v>108</v>
      </c>
      <c r="J1615">
        <v>4</v>
      </c>
      <c r="K1615">
        <v>8</v>
      </c>
      <c r="L1615">
        <v>51</v>
      </c>
      <c r="M1615" t="s">
        <v>20</v>
      </c>
      <c r="N1615" t="s">
        <v>82</v>
      </c>
      <c r="O1615">
        <v>41596</v>
      </c>
      <c r="P1615">
        <v>159</v>
      </c>
      <c r="Q1615" t="s">
        <v>52</v>
      </c>
      <c r="R1615" t="str">
        <f t="shared" si="26"/>
        <v>Yes</v>
      </c>
    </row>
    <row r="1616" spans="1:18" x14ac:dyDescent="0.35">
      <c r="A1616" s="1">
        <v>40395</v>
      </c>
      <c r="B1616">
        <v>0</v>
      </c>
      <c r="C1616" t="s">
        <v>28</v>
      </c>
      <c r="D1616" t="s">
        <v>31</v>
      </c>
      <c r="E1616" t="s">
        <v>30</v>
      </c>
      <c r="F1616">
        <v>110</v>
      </c>
      <c r="G1616" t="s">
        <v>43</v>
      </c>
      <c r="H1616" t="s">
        <v>30</v>
      </c>
      <c r="I1616">
        <v>108</v>
      </c>
      <c r="J1616">
        <v>4</v>
      </c>
      <c r="K1616">
        <v>5</v>
      </c>
      <c r="L1616">
        <v>52</v>
      </c>
      <c r="M1616" t="s">
        <v>20</v>
      </c>
      <c r="N1616" t="s">
        <v>56</v>
      </c>
      <c r="O1616">
        <v>17362</v>
      </c>
      <c r="P1616">
        <v>172</v>
      </c>
      <c r="Q1616" t="s">
        <v>43</v>
      </c>
      <c r="R1616" t="str">
        <f t="shared" si="26"/>
        <v>Yes</v>
      </c>
    </row>
    <row r="1617" spans="1:18" x14ac:dyDescent="0.35">
      <c r="A1617" s="1">
        <v>40395</v>
      </c>
      <c r="B1617">
        <v>0</v>
      </c>
      <c r="C1617" t="s">
        <v>28</v>
      </c>
      <c r="D1617" t="s">
        <v>33</v>
      </c>
      <c r="E1617" t="s">
        <v>30</v>
      </c>
      <c r="F1617">
        <v>109</v>
      </c>
      <c r="G1617" t="s">
        <v>58</v>
      </c>
      <c r="H1617" t="s">
        <v>30</v>
      </c>
      <c r="I1617">
        <v>109</v>
      </c>
      <c r="J1617">
        <v>2</v>
      </c>
      <c r="K1617">
        <v>6</v>
      </c>
      <c r="L1617">
        <v>51</v>
      </c>
      <c r="M1617" t="s">
        <v>20</v>
      </c>
      <c r="N1617" t="s">
        <v>86</v>
      </c>
      <c r="O1617">
        <v>38102</v>
      </c>
      <c r="P1617">
        <v>180</v>
      </c>
      <c r="Q1617" t="s">
        <v>58</v>
      </c>
      <c r="R1617" t="str">
        <f t="shared" si="26"/>
        <v>Yes</v>
      </c>
    </row>
    <row r="1618" spans="1:18" x14ac:dyDescent="0.35">
      <c r="A1618" s="1">
        <v>40395</v>
      </c>
      <c r="B1618">
        <v>0</v>
      </c>
      <c r="C1618" t="s">
        <v>28</v>
      </c>
      <c r="D1618" t="s">
        <v>34</v>
      </c>
      <c r="E1618" t="s">
        <v>30</v>
      </c>
      <c r="F1618">
        <v>108</v>
      </c>
      <c r="G1618" t="s">
        <v>36</v>
      </c>
      <c r="H1618" t="s">
        <v>30</v>
      </c>
      <c r="I1618">
        <v>108</v>
      </c>
      <c r="J1618">
        <v>6</v>
      </c>
      <c r="K1618">
        <v>4</v>
      </c>
      <c r="L1618">
        <v>66</v>
      </c>
      <c r="M1618" t="s">
        <v>38</v>
      </c>
      <c r="N1618" t="s">
        <v>57</v>
      </c>
      <c r="O1618">
        <v>34156</v>
      </c>
      <c r="P1618">
        <v>198</v>
      </c>
      <c r="Q1618" t="s">
        <v>34</v>
      </c>
      <c r="R1618" t="str">
        <f t="shared" si="26"/>
        <v>No</v>
      </c>
    </row>
    <row r="1619" spans="1:18" x14ac:dyDescent="0.35">
      <c r="A1619" s="1">
        <v>40395</v>
      </c>
      <c r="B1619">
        <v>0</v>
      </c>
      <c r="C1619" t="s">
        <v>28</v>
      </c>
      <c r="D1619" t="s">
        <v>47</v>
      </c>
      <c r="E1619" t="s">
        <v>30</v>
      </c>
      <c r="F1619">
        <v>108</v>
      </c>
      <c r="G1619" t="s">
        <v>40</v>
      </c>
      <c r="H1619" t="s">
        <v>30</v>
      </c>
      <c r="I1619">
        <v>109</v>
      </c>
      <c r="J1619">
        <v>6</v>
      </c>
      <c r="K1619">
        <v>0</v>
      </c>
      <c r="L1619">
        <v>54</v>
      </c>
      <c r="M1619" t="s">
        <v>20</v>
      </c>
      <c r="N1619" t="s">
        <v>77</v>
      </c>
      <c r="O1619">
        <v>22624</v>
      </c>
      <c r="P1619">
        <v>184</v>
      </c>
      <c r="Q1619" t="s">
        <v>47</v>
      </c>
      <c r="R1619" t="str">
        <f t="shared" si="26"/>
        <v>No</v>
      </c>
    </row>
    <row r="1620" spans="1:18" x14ac:dyDescent="0.35">
      <c r="A1620" s="1">
        <v>40395</v>
      </c>
      <c r="B1620">
        <v>0</v>
      </c>
      <c r="C1620" t="s">
        <v>28</v>
      </c>
      <c r="D1620" t="s">
        <v>29</v>
      </c>
      <c r="E1620" t="s">
        <v>30</v>
      </c>
      <c r="F1620">
        <v>109</v>
      </c>
      <c r="G1620" t="s">
        <v>44</v>
      </c>
      <c r="H1620" t="s">
        <v>30</v>
      </c>
      <c r="I1620">
        <v>108</v>
      </c>
      <c r="J1620">
        <v>8</v>
      </c>
      <c r="K1620">
        <v>6</v>
      </c>
      <c r="L1620">
        <v>54</v>
      </c>
      <c r="M1620" t="s">
        <v>38</v>
      </c>
      <c r="N1620" t="s">
        <v>45</v>
      </c>
      <c r="O1620">
        <v>29210</v>
      </c>
      <c r="P1620">
        <v>155</v>
      </c>
      <c r="Q1620" t="s">
        <v>29</v>
      </c>
      <c r="R1620" t="str">
        <f t="shared" si="26"/>
        <v>No</v>
      </c>
    </row>
    <row r="1621" spans="1:18" x14ac:dyDescent="0.35">
      <c r="A1621" s="1">
        <v>40395</v>
      </c>
      <c r="B1621">
        <v>0</v>
      </c>
      <c r="C1621" t="s">
        <v>28</v>
      </c>
      <c r="D1621" t="s">
        <v>26</v>
      </c>
      <c r="E1621" t="s">
        <v>18</v>
      </c>
      <c r="F1621">
        <v>109</v>
      </c>
      <c r="G1621" t="s">
        <v>60</v>
      </c>
      <c r="H1621" t="s">
        <v>18</v>
      </c>
      <c r="I1621">
        <v>109</v>
      </c>
      <c r="J1621">
        <v>4</v>
      </c>
      <c r="K1621">
        <v>8</v>
      </c>
      <c r="L1621">
        <v>51</v>
      </c>
      <c r="M1621" t="s">
        <v>20</v>
      </c>
      <c r="N1621" t="s">
        <v>61</v>
      </c>
      <c r="O1621">
        <v>16638</v>
      </c>
      <c r="P1621">
        <v>173</v>
      </c>
      <c r="Q1621" t="s">
        <v>60</v>
      </c>
      <c r="R1621" t="str">
        <f t="shared" si="26"/>
        <v>Yes</v>
      </c>
    </row>
    <row r="1622" spans="1:18" x14ac:dyDescent="0.35">
      <c r="A1622" s="1">
        <v>40395</v>
      </c>
      <c r="B1622">
        <v>0</v>
      </c>
      <c r="C1622" t="s">
        <v>28</v>
      </c>
      <c r="D1622" t="s">
        <v>70</v>
      </c>
      <c r="E1622" t="s">
        <v>18</v>
      </c>
      <c r="F1622">
        <v>109</v>
      </c>
      <c r="G1622" t="s">
        <v>50</v>
      </c>
      <c r="H1622" t="s">
        <v>18</v>
      </c>
      <c r="I1622">
        <v>108</v>
      </c>
      <c r="J1622">
        <v>2</v>
      </c>
      <c r="K1622">
        <v>3</v>
      </c>
      <c r="L1622">
        <v>51</v>
      </c>
      <c r="M1622" t="s">
        <v>20</v>
      </c>
      <c r="N1622" t="s">
        <v>51</v>
      </c>
      <c r="O1622">
        <v>24538</v>
      </c>
      <c r="P1622">
        <v>157</v>
      </c>
      <c r="Q1622" t="s">
        <v>50</v>
      </c>
      <c r="R1622" t="str">
        <f t="shared" si="26"/>
        <v>Yes</v>
      </c>
    </row>
    <row r="1623" spans="1:18" x14ac:dyDescent="0.35">
      <c r="A1623" s="1">
        <v>40395</v>
      </c>
      <c r="B1623">
        <v>0</v>
      </c>
      <c r="C1623" t="s">
        <v>28</v>
      </c>
      <c r="D1623" t="s">
        <v>25</v>
      </c>
      <c r="E1623" t="s">
        <v>18</v>
      </c>
      <c r="F1623">
        <v>108</v>
      </c>
      <c r="G1623" t="s">
        <v>17</v>
      </c>
      <c r="H1623" t="s">
        <v>18</v>
      </c>
      <c r="I1623">
        <v>108</v>
      </c>
      <c r="J1623">
        <v>5</v>
      </c>
      <c r="K1623">
        <v>4</v>
      </c>
      <c r="L1623">
        <v>60</v>
      </c>
      <c r="M1623" t="s">
        <v>20</v>
      </c>
      <c r="N1623" t="s">
        <v>65</v>
      </c>
      <c r="O1623">
        <v>19121</v>
      </c>
      <c r="P1623">
        <v>214</v>
      </c>
      <c r="Q1623" t="s">
        <v>25</v>
      </c>
      <c r="R1623" t="str">
        <f t="shared" si="26"/>
        <v>No</v>
      </c>
    </row>
    <row r="1624" spans="1:18" x14ac:dyDescent="0.35">
      <c r="A1624" s="1">
        <v>40395</v>
      </c>
      <c r="B1624">
        <v>0</v>
      </c>
      <c r="C1624" t="s">
        <v>28</v>
      </c>
      <c r="D1624" t="s">
        <v>62</v>
      </c>
      <c r="E1624" t="s">
        <v>18</v>
      </c>
      <c r="F1624">
        <v>107</v>
      </c>
      <c r="G1624" t="s">
        <v>22</v>
      </c>
      <c r="H1624" t="s">
        <v>18</v>
      </c>
      <c r="I1624">
        <v>109</v>
      </c>
      <c r="J1624">
        <v>5</v>
      </c>
      <c r="K1624">
        <v>0</v>
      </c>
      <c r="L1624">
        <v>54</v>
      </c>
      <c r="M1624" t="s">
        <v>20</v>
      </c>
      <c r="N1624" t="s">
        <v>85</v>
      </c>
      <c r="O1624">
        <v>44739</v>
      </c>
      <c r="P1624">
        <v>177</v>
      </c>
      <c r="Q1624" t="s">
        <v>62</v>
      </c>
      <c r="R1624" t="str">
        <f t="shared" si="26"/>
        <v>No</v>
      </c>
    </row>
    <row r="1625" spans="1:18" x14ac:dyDescent="0.35">
      <c r="A1625" s="1">
        <v>40395</v>
      </c>
      <c r="B1625">
        <v>0</v>
      </c>
      <c r="C1625" t="s">
        <v>28</v>
      </c>
      <c r="D1625" t="s">
        <v>63</v>
      </c>
      <c r="E1625" t="s">
        <v>18</v>
      </c>
      <c r="F1625">
        <v>108</v>
      </c>
      <c r="G1625" t="s">
        <v>23</v>
      </c>
      <c r="H1625" t="s">
        <v>18</v>
      </c>
      <c r="I1625">
        <v>108</v>
      </c>
      <c r="J1625">
        <v>1</v>
      </c>
      <c r="K1625">
        <v>5</v>
      </c>
      <c r="L1625">
        <v>51</v>
      </c>
      <c r="M1625" t="s">
        <v>20</v>
      </c>
      <c r="N1625" t="s">
        <v>24</v>
      </c>
      <c r="O1625">
        <v>17131</v>
      </c>
      <c r="P1625">
        <v>159</v>
      </c>
      <c r="Q1625" t="s">
        <v>23</v>
      </c>
      <c r="R1625" t="str">
        <f t="shared" si="26"/>
        <v>Yes</v>
      </c>
    </row>
    <row r="1626" spans="1:18" x14ac:dyDescent="0.35">
      <c r="A1626" s="1">
        <v>40396</v>
      </c>
      <c r="B1626">
        <v>0</v>
      </c>
      <c r="C1626" t="s">
        <v>55</v>
      </c>
      <c r="D1626" t="s">
        <v>34</v>
      </c>
      <c r="E1626" t="s">
        <v>30</v>
      </c>
      <c r="F1626">
        <v>109</v>
      </c>
      <c r="G1626" t="s">
        <v>43</v>
      </c>
      <c r="H1626" t="s">
        <v>30</v>
      </c>
      <c r="I1626">
        <v>109</v>
      </c>
      <c r="J1626">
        <v>1</v>
      </c>
      <c r="K1626">
        <v>2</v>
      </c>
      <c r="L1626">
        <v>59</v>
      </c>
      <c r="M1626" t="s">
        <v>20</v>
      </c>
      <c r="N1626" t="s">
        <v>56</v>
      </c>
      <c r="O1626">
        <v>19687</v>
      </c>
      <c r="P1626">
        <v>177</v>
      </c>
      <c r="Q1626" t="s">
        <v>43</v>
      </c>
      <c r="R1626" t="str">
        <f t="shared" si="26"/>
        <v>Yes</v>
      </c>
    </row>
    <row r="1627" spans="1:18" x14ac:dyDescent="0.35">
      <c r="A1627" s="1">
        <v>40396</v>
      </c>
      <c r="B1627">
        <v>0</v>
      </c>
      <c r="C1627" t="s">
        <v>55</v>
      </c>
      <c r="D1627" t="s">
        <v>29</v>
      </c>
      <c r="E1627" t="s">
        <v>30</v>
      </c>
      <c r="F1627">
        <v>110</v>
      </c>
      <c r="G1627" t="s">
        <v>33</v>
      </c>
      <c r="H1627" t="s">
        <v>30</v>
      </c>
      <c r="I1627">
        <v>110</v>
      </c>
      <c r="J1627">
        <v>6</v>
      </c>
      <c r="K1627">
        <v>7</v>
      </c>
      <c r="L1627">
        <v>51</v>
      </c>
      <c r="M1627" t="s">
        <v>20</v>
      </c>
      <c r="N1627" t="s">
        <v>75</v>
      </c>
      <c r="O1627">
        <v>25275</v>
      </c>
      <c r="P1627">
        <v>208</v>
      </c>
      <c r="Q1627" t="s">
        <v>33</v>
      </c>
      <c r="R1627" t="str">
        <f t="shared" si="26"/>
        <v>Yes</v>
      </c>
    </row>
    <row r="1628" spans="1:18" x14ac:dyDescent="0.35">
      <c r="A1628" s="1">
        <v>40396</v>
      </c>
      <c r="B1628">
        <v>0</v>
      </c>
      <c r="C1628" t="s">
        <v>55</v>
      </c>
      <c r="D1628" t="s">
        <v>31</v>
      </c>
      <c r="E1628" t="s">
        <v>30</v>
      </c>
      <c r="F1628">
        <v>111</v>
      </c>
      <c r="G1628" t="s">
        <v>36</v>
      </c>
      <c r="H1628" t="s">
        <v>30</v>
      </c>
      <c r="I1628">
        <v>109</v>
      </c>
      <c r="J1628">
        <v>4</v>
      </c>
      <c r="K1628">
        <v>2</v>
      </c>
      <c r="L1628">
        <v>54</v>
      </c>
      <c r="M1628" t="s">
        <v>20</v>
      </c>
      <c r="N1628" t="s">
        <v>57</v>
      </c>
      <c r="O1628">
        <v>35106</v>
      </c>
      <c r="P1628">
        <v>167</v>
      </c>
      <c r="Q1628" t="s">
        <v>31</v>
      </c>
      <c r="R1628" t="str">
        <f t="shared" si="26"/>
        <v>No</v>
      </c>
    </row>
    <row r="1629" spans="1:18" x14ac:dyDescent="0.35">
      <c r="A1629" s="1">
        <v>40396</v>
      </c>
      <c r="B1629">
        <v>0</v>
      </c>
      <c r="C1629" t="s">
        <v>55</v>
      </c>
      <c r="D1629" t="s">
        <v>58</v>
      </c>
      <c r="E1629" t="s">
        <v>30</v>
      </c>
      <c r="F1629">
        <v>110</v>
      </c>
      <c r="G1629" t="s">
        <v>59</v>
      </c>
      <c r="H1629" t="s">
        <v>30</v>
      </c>
      <c r="I1629">
        <v>108</v>
      </c>
      <c r="J1629">
        <v>6</v>
      </c>
      <c r="K1629">
        <v>3</v>
      </c>
      <c r="L1629">
        <v>54</v>
      </c>
      <c r="M1629" t="s">
        <v>20</v>
      </c>
      <c r="N1629" t="s">
        <v>84</v>
      </c>
      <c r="O1629">
        <v>49555</v>
      </c>
      <c r="P1629">
        <v>197</v>
      </c>
      <c r="Q1629" t="s">
        <v>58</v>
      </c>
      <c r="R1629" t="str">
        <f t="shared" si="26"/>
        <v>No</v>
      </c>
    </row>
    <row r="1630" spans="1:18" x14ac:dyDescent="0.35">
      <c r="A1630" s="1">
        <v>40396</v>
      </c>
      <c r="B1630">
        <v>0</v>
      </c>
      <c r="C1630" t="s">
        <v>55</v>
      </c>
      <c r="D1630" t="s">
        <v>47</v>
      </c>
      <c r="E1630" t="s">
        <v>30</v>
      </c>
      <c r="F1630">
        <v>109</v>
      </c>
      <c r="G1630" t="s">
        <v>41</v>
      </c>
      <c r="H1630" t="s">
        <v>30</v>
      </c>
      <c r="I1630">
        <v>108</v>
      </c>
      <c r="J1630">
        <v>5</v>
      </c>
      <c r="K1630">
        <v>1</v>
      </c>
      <c r="L1630">
        <v>54</v>
      </c>
      <c r="M1630" t="s">
        <v>20</v>
      </c>
      <c r="N1630" t="s">
        <v>42</v>
      </c>
      <c r="O1630">
        <v>26388</v>
      </c>
      <c r="P1630">
        <v>139</v>
      </c>
      <c r="Q1630" t="s">
        <v>47</v>
      </c>
      <c r="R1630" t="str">
        <f t="shared" si="26"/>
        <v>No</v>
      </c>
    </row>
    <row r="1631" spans="1:18" x14ac:dyDescent="0.35">
      <c r="A1631" s="1">
        <v>40396</v>
      </c>
      <c r="B1631">
        <v>0</v>
      </c>
      <c r="C1631" t="s">
        <v>55</v>
      </c>
      <c r="D1631" t="s">
        <v>37</v>
      </c>
      <c r="E1631" t="s">
        <v>30</v>
      </c>
      <c r="F1631">
        <v>109</v>
      </c>
      <c r="G1631" t="s">
        <v>40</v>
      </c>
      <c r="H1631" t="s">
        <v>30</v>
      </c>
      <c r="I1631">
        <v>110</v>
      </c>
      <c r="J1631">
        <v>1</v>
      </c>
      <c r="K1631">
        <v>7</v>
      </c>
      <c r="L1631">
        <v>51</v>
      </c>
      <c r="M1631" t="s">
        <v>20</v>
      </c>
      <c r="N1631" t="s">
        <v>77</v>
      </c>
      <c r="O1631">
        <v>20411</v>
      </c>
      <c r="P1631">
        <v>139</v>
      </c>
      <c r="Q1631" t="s">
        <v>40</v>
      </c>
      <c r="R1631" t="str">
        <f t="shared" si="26"/>
        <v>Yes</v>
      </c>
    </row>
    <row r="1632" spans="1:18" x14ac:dyDescent="0.35">
      <c r="A1632" s="1">
        <v>40396</v>
      </c>
      <c r="B1632">
        <v>0</v>
      </c>
      <c r="C1632" t="s">
        <v>55</v>
      </c>
      <c r="D1632" t="s">
        <v>44</v>
      </c>
      <c r="E1632" t="s">
        <v>30</v>
      </c>
      <c r="F1632">
        <v>109</v>
      </c>
      <c r="G1632" t="s">
        <v>46</v>
      </c>
      <c r="H1632" t="s">
        <v>30</v>
      </c>
      <c r="I1632">
        <v>109</v>
      </c>
      <c r="J1632">
        <v>1</v>
      </c>
      <c r="K1632">
        <v>2</v>
      </c>
      <c r="L1632">
        <v>51</v>
      </c>
      <c r="M1632" t="s">
        <v>20</v>
      </c>
      <c r="N1632" t="s">
        <v>78</v>
      </c>
      <c r="O1632">
        <v>22520</v>
      </c>
      <c r="P1632">
        <v>143</v>
      </c>
      <c r="Q1632" t="s">
        <v>46</v>
      </c>
      <c r="R1632" t="str">
        <f t="shared" si="26"/>
        <v>Yes</v>
      </c>
    </row>
    <row r="1633" spans="1:18" x14ac:dyDescent="0.35">
      <c r="A1633" s="1">
        <v>40396</v>
      </c>
      <c r="B1633">
        <v>0</v>
      </c>
      <c r="C1633" t="s">
        <v>55</v>
      </c>
      <c r="D1633" t="s">
        <v>62</v>
      </c>
      <c r="E1633" t="s">
        <v>18</v>
      </c>
      <c r="F1633">
        <v>108</v>
      </c>
      <c r="G1633" t="s">
        <v>60</v>
      </c>
      <c r="H1633" t="s">
        <v>18</v>
      </c>
      <c r="I1633">
        <v>110</v>
      </c>
      <c r="J1633">
        <v>1</v>
      </c>
      <c r="K1633">
        <v>2</v>
      </c>
      <c r="L1633">
        <v>51</v>
      </c>
      <c r="M1633" t="s">
        <v>20</v>
      </c>
      <c r="N1633" t="s">
        <v>61</v>
      </c>
      <c r="O1633">
        <v>22168</v>
      </c>
      <c r="P1633">
        <v>143</v>
      </c>
      <c r="Q1633" t="s">
        <v>60</v>
      </c>
      <c r="R1633" t="str">
        <f t="shared" si="26"/>
        <v>Yes</v>
      </c>
    </row>
    <row r="1634" spans="1:18" x14ac:dyDescent="0.35">
      <c r="A1634" s="1">
        <v>40396</v>
      </c>
      <c r="B1634">
        <v>0</v>
      </c>
      <c r="C1634" t="s">
        <v>55</v>
      </c>
      <c r="D1634" t="s">
        <v>70</v>
      </c>
      <c r="E1634" t="s">
        <v>18</v>
      </c>
      <c r="F1634">
        <v>110</v>
      </c>
      <c r="G1634" t="s">
        <v>50</v>
      </c>
      <c r="H1634" t="s">
        <v>18</v>
      </c>
      <c r="I1634">
        <v>109</v>
      </c>
      <c r="J1634">
        <v>3</v>
      </c>
      <c r="K1634">
        <v>2</v>
      </c>
      <c r="L1634">
        <v>66</v>
      </c>
      <c r="M1634" t="s">
        <v>20</v>
      </c>
      <c r="N1634" t="s">
        <v>51</v>
      </c>
      <c r="O1634">
        <v>42178</v>
      </c>
      <c r="P1634">
        <v>192</v>
      </c>
      <c r="Q1634" t="s">
        <v>70</v>
      </c>
      <c r="R1634" t="str">
        <f t="shared" si="26"/>
        <v>No</v>
      </c>
    </row>
    <row r="1635" spans="1:18" x14ac:dyDescent="0.35">
      <c r="A1635" s="1">
        <v>40396</v>
      </c>
      <c r="B1635">
        <v>0</v>
      </c>
      <c r="C1635" t="s">
        <v>55</v>
      </c>
      <c r="D1635" t="s">
        <v>53</v>
      </c>
      <c r="E1635" t="s">
        <v>18</v>
      </c>
      <c r="F1635">
        <v>110</v>
      </c>
      <c r="G1635" t="s">
        <v>49</v>
      </c>
      <c r="H1635" t="s">
        <v>18</v>
      </c>
      <c r="I1635">
        <v>109</v>
      </c>
      <c r="J1635">
        <v>3</v>
      </c>
      <c r="K1635">
        <v>0</v>
      </c>
      <c r="L1635">
        <v>54</v>
      </c>
      <c r="M1635" t="s">
        <v>38</v>
      </c>
      <c r="N1635" t="s">
        <v>79</v>
      </c>
      <c r="O1635">
        <v>40696</v>
      </c>
      <c r="P1635">
        <v>161</v>
      </c>
      <c r="Q1635" t="s">
        <v>53</v>
      </c>
      <c r="R1635" t="str">
        <f t="shared" si="26"/>
        <v>No</v>
      </c>
    </row>
    <row r="1636" spans="1:18" x14ac:dyDescent="0.35">
      <c r="A1636" s="1">
        <v>40396</v>
      </c>
      <c r="B1636">
        <v>0</v>
      </c>
      <c r="C1636" t="s">
        <v>55</v>
      </c>
      <c r="D1636" t="s">
        <v>52</v>
      </c>
      <c r="E1636" t="s">
        <v>18</v>
      </c>
      <c r="F1636">
        <v>109</v>
      </c>
      <c r="G1636" t="s">
        <v>17</v>
      </c>
      <c r="H1636" t="s">
        <v>18</v>
      </c>
      <c r="I1636">
        <v>109</v>
      </c>
      <c r="J1636">
        <v>7</v>
      </c>
      <c r="K1636">
        <v>0</v>
      </c>
      <c r="L1636">
        <v>54</v>
      </c>
      <c r="M1636" t="s">
        <v>20</v>
      </c>
      <c r="N1636" t="s">
        <v>65</v>
      </c>
      <c r="O1636">
        <v>19223</v>
      </c>
      <c r="P1636">
        <v>143</v>
      </c>
      <c r="Q1636" t="s">
        <v>52</v>
      </c>
      <c r="R1636" t="str">
        <f t="shared" si="26"/>
        <v>No</v>
      </c>
    </row>
    <row r="1637" spans="1:18" x14ac:dyDescent="0.35">
      <c r="A1637" s="1">
        <v>40396</v>
      </c>
      <c r="B1637">
        <v>0</v>
      </c>
      <c r="C1637" t="s">
        <v>55</v>
      </c>
      <c r="D1637" t="s">
        <v>26</v>
      </c>
      <c r="E1637" t="s">
        <v>18</v>
      </c>
      <c r="F1637">
        <v>110</v>
      </c>
      <c r="G1637" t="s">
        <v>22</v>
      </c>
      <c r="H1637" t="s">
        <v>18</v>
      </c>
      <c r="I1637">
        <v>110</v>
      </c>
      <c r="J1637">
        <v>6</v>
      </c>
      <c r="K1637">
        <v>3</v>
      </c>
      <c r="L1637">
        <v>54</v>
      </c>
      <c r="M1637" t="s">
        <v>20</v>
      </c>
      <c r="N1637" t="s">
        <v>85</v>
      </c>
      <c r="O1637">
        <v>39153</v>
      </c>
      <c r="P1637">
        <v>183</v>
      </c>
      <c r="Q1637" t="s">
        <v>26</v>
      </c>
      <c r="R1637" t="str">
        <f t="shared" si="26"/>
        <v>No</v>
      </c>
    </row>
    <row r="1638" spans="1:18" x14ac:dyDescent="0.35">
      <c r="A1638" s="1">
        <v>40396</v>
      </c>
      <c r="B1638">
        <v>0</v>
      </c>
      <c r="C1638" t="s">
        <v>55</v>
      </c>
      <c r="D1638" t="s">
        <v>66</v>
      </c>
      <c r="E1638" t="s">
        <v>18</v>
      </c>
      <c r="F1638">
        <v>108</v>
      </c>
      <c r="G1638" t="s">
        <v>68</v>
      </c>
      <c r="H1638" t="s">
        <v>18</v>
      </c>
      <c r="I1638">
        <v>110</v>
      </c>
      <c r="J1638">
        <v>5</v>
      </c>
      <c r="K1638">
        <v>6</v>
      </c>
      <c r="L1638">
        <v>52</v>
      </c>
      <c r="M1638" t="s">
        <v>20</v>
      </c>
      <c r="N1638" t="s">
        <v>69</v>
      </c>
      <c r="O1638">
        <v>33952</v>
      </c>
      <c r="P1638">
        <v>198</v>
      </c>
      <c r="Q1638" t="s">
        <v>68</v>
      </c>
      <c r="R1638" t="str">
        <f t="shared" si="26"/>
        <v>Yes</v>
      </c>
    </row>
    <row r="1639" spans="1:18" x14ac:dyDescent="0.35">
      <c r="A1639" s="1">
        <v>40396</v>
      </c>
      <c r="B1639">
        <v>0</v>
      </c>
      <c r="C1639" t="s">
        <v>55</v>
      </c>
      <c r="D1639" t="s">
        <v>19</v>
      </c>
      <c r="E1639" t="s">
        <v>18</v>
      </c>
      <c r="F1639">
        <v>109</v>
      </c>
      <c r="G1639" t="s">
        <v>25</v>
      </c>
      <c r="H1639" t="s">
        <v>18</v>
      </c>
      <c r="I1639">
        <v>109</v>
      </c>
      <c r="J1639">
        <v>5</v>
      </c>
      <c r="K1639">
        <v>7</v>
      </c>
      <c r="L1639">
        <v>51</v>
      </c>
      <c r="M1639" t="s">
        <v>20</v>
      </c>
      <c r="N1639" t="s">
        <v>80</v>
      </c>
      <c r="O1639">
        <v>45378</v>
      </c>
      <c r="P1639">
        <v>158</v>
      </c>
      <c r="Q1639" t="s">
        <v>25</v>
      </c>
      <c r="R1639" t="str">
        <f t="shared" si="26"/>
        <v>Yes</v>
      </c>
    </row>
    <row r="1640" spans="1:18" x14ac:dyDescent="0.35">
      <c r="A1640" s="1">
        <v>40396</v>
      </c>
      <c r="B1640">
        <v>0</v>
      </c>
      <c r="C1640" t="s">
        <v>55</v>
      </c>
      <c r="D1640" t="s">
        <v>63</v>
      </c>
      <c r="E1640" t="s">
        <v>18</v>
      </c>
      <c r="F1640">
        <v>109</v>
      </c>
      <c r="G1640" t="s">
        <v>23</v>
      </c>
      <c r="H1640" t="s">
        <v>18</v>
      </c>
      <c r="I1640">
        <v>109</v>
      </c>
      <c r="J1640">
        <v>6</v>
      </c>
      <c r="K1640">
        <v>3</v>
      </c>
      <c r="L1640">
        <v>54</v>
      </c>
      <c r="M1640" t="s">
        <v>20</v>
      </c>
      <c r="N1640" t="s">
        <v>24</v>
      </c>
      <c r="O1640">
        <v>30711</v>
      </c>
      <c r="P1640">
        <v>199</v>
      </c>
      <c r="Q1640" t="s">
        <v>63</v>
      </c>
      <c r="R1640" t="str">
        <f t="shared" si="26"/>
        <v>No</v>
      </c>
    </row>
    <row r="1641" spans="1:18" x14ac:dyDescent="0.35">
      <c r="A1641" s="1">
        <v>40397</v>
      </c>
      <c r="B1641">
        <v>0</v>
      </c>
      <c r="C1641" t="s">
        <v>72</v>
      </c>
      <c r="D1641" t="s">
        <v>34</v>
      </c>
      <c r="E1641" t="s">
        <v>30</v>
      </c>
      <c r="F1641">
        <v>110</v>
      </c>
      <c r="G1641" t="s">
        <v>43</v>
      </c>
      <c r="H1641" t="s">
        <v>30</v>
      </c>
      <c r="I1641">
        <v>110</v>
      </c>
      <c r="J1641">
        <v>4</v>
      </c>
      <c r="K1641">
        <v>2</v>
      </c>
      <c r="L1641">
        <v>54</v>
      </c>
      <c r="M1641" t="s">
        <v>20</v>
      </c>
      <c r="N1641" t="s">
        <v>56</v>
      </c>
      <c r="O1641">
        <v>24929</v>
      </c>
      <c r="P1641">
        <v>169</v>
      </c>
      <c r="Q1641" t="s">
        <v>34</v>
      </c>
      <c r="R1641" t="str">
        <f t="shared" si="26"/>
        <v>No</v>
      </c>
    </row>
    <row r="1642" spans="1:18" x14ac:dyDescent="0.35">
      <c r="A1642" s="1">
        <v>40397</v>
      </c>
      <c r="B1642">
        <v>0</v>
      </c>
      <c r="C1642" t="s">
        <v>72</v>
      </c>
      <c r="D1642" t="s">
        <v>29</v>
      </c>
      <c r="E1642" t="s">
        <v>30</v>
      </c>
      <c r="F1642">
        <v>111</v>
      </c>
      <c r="G1642" t="s">
        <v>33</v>
      </c>
      <c r="H1642" t="s">
        <v>30</v>
      </c>
      <c r="I1642">
        <v>111</v>
      </c>
      <c r="J1642">
        <v>7</v>
      </c>
      <c r="K1642">
        <v>2</v>
      </c>
      <c r="L1642">
        <v>54</v>
      </c>
      <c r="M1642" t="s">
        <v>20</v>
      </c>
      <c r="N1642" t="s">
        <v>75</v>
      </c>
      <c r="O1642">
        <v>27638</v>
      </c>
      <c r="P1642">
        <v>167</v>
      </c>
      <c r="Q1642" t="s">
        <v>29</v>
      </c>
      <c r="R1642" t="str">
        <f t="shared" si="26"/>
        <v>No</v>
      </c>
    </row>
    <row r="1643" spans="1:18" x14ac:dyDescent="0.35">
      <c r="A1643" s="1">
        <v>40397</v>
      </c>
      <c r="B1643">
        <v>0</v>
      </c>
      <c r="C1643" t="s">
        <v>72</v>
      </c>
      <c r="D1643" t="s">
        <v>31</v>
      </c>
      <c r="E1643" t="s">
        <v>30</v>
      </c>
      <c r="F1643">
        <v>112</v>
      </c>
      <c r="G1643" t="s">
        <v>36</v>
      </c>
      <c r="H1643" t="s">
        <v>30</v>
      </c>
      <c r="I1643">
        <v>110</v>
      </c>
      <c r="J1643">
        <v>10</v>
      </c>
      <c r="K1643">
        <v>1</v>
      </c>
      <c r="L1643">
        <v>54</v>
      </c>
      <c r="M1643" t="s">
        <v>20</v>
      </c>
      <c r="N1643" t="s">
        <v>57</v>
      </c>
      <c r="O1643">
        <v>38783</v>
      </c>
      <c r="P1643">
        <v>169</v>
      </c>
      <c r="Q1643" t="s">
        <v>31</v>
      </c>
      <c r="R1643" t="str">
        <f t="shared" si="26"/>
        <v>No</v>
      </c>
    </row>
    <row r="1644" spans="1:18" x14ac:dyDescent="0.35">
      <c r="A1644" s="1">
        <v>40397</v>
      </c>
      <c r="B1644">
        <v>0</v>
      </c>
      <c r="C1644" t="s">
        <v>72</v>
      </c>
      <c r="D1644" t="s">
        <v>58</v>
      </c>
      <c r="E1644" t="s">
        <v>30</v>
      </c>
      <c r="F1644">
        <v>111</v>
      </c>
      <c r="G1644" t="s">
        <v>59</v>
      </c>
      <c r="H1644" t="s">
        <v>30</v>
      </c>
      <c r="I1644">
        <v>109</v>
      </c>
      <c r="J1644">
        <v>2</v>
      </c>
      <c r="K1644">
        <v>5</v>
      </c>
      <c r="L1644">
        <v>51</v>
      </c>
      <c r="M1644" t="s">
        <v>38</v>
      </c>
      <c r="N1644" t="s">
        <v>84</v>
      </c>
      <c r="O1644">
        <v>49716</v>
      </c>
      <c r="P1644">
        <v>167</v>
      </c>
      <c r="Q1644" t="s">
        <v>59</v>
      </c>
      <c r="R1644" t="str">
        <f t="shared" si="26"/>
        <v>Yes</v>
      </c>
    </row>
    <row r="1645" spans="1:18" x14ac:dyDescent="0.35">
      <c r="A1645" s="1">
        <v>40397</v>
      </c>
      <c r="B1645">
        <v>0</v>
      </c>
      <c r="C1645" t="s">
        <v>72</v>
      </c>
      <c r="D1645" t="s">
        <v>47</v>
      </c>
      <c r="E1645" t="s">
        <v>30</v>
      </c>
      <c r="F1645">
        <v>110</v>
      </c>
      <c r="G1645" t="s">
        <v>41</v>
      </c>
      <c r="H1645" t="s">
        <v>30</v>
      </c>
      <c r="I1645">
        <v>109</v>
      </c>
      <c r="J1645">
        <v>2</v>
      </c>
      <c r="K1645">
        <v>6</v>
      </c>
      <c r="L1645">
        <v>51</v>
      </c>
      <c r="M1645" t="s">
        <v>38</v>
      </c>
      <c r="N1645" t="s">
        <v>42</v>
      </c>
      <c r="O1645">
        <v>16104</v>
      </c>
      <c r="P1645">
        <v>158</v>
      </c>
      <c r="Q1645" t="s">
        <v>41</v>
      </c>
      <c r="R1645" t="str">
        <f t="shared" si="26"/>
        <v>Yes</v>
      </c>
    </row>
    <row r="1646" spans="1:18" x14ac:dyDescent="0.35">
      <c r="A1646" s="1">
        <v>40397</v>
      </c>
      <c r="B1646">
        <v>0</v>
      </c>
      <c r="C1646" t="s">
        <v>72</v>
      </c>
      <c r="D1646" t="s">
        <v>37</v>
      </c>
      <c r="E1646" t="s">
        <v>30</v>
      </c>
      <c r="F1646">
        <v>110</v>
      </c>
      <c r="G1646" t="s">
        <v>40</v>
      </c>
      <c r="H1646" t="s">
        <v>30</v>
      </c>
      <c r="I1646">
        <v>111</v>
      </c>
      <c r="J1646">
        <v>2</v>
      </c>
      <c r="K1646">
        <v>1</v>
      </c>
      <c r="L1646">
        <v>54</v>
      </c>
      <c r="M1646" t="s">
        <v>20</v>
      </c>
      <c r="N1646" t="s">
        <v>77</v>
      </c>
      <c r="O1646">
        <v>24520</v>
      </c>
      <c r="P1646">
        <v>155</v>
      </c>
      <c r="Q1646" t="s">
        <v>37</v>
      </c>
      <c r="R1646" t="str">
        <f t="shared" si="26"/>
        <v>No</v>
      </c>
    </row>
    <row r="1647" spans="1:18" x14ac:dyDescent="0.35">
      <c r="A1647" s="1">
        <v>40397</v>
      </c>
      <c r="B1647">
        <v>0</v>
      </c>
      <c r="C1647" t="s">
        <v>72</v>
      </c>
      <c r="D1647" t="s">
        <v>44</v>
      </c>
      <c r="E1647" t="s">
        <v>30</v>
      </c>
      <c r="F1647">
        <v>110</v>
      </c>
      <c r="G1647" t="s">
        <v>46</v>
      </c>
      <c r="H1647" t="s">
        <v>30</v>
      </c>
      <c r="I1647">
        <v>110</v>
      </c>
      <c r="J1647">
        <v>11</v>
      </c>
      <c r="K1647">
        <v>17</v>
      </c>
      <c r="L1647">
        <v>51</v>
      </c>
      <c r="M1647" t="s">
        <v>38</v>
      </c>
      <c r="N1647" t="s">
        <v>78</v>
      </c>
      <c r="O1647">
        <v>24168</v>
      </c>
      <c r="P1647">
        <v>198</v>
      </c>
      <c r="Q1647" t="s">
        <v>46</v>
      </c>
      <c r="R1647" t="str">
        <f t="shared" si="26"/>
        <v>Yes</v>
      </c>
    </row>
    <row r="1648" spans="1:18" x14ac:dyDescent="0.35">
      <c r="A1648" s="1">
        <v>40397</v>
      </c>
      <c r="B1648">
        <v>0</v>
      </c>
      <c r="C1648" t="s">
        <v>72</v>
      </c>
      <c r="D1648" t="s">
        <v>62</v>
      </c>
      <c r="E1648" t="s">
        <v>18</v>
      </c>
      <c r="F1648">
        <v>109</v>
      </c>
      <c r="G1648" t="s">
        <v>60</v>
      </c>
      <c r="H1648" t="s">
        <v>18</v>
      </c>
      <c r="I1648">
        <v>111</v>
      </c>
      <c r="J1648">
        <v>5</v>
      </c>
      <c r="K1648">
        <v>6</v>
      </c>
      <c r="L1648">
        <v>51</v>
      </c>
      <c r="M1648" t="s">
        <v>20</v>
      </c>
      <c r="N1648" t="s">
        <v>61</v>
      </c>
      <c r="O1648">
        <v>48946</v>
      </c>
      <c r="P1648">
        <v>184</v>
      </c>
      <c r="Q1648" t="s">
        <v>60</v>
      </c>
      <c r="R1648" t="str">
        <f t="shared" si="26"/>
        <v>Yes</v>
      </c>
    </row>
    <row r="1649" spans="1:18" x14ac:dyDescent="0.35">
      <c r="A1649" s="1">
        <v>40397</v>
      </c>
      <c r="B1649">
        <v>0</v>
      </c>
      <c r="C1649" t="s">
        <v>72</v>
      </c>
      <c r="D1649" t="s">
        <v>70</v>
      </c>
      <c r="E1649" t="s">
        <v>18</v>
      </c>
      <c r="F1649">
        <v>111</v>
      </c>
      <c r="G1649" t="s">
        <v>50</v>
      </c>
      <c r="H1649" t="s">
        <v>18</v>
      </c>
      <c r="I1649">
        <v>110</v>
      </c>
      <c r="J1649">
        <v>0</v>
      </c>
      <c r="K1649">
        <v>3</v>
      </c>
      <c r="L1649">
        <v>51</v>
      </c>
      <c r="M1649" t="s">
        <v>20</v>
      </c>
      <c r="N1649" t="s">
        <v>51</v>
      </c>
      <c r="O1649">
        <v>47305</v>
      </c>
      <c r="P1649">
        <v>143</v>
      </c>
      <c r="Q1649" t="s">
        <v>50</v>
      </c>
      <c r="R1649" t="str">
        <f t="shared" si="26"/>
        <v>Yes</v>
      </c>
    </row>
    <row r="1650" spans="1:18" x14ac:dyDescent="0.35">
      <c r="A1650" s="1">
        <v>40397</v>
      </c>
      <c r="B1650">
        <v>0</v>
      </c>
      <c r="C1650" t="s">
        <v>72</v>
      </c>
      <c r="D1650" t="s">
        <v>53</v>
      </c>
      <c r="E1650" t="s">
        <v>18</v>
      </c>
      <c r="F1650">
        <v>111</v>
      </c>
      <c r="G1650" t="s">
        <v>49</v>
      </c>
      <c r="H1650" t="s">
        <v>18</v>
      </c>
      <c r="I1650">
        <v>110</v>
      </c>
      <c r="J1650">
        <v>4</v>
      </c>
      <c r="K1650">
        <v>3</v>
      </c>
      <c r="L1650">
        <v>54</v>
      </c>
      <c r="M1650" t="s">
        <v>38</v>
      </c>
      <c r="N1650" t="s">
        <v>79</v>
      </c>
      <c r="O1650">
        <v>41227</v>
      </c>
      <c r="P1650">
        <v>175</v>
      </c>
      <c r="Q1650" t="s">
        <v>53</v>
      </c>
      <c r="R1650" t="str">
        <f t="shared" si="26"/>
        <v>No</v>
      </c>
    </row>
    <row r="1651" spans="1:18" x14ac:dyDescent="0.35">
      <c r="A1651" s="1">
        <v>40397</v>
      </c>
      <c r="B1651">
        <v>0</v>
      </c>
      <c r="C1651" t="s">
        <v>72</v>
      </c>
      <c r="D1651" t="s">
        <v>52</v>
      </c>
      <c r="E1651" t="s">
        <v>18</v>
      </c>
      <c r="F1651">
        <v>110</v>
      </c>
      <c r="G1651" t="s">
        <v>17</v>
      </c>
      <c r="H1651" t="s">
        <v>18</v>
      </c>
      <c r="I1651">
        <v>110</v>
      </c>
      <c r="J1651">
        <v>4</v>
      </c>
      <c r="K1651">
        <v>5</v>
      </c>
      <c r="L1651">
        <v>58</v>
      </c>
      <c r="M1651" t="s">
        <v>20</v>
      </c>
      <c r="N1651" t="s">
        <v>65</v>
      </c>
      <c r="O1651">
        <v>24344</v>
      </c>
      <c r="P1651">
        <v>143</v>
      </c>
      <c r="Q1651" t="s">
        <v>17</v>
      </c>
      <c r="R1651" t="str">
        <f t="shared" si="26"/>
        <v>Yes</v>
      </c>
    </row>
    <row r="1652" spans="1:18" x14ac:dyDescent="0.35">
      <c r="A1652" s="1">
        <v>40397</v>
      </c>
      <c r="B1652">
        <v>0</v>
      </c>
      <c r="C1652" t="s">
        <v>72</v>
      </c>
      <c r="D1652" t="s">
        <v>26</v>
      </c>
      <c r="E1652" t="s">
        <v>18</v>
      </c>
      <c r="F1652">
        <v>111</v>
      </c>
      <c r="G1652" t="s">
        <v>22</v>
      </c>
      <c r="H1652" t="s">
        <v>18</v>
      </c>
      <c r="I1652">
        <v>111</v>
      </c>
      <c r="J1652">
        <v>2</v>
      </c>
      <c r="K1652">
        <v>3</v>
      </c>
      <c r="L1652">
        <v>58</v>
      </c>
      <c r="M1652" t="s">
        <v>20</v>
      </c>
      <c r="N1652" t="s">
        <v>85</v>
      </c>
      <c r="O1652">
        <v>44896</v>
      </c>
      <c r="P1652">
        <v>187</v>
      </c>
      <c r="Q1652" t="s">
        <v>22</v>
      </c>
      <c r="R1652" t="str">
        <f t="shared" si="26"/>
        <v>Yes</v>
      </c>
    </row>
    <row r="1653" spans="1:18" x14ac:dyDescent="0.35">
      <c r="A1653" s="1">
        <v>40397</v>
      </c>
      <c r="B1653">
        <v>0</v>
      </c>
      <c r="C1653" t="s">
        <v>72</v>
      </c>
      <c r="D1653" t="s">
        <v>66</v>
      </c>
      <c r="E1653" t="s">
        <v>18</v>
      </c>
      <c r="F1653">
        <v>109</v>
      </c>
      <c r="G1653" t="s">
        <v>68</v>
      </c>
      <c r="H1653" t="s">
        <v>18</v>
      </c>
      <c r="I1653">
        <v>111</v>
      </c>
      <c r="J1653">
        <v>2</v>
      </c>
      <c r="K1653">
        <v>5</v>
      </c>
      <c r="L1653">
        <v>51</v>
      </c>
      <c r="M1653" t="s">
        <v>20</v>
      </c>
      <c r="N1653" t="s">
        <v>69</v>
      </c>
      <c r="O1653">
        <v>39410</v>
      </c>
      <c r="P1653">
        <v>153</v>
      </c>
      <c r="Q1653" t="s">
        <v>68</v>
      </c>
      <c r="R1653" t="str">
        <f t="shared" si="26"/>
        <v>Yes</v>
      </c>
    </row>
    <row r="1654" spans="1:18" x14ac:dyDescent="0.35">
      <c r="A1654" s="1">
        <v>40397</v>
      </c>
      <c r="B1654">
        <v>0</v>
      </c>
      <c r="C1654" t="s">
        <v>72</v>
      </c>
      <c r="D1654" t="s">
        <v>19</v>
      </c>
      <c r="E1654" t="s">
        <v>18</v>
      </c>
      <c r="F1654">
        <v>110</v>
      </c>
      <c r="G1654" t="s">
        <v>25</v>
      </c>
      <c r="H1654" t="s">
        <v>18</v>
      </c>
      <c r="I1654">
        <v>110</v>
      </c>
      <c r="J1654">
        <v>1</v>
      </c>
      <c r="K1654">
        <v>0</v>
      </c>
      <c r="L1654">
        <v>54</v>
      </c>
      <c r="M1654" t="s">
        <v>20</v>
      </c>
      <c r="N1654" t="s">
        <v>80</v>
      </c>
      <c r="O1654">
        <v>45194</v>
      </c>
      <c r="P1654">
        <v>159</v>
      </c>
      <c r="Q1654" t="s">
        <v>19</v>
      </c>
      <c r="R1654" t="str">
        <f t="shared" si="26"/>
        <v>No</v>
      </c>
    </row>
    <row r="1655" spans="1:18" x14ac:dyDescent="0.35">
      <c r="A1655" s="1">
        <v>40397</v>
      </c>
      <c r="B1655">
        <v>0</v>
      </c>
      <c r="C1655" t="s">
        <v>72</v>
      </c>
      <c r="D1655" t="s">
        <v>63</v>
      </c>
      <c r="E1655" t="s">
        <v>18</v>
      </c>
      <c r="F1655">
        <v>110</v>
      </c>
      <c r="G1655" t="s">
        <v>23</v>
      </c>
      <c r="H1655" t="s">
        <v>18</v>
      </c>
      <c r="I1655">
        <v>110</v>
      </c>
      <c r="J1655">
        <v>7</v>
      </c>
      <c r="K1655">
        <v>8</v>
      </c>
      <c r="L1655">
        <v>59</v>
      </c>
      <c r="M1655" t="s">
        <v>20</v>
      </c>
      <c r="N1655" t="s">
        <v>24</v>
      </c>
      <c r="O1655">
        <v>38147</v>
      </c>
      <c r="P1655">
        <v>245</v>
      </c>
      <c r="Q1655" t="s">
        <v>23</v>
      </c>
      <c r="R1655" t="str">
        <f t="shared" si="26"/>
        <v>Yes</v>
      </c>
    </row>
    <row r="1656" spans="1:18" x14ac:dyDescent="0.35">
      <c r="A1656" s="1">
        <v>40398</v>
      </c>
      <c r="B1656">
        <v>0</v>
      </c>
      <c r="C1656" t="s">
        <v>73</v>
      </c>
      <c r="D1656" t="s">
        <v>34</v>
      </c>
      <c r="E1656" t="s">
        <v>30</v>
      </c>
      <c r="F1656">
        <v>111</v>
      </c>
      <c r="G1656" t="s">
        <v>43</v>
      </c>
      <c r="H1656" t="s">
        <v>30</v>
      </c>
      <c r="I1656">
        <v>111</v>
      </c>
      <c r="J1656">
        <v>3</v>
      </c>
      <c r="K1656">
        <v>4</v>
      </c>
      <c r="L1656">
        <v>51</v>
      </c>
      <c r="M1656" t="s">
        <v>38</v>
      </c>
      <c r="N1656" t="s">
        <v>56</v>
      </c>
      <c r="O1656">
        <v>18283</v>
      </c>
      <c r="P1656">
        <v>139</v>
      </c>
      <c r="Q1656" t="s">
        <v>43</v>
      </c>
      <c r="R1656" t="str">
        <f t="shared" si="26"/>
        <v>Yes</v>
      </c>
    </row>
    <row r="1657" spans="1:18" x14ac:dyDescent="0.35">
      <c r="A1657" s="1">
        <v>40398</v>
      </c>
      <c r="B1657">
        <v>0</v>
      </c>
      <c r="C1657" t="s">
        <v>73</v>
      </c>
      <c r="D1657" t="s">
        <v>29</v>
      </c>
      <c r="E1657" t="s">
        <v>30</v>
      </c>
      <c r="F1657">
        <v>112</v>
      </c>
      <c r="G1657" t="s">
        <v>33</v>
      </c>
      <c r="H1657" t="s">
        <v>30</v>
      </c>
      <c r="I1657">
        <v>112</v>
      </c>
      <c r="J1657">
        <v>5</v>
      </c>
      <c r="K1657">
        <v>4</v>
      </c>
      <c r="L1657">
        <v>54</v>
      </c>
      <c r="M1657" t="s">
        <v>38</v>
      </c>
      <c r="N1657" t="s">
        <v>75</v>
      </c>
      <c r="O1657">
        <v>17427</v>
      </c>
      <c r="P1657">
        <v>163</v>
      </c>
      <c r="Q1657" t="s">
        <v>29</v>
      </c>
      <c r="R1657" t="str">
        <f t="shared" si="26"/>
        <v>No</v>
      </c>
    </row>
    <row r="1658" spans="1:18" x14ac:dyDescent="0.35">
      <c r="A1658" s="1">
        <v>40398</v>
      </c>
      <c r="B1658">
        <v>0</v>
      </c>
      <c r="C1658" t="s">
        <v>73</v>
      </c>
      <c r="D1658" t="s">
        <v>31</v>
      </c>
      <c r="E1658" t="s">
        <v>30</v>
      </c>
      <c r="F1658">
        <v>113</v>
      </c>
      <c r="G1658" t="s">
        <v>36</v>
      </c>
      <c r="H1658" t="s">
        <v>30</v>
      </c>
      <c r="I1658">
        <v>111</v>
      </c>
      <c r="J1658">
        <v>4</v>
      </c>
      <c r="K1658">
        <v>9</v>
      </c>
      <c r="L1658">
        <v>51</v>
      </c>
      <c r="M1658" t="s">
        <v>38</v>
      </c>
      <c r="N1658" t="s">
        <v>57</v>
      </c>
      <c r="O1658">
        <v>32037</v>
      </c>
      <c r="P1658">
        <v>171</v>
      </c>
      <c r="Q1658" t="s">
        <v>36</v>
      </c>
      <c r="R1658" t="str">
        <f t="shared" si="26"/>
        <v>Yes</v>
      </c>
    </row>
    <row r="1659" spans="1:18" x14ac:dyDescent="0.35">
      <c r="A1659" s="1">
        <v>40398</v>
      </c>
      <c r="B1659">
        <v>0</v>
      </c>
      <c r="C1659" t="s">
        <v>73</v>
      </c>
      <c r="D1659" t="s">
        <v>58</v>
      </c>
      <c r="E1659" t="s">
        <v>30</v>
      </c>
      <c r="F1659">
        <v>112</v>
      </c>
      <c r="G1659" t="s">
        <v>59</v>
      </c>
      <c r="H1659" t="s">
        <v>30</v>
      </c>
      <c r="I1659">
        <v>110</v>
      </c>
      <c r="J1659">
        <v>2</v>
      </c>
      <c r="K1659">
        <v>7</v>
      </c>
      <c r="L1659">
        <v>51</v>
      </c>
      <c r="M1659" t="s">
        <v>20</v>
      </c>
      <c r="N1659" t="s">
        <v>84</v>
      </c>
      <c r="O1659">
        <v>49096</v>
      </c>
      <c r="P1659">
        <v>184</v>
      </c>
      <c r="Q1659" t="s">
        <v>59</v>
      </c>
      <c r="R1659" t="str">
        <f t="shared" si="26"/>
        <v>Yes</v>
      </c>
    </row>
    <row r="1660" spans="1:18" x14ac:dyDescent="0.35">
      <c r="A1660" s="1">
        <v>40398</v>
      </c>
      <c r="B1660">
        <v>0</v>
      </c>
      <c r="C1660" t="s">
        <v>73</v>
      </c>
      <c r="D1660" t="s">
        <v>47</v>
      </c>
      <c r="E1660" t="s">
        <v>30</v>
      </c>
      <c r="F1660">
        <v>111</v>
      </c>
      <c r="G1660" t="s">
        <v>41</v>
      </c>
      <c r="H1660" t="s">
        <v>30</v>
      </c>
      <c r="I1660">
        <v>110</v>
      </c>
      <c r="J1660">
        <v>2</v>
      </c>
      <c r="K1660">
        <v>3</v>
      </c>
      <c r="L1660">
        <v>51</v>
      </c>
      <c r="M1660" t="s">
        <v>38</v>
      </c>
      <c r="N1660" t="s">
        <v>42</v>
      </c>
      <c r="O1660">
        <v>18050</v>
      </c>
      <c r="P1660">
        <v>162</v>
      </c>
      <c r="Q1660" t="s">
        <v>41</v>
      </c>
      <c r="R1660" t="str">
        <f t="shared" si="26"/>
        <v>Yes</v>
      </c>
    </row>
    <row r="1661" spans="1:18" x14ac:dyDescent="0.35">
      <c r="A1661" s="1">
        <v>40398</v>
      </c>
      <c r="B1661">
        <v>0</v>
      </c>
      <c r="C1661" t="s">
        <v>73</v>
      </c>
      <c r="D1661" t="s">
        <v>37</v>
      </c>
      <c r="E1661" t="s">
        <v>30</v>
      </c>
      <c r="F1661">
        <v>111</v>
      </c>
      <c r="G1661" t="s">
        <v>40</v>
      </c>
      <c r="H1661" t="s">
        <v>30</v>
      </c>
      <c r="I1661">
        <v>112</v>
      </c>
      <c r="J1661">
        <v>2</v>
      </c>
      <c r="K1661">
        <v>3</v>
      </c>
      <c r="L1661">
        <v>51</v>
      </c>
      <c r="M1661" t="s">
        <v>38</v>
      </c>
      <c r="N1661" t="s">
        <v>77</v>
      </c>
      <c r="O1661">
        <v>24078</v>
      </c>
      <c r="P1661">
        <v>151</v>
      </c>
      <c r="Q1661" t="s">
        <v>40</v>
      </c>
      <c r="R1661" t="str">
        <f t="shared" si="26"/>
        <v>Yes</v>
      </c>
    </row>
    <row r="1662" spans="1:18" x14ac:dyDescent="0.35">
      <c r="A1662" s="1">
        <v>40398</v>
      </c>
      <c r="B1662">
        <v>0</v>
      </c>
      <c r="C1662" t="s">
        <v>73</v>
      </c>
      <c r="D1662" t="s">
        <v>44</v>
      </c>
      <c r="E1662" t="s">
        <v>30</v>
      </c>
      <c r="F1662">
        <v>111</v>
      </c>
      <c r="G1662" t="s">
        <v>46</v>
      </c>
      <c r="H1662" t="s">
        <v>30</v>
      </c>
      <c r="I1662">
        <v>111</v>
      </c>
      <c r="J1662">
        <v>0</v>
      </c>
      <c r="K1662">
        <v>1</v>
      </c>
      <c r="L1662">
        <v>51</v>
      </c>
      <c r="M1662" t="s">
        <v>38</v>
      </c>
      <c r="N1662" t="s">
        <v>78</v>
      </c>
      <c r="O1662">
        <v>22313</v>
      </c>
      <c r="P1662">
        <v>149</v>
      </c>
      <c r="Q1662" t="s">
        <v>46</v>
      </c>
      <c r="R1662" t="str">
        <f t="shared" si="26"/>
        <v>Yes</v>
      </c>
    </row>
    <row r="1663" spans="1:18" x14ac:dyDescent="0.35">
      <c r="A1663" s="1">
        <v>40398</v>
      </c>
      <c r="B1663">
        <v>0</v>
      </c>
      <c r="C1663" t="s">
        <v>73</v>
      </c>
      <c r="D1663" t="s">
        <v>62</v>
      </c>
      <c r="E1663" t="s">
        <v>18</v>
      </c>
      <c r="F1663">
        <v>110</v>
      </c>
      <c r="G1663" t="s">
        <v>60</v>
      </c>
      <c r="H1663" t="s">
        <v>18</v>
      </c>
      <c r="I1663">
        <v>112</v>
      </c>
      <c r="J1663">
        <v>10</v>
      </c>
      <c r="K1663">
        <v>1</v>
      </c>
      <c r="L1663">
        <v>54</v>
      </c>
      <c r="M1663" t="s">
        <v>38</v>
      </c>
      <c r="N1663" t="s">
        <v>61</v>
      </c>
      <c r="O1663">
        <v>27856</v>
      </c>
      <c r="P1663">
        <v>166</v>
      </c>
      <c r="Q1663" t="s">
        <v>62</v>
      </c>
      <c r="R1663" t="str">
        <f t="shared" si="26"/>
        <v>No</v>
      </c>
    </row>
    <row r="1664" spans="1:18" x14ac:dyDescent="0.35">
      <c r="A1664" s="1">
        <v>40398</v>
      </c>
      <c r="B1664">
        <v>0</v>
      </c>
      <c r="C1664" t="s">
        <v>73</v>
      </c>
      <c r="D1664" t="s">
        <v>70</v>
      </c>
      <c r="E1664" t="s">
        <v>18</v>
      </c>
      <c r="F1664">
        <v>112</v>
      </c>
      <c r="G1664" t="s">
        <v>50</v>
      </c>
      <c r="H1664" t="s">
        <v>18</v>
      </c>
      <c r="I1664">
        <v>111</v>
      </c>
      <c r="J1664">
        <v>3</v>
      </c>
      <c r="K1664">
        <v>6</v>
      </c>
      <c r="L1664">
        <v>51</v>
      </c>
      <c r="M1664" t="s">
        <v>38</v>
      </c>
      <c r="N1664" t="s">
        <v>51</v>
      </c>
      <c r="O1664">
        <v>33865</v>
      </c>
      <c r="P1664">
        <v>179</v>
      </c>
      <c r="Q1664" t="s">
        <v>50</v>
      </c>
      <c r="R1664" t="str">
        <f t="shared" si="26"/>
        <v>Yes</v>
      </c>
    </row>
    <row r="1665" spans="1:18" x14ac:dyDescent="0.35">
      <c r="A1665" s="1">
        <v>40398</v>
      </c>
      <c r="B1665">
        <v>0</v>
      </c>
      <c r="C1665" t="s">
        <v>73</v>
      </c>
      <c r="D1665" t="s">
        <v>53</v>
      </c>
      <c r="E1665" t="s">
        <v>18</v>
      </c>
      <c r="F1665">
        <v>112</v>
      </c>
      <c r="G1665" t="s">
        <v>49</v>
      </c>
      <c r="H1665" t="s">
        <v>18</v>
      </c>
      <c r="I1665">
        <v>111</v>
      </c>
      <c r="J1665">
        <v>11</v>
      </c>
      <c r="K1665">
        <v>4</v>
      </c>
      <c r="L1665">
        <v>54</v>
      </c>
      <c r="M1665" t="s">
        <v>38</v>
      </c>
      <c r="N1665" t="s">
        <v>79</v>
      </c>
      <c r="O1665">
        <v>39016</v>
      </c>
      <c r="P1665">
        <v>160</v>
      </c>
      <c r="Q1665" t="s">
        <v>53</v>
      </c>
      <c r="R1665" t="str">
        <f t="shared" si="26"/>
        <v>No</v>
      </c>
    </row>
    <row r="1666" spans="1:18" x14ac:dyDescent="0.35">
      <c r="A1666" s="1">
        <v>40398</v>
      </c>
      <c r="B1666">
        <v>0</v>
      </c>
      <c r="C1666" t="s">
        <v>73</v>
      </c>
      <c r="D1666" t="s">
        <v>26</v>
      </c>
      <c r="E1666" t="s">
        <v>18</v>
      </c>
      <c r="F1666">
        <v>112</v>
      </c>
      <c r="G1666" t="s">
        <v>22</v>
      </c>
      <c r="H1666" t="s">
        <v>18</v>
      </c>
      <c r="I1666">
        <v>112</v>
      </c>
      <c r="J1666">
        <v>3</v>
      </c>
      <c r="K1666">
        <v>8</v>
      </c>
      <c r="L1666">
        <v>51</v>
      </c>
      <c r="M1666" t="s">
        <v>38</v>
      </c>
      <c r="N1666" t="s">
        <v>85</v>
      </c>
      <c r="O1666">
        <v>43639</v>
      </c>
      <c r="P1666">
        <v>186</v>
      </c>
      <c r="Q1666" t="s">
        <v>22</v>
      </c>
      <c r="R1666" t="str">
        <f t="shared" si="26"/>
        <v>Yes</v>
      </c>
    </row>
    <row r="1667" spans="1:18" x14ac:dyDescent="0.35">
      <c r="A1667" s="1">
        <v>40398</v>
      </c>
      <c r="B1667">
        <v>0</v>
      </c>
      <c r="C1667" t="s">
        <v>73</v>
      </c>
      <c r="D1667" t="s">
        <v>66</v>
      </c>
      <c r="E1667" t="s">
        <v>18</v>
      </c>
      <c r="F1667">
        <v>110</v>
      </c>
      <c r="G1667" t="s">
        <v>68</v>
      </c>
      <c r="H1667" t="s">
        <v>18</v>
      </c>
      <c r="I1667">
        <v>112</v>
      </c>
      <c r="J1667">
        <v>6</v>
      </c>
      <c r="K1667">
        <v>11</v>
      </c>
      <c r="L1667">
        <v>51</v>
      </c>
      <c r="M1667" t="s">
        <v>38</v>
      </c>
      <c r="N1667" t="s">
        <v>69</v>
      </c>
      <c r="O1667">
        <v>39339</v>
      </c>
      <c r="P1667">
        <v>197</v>
      </c>
      <c r="Q1667" t="s">
        <v>68</v>
      </c>
      <c r="R1667" t="str">
        <f t="shared" ref="R1667:R1730" si="27">IF(K1667&gt;J1667,"Yes","No")</f>
        <v>Yes</v>
      </c>
    </row>
    <row r="1668" spans="1:18" x14ac:dyDescent="0.35">
      <c r="A1668" s="1">
        <v>40398</v>
      </c>
      <c r="B1668">
        <v>0</v>
      </c>
      <c r="C1668" t="s">
        <v>73</v>
      </c>
      <c r="D1668" t="s">
        <v>19</v>
      </c>
      <c r="E1668" t="s">
        <v>18</v>
      </c>
      <c r="F1668">
        <v>111</v>
      </c>
      <c r="G1668" t="s">
        <v>25</v>
      </c>
      <c r="H1668" t="s">
        <v>18</v>
      </c>
      <c r="I1668">
        <v>111</v>
      </c>
      <c r="J1668">
        <v>5</v>
      </c>
      <c r="K1668">
        <v>6</v>
      </c>
      <c r="L1668">
        <v>51</v>
      </c>
      <c r="M1668" t="s">
        <v>38</v>
      </c>
      <c r="N1668" t="s">
        <v>80</v>
      </c>
      <c r="O1668">
        <v>45402</v>
      </c>
      <c r="P1668">
        <v>153</v>
      </c>
      <c r="Q1668" t="s">
        <v>25</v>
      </c>
      <c r="R1668" t="str">
        <f t="shared" si="27"/>
        <v>Yes</v>
      </c>
    </row>
    <row r="1669" spans="1:18" x14ac:dyDescent="0.35">
      <c r="A1669" s="1">
        <v>40398</v>
      </c>
      <c r="B1669">
        <v>0</v>
      </c>
      <c r="C1669" t="s">
        <v>73</v>
      </c>
      <c r="D1669" t="s">
        <v>63</v>
      </c>
      <c r="E1669" t="s">
        <v>18</v>
      </c>
      <c r="F1669">
        <v>111</v>
      </c>
      <c r="G1669" t="s">
        <v>23</v>
      </c>
      <c r="H1669" t="s">
        <v>18</v>
      </c>
      <c r="I1669">
        <v>111</v>
      </c>
      <c r="J1669">
        <v>8</v>
      </c>
      <c r="K1669">
        <v>4</v>
      </c>
      <c r="L1669">
        <v>54</v>
      </c>
      <c r="M1669" t="s">
        <v>38</v>
      </c>
      <c r="N1669" t="s">
        <v>24</v>
      </c>
      <c r="O1669">
        <v>22716</v>
      </c>
      <c r="P1669">
        <v>199</v>
      </c>
      <c r="Q1669" t="s">
        <v>63</v>
      </c>
      <c r="R1669" t="str">
        <f t="shared" si="27"/>
        <v>No</v>
      </c>
    </row>
    <row r="1670" spans="1:18" x14ac:dyDescent="0.35">
      <c r="A1670" s="1">
        <v>40399</v>
      </c>
      <c r="B1670">
        <v>0</v>
      </c>
      <c r="C1670" t="s">
        <v>74</v>
      </c>
      <c r="D1670" t="s">
        <v>37</v>
      </c>
      <c r="E1670" t="s">
        <v>30</v>
      </c>
      <c r="F1670">
        <v>112</v>
      </c>
      <c r="G1670" t="s">
        <v>31</v>
      </c>
      <c r="H1670" t="s">
        <v>30</v>
      </c>
      <c r="I1670">
        <v>114</v>
      </c>
      <c r="J1670">
        <v>4</v>
      </c>
      <c r="K1670">
        <v>6</v>
      </c>
      <c r="L1670">
        <v>51</v>
      </c>
      <c r="M1670" t="s">
        <v>20</v>
      </c>
      <c r="N1670" t="s">
        <v>32</v>
      </c>
      <c r="O1670">
        <v>40011</v>
      </c>
      <c r="P1670">
        <v>161</v>
      </c>
      <c r="Q1670" t="s">
        <v>31</v>
      </c>
      <c r="R1670" t="str">
        <f t="shared" si="27"/>
        <v>Yes</v>
      </c>
    </row>
    <row r="1671" spans="1:18" x14ac:dyDescent="0.35">
      <c r="A1671" s="1">
        <v>40399</v>
      </c>
      <c r="B1671">
        <v>0</v>
      </c>
      <c r="C1671" t="s">
        <v>74</v>
      </c>
      <c r="D1671" t="s">
        <v>34</v>
      </c>
      <c r="E1671" t="s">
        <v>30</v>
      </c>
      <c r="F1671">
        <v>112</v>
      </c>
      <c r="G1671" t="s">
        <v>43</v>
      </c>
      <c r="H1671" t="s">
        <v>30</v>
      </c>
      <c r="I1671">
        <v>112</v>
      </c>
      <c r="J1671">
        <v>2</v>
      </c>
      <c r="K1671">
        <v>3</v>
      </c>
      <c r="L1671">
        <v>57</v>
      </c>
      <c r="M1671" t="s">
        <v>20</v>
      </c>
      <c r="N1671" t="s">
        <v>56</v>
      </c>
      <c r="O1671">
        <v>14135</v>
      </c>
      <c r="P1671">
        <v>178</v>
      </c>
      <c r="Q1671" t="s">
        <v>43</v>
      </c>
      <c r="R1671" t="str">
        <f t="shared" si="27"/>
        <v>Yes</v>
      </c>
    </row>
    <row r="1672" spans="1:18" x14ac:dyDescent="0.35">
      <c r="A1672" s="1">
        <v>40399</v>
      </c>
      <c r="B1672">
        <v>0</v>
      </c>
      <c r="C1672" t="s">
        <v>74</v>
      </c>
      <c r="D1672" t="s">
        <v>44</v>
      </c>
      <c r="E1672" t="s">
        <v>30</v>
      </c>
      <c r="F1672">
        <v>112</v>
      </c>
      <c r="G1672" t="s">
        <v>36</v>
      </c>
      <c r="H1672" t="s">
        <v>30</v>
      </c>
      <c r="I1672">
        <v>112</v>
      </c>
      <c r="J1672">
        <v>6</v>
      </c>
      <c r="K1672">
        <v>3</v>
      </c>
      <c r="L1672">
        <v>54</v>
      </c>
      <c r="M1672" t="s">
        <v>20</v>
      </c>
      <c r="N1672" t="s">
        <v>57</v>
      </c>
      <c r="O1672">
        <v>23932</v>
      </c>
      <c r="P1672">
        <v>193</v>
      </c>
      <c r="Q1672" t="s">
        <v>44</v>
      </c>
      <c r="R1672" t="str">
        <f t="shared" si="27"/>
        <v>No</v>
      </c>
    </row>
    <row r="1673" spans="1:18" x14ac:dyDescent="0.35">
      <c r="A1673" s="1">
        <v>40399</v>
      </c>
      <c r="B1673">
        <v>0</v>
      </c>
      <c r="C1673" t="s">
        <v>74</v>
      </c>
      <c r="D1673" t="s">
        <v>58</v>
      </c>
      <c r="E1673" t="s">
        <v>30</v>
      </c>
      <c r="F1673">
        <v>113</v>
      </c>
      <c r="G1673" t="s">
        <v>59</v>
      </c>
      <c r="H1673" t="s">
        <v>30</v>
      </c>
      <c r="I1673">
        <v>111</v>
      </c>
      <c r="J1673">
        <v>2</v>
      </c>
      <c r="K1673">
        <v>1</v>
      </c>
      <c r="L1673">
        <v>54</v>
      </c>
      <c r="M1673" t="s">
        <v>38</v>
      </c>
      <c r="N1673" t="s">
        <v>84</v>
      </c>
      <c r="O1673">
        <v>49476</v>
      </c>
      <c r="P1673">
        <v>213</v>
      </c>
      <c r="Q1673" t="s">
        <v>58</v>
      </c>
      <c r="R1673" t="str">
        <f t="shared" si="27"/>
        <v>No</v>
      </c>
    </row>
    <row r="1674" spans="1:18" x14ac:dyDescent="0.35">
      <c r="A1674" s="1">
        <v>40399</v>
      </c>
      <c r="B1674">
        <v>0</v>
      </c>
      <c r="C1674" t="s">
        <v>74</v>
      </c>
      <c r="D1674" t="s">
        <v>41</v>
      </c>
      <c r="E1674" t="s">
        <v>30</v>
      </c>
      <c r="F1674">
        <v>111</v>
      </c>
      <c r="G1674" t="s">
        <v>40</v>
      </c>
      <c r="H1674" t="s">
        <v>30</v>
      </c>
      <c r="I1674">
        <v>113</v>
      </c>
      <c r="J1674">
        <v>1</v>
      </c>
      <c r="K1674">
        <v>3</v>
      </c>
      <c r="L1674">
        <v>51</v>
      </c>
      <c r="M1674" t="s">
        <v>20</v>
      </c>
      <c r="N1674" t="s">
        <v>77</v>
      </c>
      <c r="O1674">
        <v>19943</v>
      </c>
      <c r="P1674">
        <v>136</v>
      </c>
      <c r="Q1674" t="s">
        <v>40</v>
      </c>
      <c r="R1674" t="str">
        <f t="shared" si="27"/>
        <v>Yes</v>
      </c>
    </row>
    <row r="1675" spans="1:18" x14ac:dyDescent="0.35">
      <c r="A1675" s="1">
        <v>40399</v>
      </c>
      <c r="B1675">
        <v>0</v>
      </c>
      <c r="C1675" t="s">
        <v>74</v>
      </c>
      <c r="D1675" t="s">
        <v>52</v>
      </c>
      <c r="E1675" t="s">
        <v>18</v>
      </c>
      <c r="F1675">
        <v>111</v>
      </c>
      <c r="G1675" t="s">
        <v>53</v>
      </c>
      <c r="H1675" t="s">
        <v>18</v>
      </c>
      <c r="I1675">
        <v>113</v>
      </c>
      <c r="J1675">
        <v>7</v>
      </c>
      <c r="K1675">
        <v>3</v>
      </c>
      <c r="L1675">
        <v>54</v>
      </c>
      <c r="M1675" t="s">
        <v>20</v>
      </c>
      <c r="N1675" t="s">
        <v>54</v>
      </c>
      <c r="O1675">
        <v>36353</v>
      </c>
      <c r="P1675">
        <v>158</v>
      </c>
      <c r="Q1675" t="s">
        <v>52</v>
      </c>
      <c r="R1675" t="str">
        <f t="shared" si="27"/>
        <v>No</v>
      </c>
    </row>
    <row r="1676" spans="1:18" x14ac:dyDescent="0.35">
      <c r="A1676" s="1">
        <v>40399</v>
      </c>
      <c r="B1676">
        <v>0</v>
      </c>
      <c r="C1676" t="s">
        <v>74</v>
      </c>
      <c r="D1676" t="s">
        <v>50</v>
      </c>
      <c r="E1676" t="s">
        <v>18</v>
      </c>
      <c r="F1676">
        <v>112</v>
      </c>
      <c r="G1676" t="s">
        <v>66</v>
      </c>
      <c r="H1676" t="s">
        <v>18</v>
      </c>
      <c r="I1676">
        <v>111</v>
      </c>
      <c r="J1676">
        <v>4</v>
      </c>
      <c r="K1676">
        <v>10</v>
      </c>
      <c r="L1676">
        <v>51</v>
      </c>
      <c r="M1676" t="s">
        <v>20</v>
      </c>
      <c r="N1676" t="s">
        <v>67</v>
      </c>
      <c r="O1676">
        <v>34684</v>
      </c>
      <c r="P1676">
        <v>173</v>
      </c>
      <c r="Q1676" t="s">
        <v>66</v>
      </c>
      <c r="R1676" t="str">
        <f t="shared" si="27"/>
        <v>Yes</v>
      </c>
    </row>
    <row r="1677" spans="1:18" x14ac:dyDescent="0.35">
      <c r="A1677" s="1">
        <v>40399</v>
      </c>
      <c r="B1677">
        <v>0</v>
      </c>
      <c r="C1677" t="s">
        <v>74</v>
      </c>
      <c r="D1677" t="s">
        <v>60</v>
      </c>
      <c r="E1677" t="s">
        <v>18</v>
      </c>
      <c r="F1677">
        <v>113</v>
      </c>
      <c r="G1677" t="s">
        <v>68</v>
      </c>
      <c r="H1677" t="s">
        <v>18</v>
      </c>
      <c r="I1677">
        <v>113</v>
      </c>
      <c r="J1677">
        <v>7</v>
      </c>
      <c r="K1677">
        <v>4</v>
      </c>
      <c r="L1677">
        <v>60</v>
      </c>
      <c r="M1677" t="s">
        <v>20</v>
      </c>
      <c r="N1677" t="s">
        <v>69</v>
      </c>
      <c r="O1677">
        <v>29633</v>
      </c>
      <c r="P1677">
        <v>206</v>
      </c>
      <c r="Q1677" t="s">
        <v>60</v>
      </c>
      <c r="R1677" t="str">
        <f t="shared" si="27"/>
        <v>No</v>
      </c>
    </row>
    <row r="1678" spans="1:18" x14ac:dyDescent="0.35">
      <c r="A1678" s="1">
        <v>40399</v>
      </c>
      <c r="B1678">
        <v>0</v>
      </c>
      <c r="C1678" t="s">
        <v>74</v>
      </c>
      <c r="D1678" t="s">
        <v>49</v>
      </c>
      <c r="E1678" t="s">
        <v>18</v>
      </c>
      <c r="F1678">
        <v>112</v>
      </c>
      <c r="G1678" t="s">
        <v>70</v>
      </c>
      <c r="H1678" t="s">
        <v>18</v>
      </c>
      <c r="I1678">
        <v>113</v>
      </c>
      <c r="J1678">
        <v>3</v>
      </c>
      <c r="K1678">
        <v>4</v>
      </c>
      <c r="L1678">
        <v>64</v>
      </c>
      <c r="M1678" t="s">
        <v>20</v>
      </c>
      <c r="N1678" t="s">
        <v>71</v>
      </c>
      <c r="O1678">
        <v>41943</v>
      </c>
      <c r="P1678">
        <v>218</v>
      </c>
      <c r="Q1678" t="s">
        <v>70</v>
      </c>
      <c r="R1678" t="str">
        <f t="shared" si="27"/>
        <v>Yes</v>
      </c>
    </row>
    <row r="1679" spans="1:18" x14ac:dyDescent="0.35">
      <c r="A1679" s="1">
        <v>40400</v>
      </c>
      <c r="B1679">
        <v>0</v>
      </c>
      <c r="C1679" t="s">
        <v>83</v>
      </c>
      <c r="D1679" t="s">
        <v>37</v>
      </c>
      <c r="E1679" t="s">
        <v>30</v>
      </c>
      <c r="F1679">
        <v>113</v>
      </c>
      <c r="G1679" t="s">
        <v>31</v>
      </c>
      <c r="H1679" t="s">
        <v>30</v>
      </c>
      <c r="I1679">
        <v>115</v>
      </c>
      <c r="J1679">
        <v>1</v>
      </c>
      <c r="K1679">
        <v>3</v>
      </c>
      <c r="L1679">
        <v>51</v>
      </c>
      <c r="M1679" t="s">
        <v>20</v>
      </c>
      <c r="N1679" t="s">
        <v>32</v>
      </c>
      <c r="O1679">
        <v>43512</v>
      </c>
      <c r="P1679">
        <v>137</v>
      </c>
      <c r="Q1679" t="s">
        <v>31</v>
      </c>
      <c r="R1679" t="str">
        <f t="shared" si="27"/>
        <v>Yes</v>
      </c>
    </row>
    <row r="1680" spans="1:18" x14ac:dyDescent="0.35">
      <c r="A1680" s="1">
        <v>40400</v>
      </c>
      <c r="B1680">
        <v>0</v>
      </c>
      <c r="C1680" t="s">
        <v>83</v>
      </c>
      <c r="D1680" t="s">
        <v>29</v>
      </c>
      <c r="E1680" t="s">
        <v>30</v>
      </c>
      <c r="F1680">
        <v>113</v>
      </c>
      <c r="G1680" t="s">
        <v>34</v>
      </c>
      <c r="H1680" t="s">
        <v>30</v>
      </c>
      <c r="I1680">
        <v>113</v>
      </c>
      <c r="J1680">
        <v>12</v>
      </c>
      <c r="K1680">
        <v>6</v>
      </c>
      <c r="L1680">
        <v>54</v>
      </c>
      <c r="M1680" t="s">
        <v>20</v>
      </c>
      <c r="N1680" t="s">
        <v>35</v>
      </c>
      <c r="O1680">
        <v>30900</v>
      </c>
      <c r="P1680">
        <v>172</v>
      </c>
      <c r="Q1680" t="s">
        <v>29</v>
      </c>
      <c r="R1680" t="str">
        <f t="shared" si="27"/>
        <v>No</v>
      </c>
    </row>
    <row r="1681" spans="1:18" x14ac:dyDescent="0.35">
      <c r="A1681" s="1">
        <v>40400</v>
      </c>
      <c r="B1681">
        <v>0</v>
      </c>
      <c r="C1681" t="s">
        <v>83</v>
      </c>
      <c r="D1681" t="s">
        <v>43</v>
      </c>
      <c r="E1681" t="s">
        <v>30</v>
      </c>
      <c r="F1681">
        <v>113</v>
      </c>
      <c r="G1681" t="s">
        <v>33</v>
      </c>
      <c r="H1681" t="s">
        <v>30</v>
      </c>
      <c r="I1681">
        <v>113</v>
      </c>
      <c r="J1681">
        <v>14</v>
      </c>
      <c r="K1681">
        <v>8</v>
      </c>
      <c r="L1681">
        <v>54</v>
      </c>
      <c r="M1681" t="s">
        <v>20</v>
      </c>
      <c r="N1681" t="s">
        <v>75</v>
      </c>
      <c r="O1681">
        <v>13541</v>
      </c>
      <c r="P1681">
        <v>176</v>
      </c>
      <c r="Q1681" t="s">
        <v>43</v>
      </c>
      <c r="R1681" t="str">
        <f t="shared" si="27"/>
        <v>No</v>
      </c>
    </row>
    <row r="1682" spans="1:18" x14ac:dyDescent="0.35">
      <c r="A1682" s="1">
        <v>40400</v>
      </c>
      <c r="B1682">
        <v>0</v>
      </c>
      <c r="C1682" t="s">
        <v>83</v>
      </c>
      <c r="D1682" t="s">
        <v>44</v>
      </c>
      <c r="E1682" t="s">
        <v>30</v>
      </c>
      <c r="F1682">
        <v>113</v>
      </c>
      <c r="G1682" t="s">
        <v>36</v>
      </c>
      <c r="H1682" t="s">
        <v>30</v>
      </c>
      <c r="I1682">
        <v>113</v>
      </c>
      <c r="J1682">
        <v>8</v>
      </c>
      <c r="K1682">
        <v>0</v>
      </c>
      <c r="L1682">
        <v>54</v>
      </c>
      <c r="M1682" t="s">
        <v>20</v>
      </c>
      <c r="N1682" t="s">
        <v>57</v>
      </c>
      <c r="O1682">
        <v>26114</v>
      </c>
      <c r="P1682">
        <v>169</v>
      </c>
      <c r="Q1682" t="s">
        <v>44</v>
      </c>
      <c r="R1682" t="str">
        <f t="shared" si="27"/>
        <v>No</v>
      </c>
    </row>
    <row r="1683" spans="1:18" x14ac:dyDescent="0.35">
      <c r="A1683" s="1">
        <v>40400</v>
      </c>
      <c r="B1683">
        <v>0</v>
      </c>
      <c r="C1683" t="s">
        <v>83</v>
      </c>
      <c r="D1683" t="s">
        <v>41</v>
      </c>
      <c r="E1683" t="s">
        <v>30</v>
      </c>
      <c r="F1683">
        <v>112</v>
      </c>
      <c r="G1683" t="s">
        <v>40</v>
      </c>
      <c r="H1683" t="s">
        <v>30</v>
      </c>
      <c r="I1683">
        <v>114</v>
      </c>
      <c r="J1683">
        <v>0</v>
      </c>
      <c r="K1683">
        <v>2</v>
      </c>
      <c r="L1683">
        <v>51</v>
      </c>
      <c r="M1683" t="s">
        <v>20</v>
      </c>
      <c r="N1683" t="s">
        <v>77</v>
      </c>
      <c r="O1683">
        <v>21377</v>
      </c>
      <c r="P1683">
        <v>141</v>
      </c>
      <c r="Q1683" t="s">
        <v>40</v>
      </c>
      <c r="R1683" t="str">
        <f t="shared" si="27"/>
        <v>Yes</v>
      </c>
    </row>
    <row r="1684" spans="1:18" x14ac:dyDescent="0.35">
      <c r="A1684" s="1">
        <v>40400</v>
      </c>
      <c r="B1684">
        <v>0</v>
      </c>
      <c r="C1684" t="s">
        <v>83</v>
      </c>
      <c r="D1684" t="s">
        <v>59</v>
      </c>
      <c r="E1684" t="s">
        <v>30</v>
      </c>
      <c r="F1684">
        <v>112</v>
      </c>
      <c r="G1684" t="s">
        <v>47</v>
      </c>
      <c r="H1684" t="s">
        <v>30</v>
      </c>
      <c r="I1684">
        <v>112</v>
      </c>
      <c r="J1684">
        <v>3</v>
      </c>
      <c r="K1684">
        <v>4</v>
      </c>
      <c r="L1684">
        <v>58</v>
      </c>
      <c r="M1684" t="s">
        <v>20</v>
      </c>
      <c r="N1684" t="s">
        <v>48</v>
      </c>
      <c r="O1684">
        <v>46121</v>
      </c>
      <c r="P1684">
        <v>218</v>
      </c>
      <c r="Q1684" t="s">
        <v>47</v>
      </c>
      <c r="R1684" t="str">
        <f t="shared" si="27"/>
        <v>Yes</v>
      </c>
    </row>
    <row r="1685" spans="1:18" x14ac:dyDescent="0.35">
      <c r="A1685" s="1">
        <v>40400</v>
      </c>
      <c r="B1685">
        <v>0</v>
      </c>
      <c r="C1685" t="s">
        <v>83</v>
      </c>
      <c r="D1685" t="s">
        <v>58</v>
      </c>
      <c r="E1685" t="s">
        <v>30</v>
      </c>
      <c r="F1685">
        <v>114</v>
      </c>
      <c r="G1685" t="s">
        <v>46</v>
      </c>
      <c r="H1685" t="s">
        <v>30</v>
      </c>
      <c r="I1685">
        <v>112</v>
      </c>
      <c r="J1685">
        <v>7</v>
      </c>
      <c r="K1685">
        <v>5</v>
      </c>
      <c r="L1685">
        <v>54</v>
      </c>
      <c r="M1685" t="s">
        <v>20</v>
      </c>
      <c r="N1685" t="s">
        <v>78</v>
      </c>
      <c r="O1685">
        <v>27690</v>
      </c>
      <c r="P1685">
        <v>191</v>
      </c>
      <c r="Q1685" t="s">
        <v>58</v>
      </c>
      <c r="R1685" t="str">
        <f t="shared" si="27"/>
        <v>No</v>
      </c>
    </row>
    <row r="1686" spans="1:18" x14ac:dyDescent="0.35">
      <c r="A1686" s="1">
        <v>40400</v>
      </c>
      <c r="B1686">
        <v>0</v>
      </c>
      <c r="C1686" t="s">
        <v>83</v>
      </c>
      <c r="D1686" t="s">
        <v>52</v>
      </c>
      <c r="E1686" t="s">
        <v>18</v>
      </c>
      <c r="F1686">
        <v>112</v>
      </c>
      <c r="G1686" t="s">
        <v>53</v>
      </c>
      <c r="H1686" t="s">
        <v>18</v>
      </c>
      <c r="I1686">
        <v>114</v>
      </c>
      <c r="J1686">
        <v>8</v>
      </c>
      <c r="K1686">
        <v>4</v>
      </c>
      <c r="L1686">
        <v>54</v>
      </c>
      <c r="M1686" t="s">
        <v>20</v>
      </c>
      <c r="N1686" t="s">
        <v>54</v>
      </c>
      <c r="O1686">
        <v>36964</v>
      </c>
      <c r="P1686">
        <v>197</v>
      </c>
      <c r="Q1686" t="s">
        <v>52</v>
      </c>
      <c r="R1686" t="str">
        <f t="shared" si="27"/>
        <v>No</v>
      </c>
    </row>
    <row r="1687" spans="1:18" x14ac:dyDescent="0.35">
      <c r="A1687" s="1">
        <v>40400</v>
      </c>
      <c r="B1687">
        <v>0</v>
      </c>
      <c r="C1687" t="s">
        <v>83</v>
      </c>
      <c r="D1687" t="s">
        <v>50</v>
      </c>
      <c r="E1687" t="s">
        <v>18</v>
      </c>
      <c r="F1687">
        <v>113</v>
      </c>
      <c r="G1687" t="s">
        <v>66</v>
      </c>
      <c r="H1687" t="s">
        <v>18</v>
      </c>
      <c r="I1687">
        <v>112</v>
      </c>
      <c r="J1687">
        <v>4</v>
      </c>
      <c r="K1687">
        <v>2</v>
      </c>
      <c r="L1687">
        <v>54</v>
      </c>
      <c r="M1687" t="s">
        <v>20</v>
      </c>
      <c r="N1687" t="s">
        <v>67</v>
      </c>
      <c r="O1687">
        <v>34155</v>
      </c>
      <c r="P1687">
        <v>167</v>
      </c>
      <c r="Q1687" t="s">
        <v>50</v>
      </c>
      <c r="R1687" t="str">
        <f t="shared" si="27"/>
        <v>No</v>
      </c>
    </row>
    <row r="1688" spans="1:18" x14ac:dyDescent="0.35">
      <c r="A1688" s="1">
        <v>40400</v>
      </c>
      <c r="B1688">
        <v>0</v>
      </c>
      <c r="C1688" t="s">
        <v>83</v>
      </c>
      <c r="D1688" t="s">
        <v>60</v>
      </c>
      <c r="E1688" t="s">
        <v>18</v>
      </c>
      <c r="F1688">
        <v>114</v>
      </c>
      <c r="G1688" t="s">
        <v>68</v>
      </c>
      <c r="H1688" t="s">
        <v>18</v>
      </c>
      <c r="I1688">
        <v>114</v>
      </c>
      <c r="J1688">
        <v>2</v>
      </c>
      <c r="K1688">
        <v>1</v>
      </c>
      <c r="L1688">
        <v>54</v>
      </c>
      <c r="M1688" t="s">
        <v>20</v>
      </c>
      <c r="N1688" t="s">
        <v>69</v>
      </c>
      <c r="O1688">
        <v>35029</v>
      </c>
      <c r="P1688">
        <v>182</v>
      </c>
      <c r="Q1688" t="s">
        <v>60</v>
      </c>
      <c r="R1688" t="str">
        <f t="shared" si="27"/>
        <v>No</v>
      </c>
    </row>
    <row r="1689" spans="1:18" x14ac:dyDescent="0.35">
      <c r="A1689" s="1">
        <v>40400</v>
      </c>
      <c r="B1689">
        <v>0</v>
      </c>
      <c r="C1689" t="s">
        <v>83</v>
      </c>
      <c r="D1689" t="s">
        <v>63</v>
      </c>
      <c r="E1689" t="s">
        <v>18</v>
      </c>
      <c r="F1689">
        <v>112</v>
      </c>
      <c r="G1689" t="s">
        <v>19</v>
      </c>
      <c r="H1689" t="s">
        <v>18</v>
      </c>
      <c r="I1689">
        <v>112</v>
      </c>
      <c r="J1689">
        <v>0</v>
      </c>
      <c r="K1689">
        <v>1</v>
      </c>
      <c r="L1689">
        <v>51</v>
      </c>
      <c r="M1689" t="s">
        <v>20</v>
      </c>
      <c r="N1689" t="s">
        <v>21</v>
      </c>
      <c r="O1689">
        <v>30036</v>
      </c>
      <c r="P1689">
        <v>171</v>
      </c>
      <c r="Q1689" t="s">
        <v>19</v>
      </c>
      <c r="R1689" t="str">
        <f t="shared" si="27"/>
        <v>Yes</v>
      </c>
    </row>
    <row r="1690" spans="1:18" x14ac:dyDescent="0.35">
      <c r="A1690" s="1">
        <v>40400</v>
      </c>
      <c r="B1690">
        <v>0</v>
      </c>
      <c r="C1690" t="s">
        <v>83</v>
      </c>
      <c r="D1690" t="s">
        <v>22</v>
      </c>
      <c r="E1690" t="s">
        <v>18</v>
      </c>
      <c r="F1690">
        <v>113</v>
      </c>
      <c r="G1690" t="s">
        <v>25</v>
      </c>
      <c r="H1690" t="s">
        <v>18</v>
      </c>
      <c r="I1690">
        <v>112</v>
      </c>
      <c r="J1690">
        <v>15</v>
      </c>
      <c r="K1690">
        <v>9</v>
      </c>
      <c r="L1690">
        <v>54</v>
      </c>
      <c r="M1690" t="s">
        <v>20</v>
      </c>
      <c r="N1690" t="s">
        <v>80</v>
      </c>
      <c r="O1690">
        <v>44881</v>
      </c>
      <c r="P1690">
        <v>220</v>
      </c>
      <c r="Q1690" t="s">
        <v>22</v>
      </c>
      <c r="R1690" t="str">
        <f t="shared" si="27"/>
        <v>No</v>
      </c>
    </row>
    <row r="1691" spans="1:18" x14ac:dyDescent="0.35">
      <c r="A1691" s="1">
        <v>40400</v>
      </c>
      <c r="B1691">
        <v>0</v>
      </c>
      <c r="C1691" t="s">
        <v>83</v>
      </c>
      <c r="D1691" t="s">
        <v>23</v>
      </c>
      <c r="E1691" t="s">
        <v>18</v>
      </c>
      <c r="F1691">
        <v>112</v>
      </c>
      <c r="G1691" t="s">
        <v>62</v>
      </c>
      <c r="H1691" t="s">
        <v>18</v>
      </c>
      <c r="I1691">
        <v>111</v>
      </c>
      <c r="J1691">
        <v>1</v>
      </c>
      <c r="K1691">
        <v>4</v>
      </c>
      <c r="L1691">
        <v>51</v>
      </c>
      <c r="M1691" t="s">
        <v>20</v>
      </c>
      <c r="N1691" t="s">
        <v>81</v>
      </c>
      <c r="O1691">
        <v>23249</v>
      </c>
      <c r="P1691">
        <v>154</v>
      </c>
      <c r="Q1691" t="s">
        <v>62</v>
      </c>
      <c r="R1691" t="str">
        <f t="shared" si="27"/>
        <v>Yes</v>
      </c>
    </row>
    <row r="1692" spans="1:18" x14ac:dyDescent="0.35">
      <c r="A1692" s="1">
        <v>40400</v>
      </c>
      <c r="B1692">
        <v>0</v>
      </c>
      <c r="C1692" t="s">
        <v>83</v>
      </c>
      <c r="D1692" t="s">
        <v>49</v>
      </c>
      <c r="E1692" t="s">
        <v>18</v>
      </c>
      <c r="F1692">
        <v>113</v>
      </c>
      <c r="G1692" t="s">
        <v>70</v>
      </c>
      <c r="H1692" t="s">
        <v>18</v>
      </c>
      <c r="I1692">
        <v>114</v>
      </c>
      <c r="J1692">
        <v>8</v>
      </c>
      <c r="K1692">
        <v>6</v>
      </c>
      <c r="L1692">
        <v>54</v>
      </c>
      <c r="M1692" t="s">
        <v>20</v>
      </c>
      <c r="N1692" t="s">
        <v>71</v>
      </c>
      <c r="O1692">
        <v>35389</v>
      </c>
      <c r="P1692">
        <v>190</v>
      </c>
      <c r="Q1692" t="s">
        <v>49</v>
      </c>
      <c r="R1692" t="str">
        <f t="shared" si="27"/>
        <v>No</v>
      </c>
    </row>
    <row r="1693" spans="1:18" x14ac:dyDescent="0.35">
      <c r="A1693" s="1">
        <v>40400</v>
      </c>
      <c r="B1693">
        <v>0</v>
      </c>
      <c r="C1693" t="s">
        <v>83</v>
      </c>
      <c r="D1693" t="s">
        <v>17</v>
      </c>
      <c r="E1693" t="s">
        <v>18</v>
      </c>
      <c r="F1693">
        <v>111</v>
      </c>
      <c r="G1693" t="s">
        <v>26</v>
      </c>
      <c r="H1693" t="s">
        <v>18</v>
      </c>
      <c r="I1693">
        <v>113</v>
      </c>
      <c r="J1693">
        <v>8</v>
      </c>
      <c r="K1693">
        <v>2</v>
      </c>
      <c r="L1693">
        <v>54</v>
      </c>
      <c r="M1693" t="s">
        <v>20</v>
      </c>
      <c r="N1693" t="s">
        <v>27</v>
      </c>
      <c r="O1693">
        <v>25939</v>
      </c>
      <c r="P1693">
        <v>184</v>
      </c>
      <c r="Q1693" t="s">
        <v>17</v>
      </c>
      <c r="R1693" t="str">
        <f t="shared" si="27"/>
        <v>No</v>
      </c>
    </row>
    <row r="1694" spans="1:18" x14ac:dyDescent="0.35">
      <c r="A1694" s="1">
        <v>40401</v>
      </c>
      <c r="B1694">
        <v>0</v>
      </c>
      <c r="C1694" t="s">
        <v>16</v>
      </c>
      <c r="D1694" t="s">
        <v>37</v>
      </c>
      <c r="E1694" t="s">
        <v>30</v>
      </c>
      <c r="F1694">
        <v>114</v>
      </c>
      <c r="G1694" t="s">
        <v>31</v>
      </c>
      <c r="H1694" t="s">
        <v>30</v>
      </c>
      <c r="I1694">
        <v>116</v>
      </c>
      <c r="J1694">
        <v>1</v>
      </c>
      <c r="K1694">
        <v>2</v>
      </c>
      <c r="L1694">
        <v>58</v>
      </c>
      <c r="M1694" t="s">
        <v>38</v>
      </c>
      <c r="N1694" t="s">
        <v>32</v>
      </c>
      <c r="O1694">
        <v>39093</v>
      </c>
      <c r="P1694">
        <v>174</v>
      </c>
      <c r="Q1694" t="s">
        <v>31</v>
      </c>
      <c r="R1694" t="str">
        <f t="shared" si="27"/>
        <v>Yes</v>
      </c>
    </row>
    <row r="1695" spans="1:18" x14ac:dyDescent="0.35">
      <c r="A1695" s="1">
        <v>40401</v>
      </c>
      <c r="B1695">
        <v>0</v>
      </c>
      <c r="C1695" t="s">
        <v>16</v>
      </c>
      <c r="D1695" t="s">
        <v>29</v>
      </c>
      <c r="E1695" t="s">
        <v>30</v>
      </c>
      <c r="F1695">
        <v>114</v>
      </c>
      <c r="G1695" t="s">
        <v>34</v>
      </c>
      <c r="H1695" t="s">
        <v>30</v>
      </c>
      <c r="I1695">
        <v>114</v>
      </c>
      <c r="J1695">
        <v>1</v>
      </c>
      <c r="K1695">
        <v>6</v>
      </c>
      <c r="L1695">
        <v>51</v>
      </c>
      <c r="M1695" t="s">
        <v>20</v>
      </c>
      <c r="N1695" t="s">
        <v>35</v>
      </c>
      <c r="O1695">
        <v>32033</v>
      </c>
      <c r="P1695">
        <v>155</v>
      </c>
      <c r="Q1695" t="s">
        <v>34</v>
      </c>
      <c r="R1695" t="str">
        <f t="shared" si="27"/>
        <v>Yes</v>
      </c>
    </row>
    <row r="1696" spans="1:18" x14ac:dyDescent="0.35">
      <c r="A1696" s="1">
        <v>40401</v>
      </c>
      <c r="B1696">
        <v>0</v>
      </c>
      <c r="C1696" t="s">
        <v>16</v>
      </c>
      <c r="D1696" t="s">
        <v>43</v>
      </c>
      <c r="E1696" t="s">
        <v>30</v>
      </c>
      <c r="F1696">
        <v>114</v>
      </c>
      <c r="G1696" t="s">
        <v>33</v>
      </c>
      <c r="H1696" t="s">
        <v>30</v>
      </c>
      <c r="I1696">
        <v>114</v>
      </c>
      <c r="J1696">
        <v>3</v>
      </c>
      <c r="K1696">
        <v>1</v>
      </c>
      <c r="L1696">
        <v>54</v>
      </c>
      <c r="M1696" t="s">
        <v>20</v>
      </c>
      <c r="N1696" t="s">
        <v>75</v>
      </c>
      <c r="O1696">
        <v>11155</v>
      </c>
      <c r="P1696">
        <v>152</v>
      </c>
      <c r="Q1696" t="s">
        <v>43</v>
      </c>
      <c r="R1696" t="str">
        <f t="shared" si="27"/>
        <v>No</v>
      </c>
    </row>
    <row r="1697" spans="1:18" x14ac:dyDescent="0.35">
      <c r="A1697" s="1">
        <v>40401</v>
      </c>
      <c r="B1697">
        <v>0</v>
      </c>
      <c r="C1697" t="s">
        <v>16</v>
      </c>
      <c r="D1697" t="s">
        <v>44</v>
      </c>
      <c r="E1697" t="s">
        <v>30</v>
      </c>
      <c r="F1697">
        <v>114</v>
      </c>
      <c r="G1697" t="s">
        <v>36</v>
      </c>
      <c r="H1697" t="s">
        <v>30</v>
      </c>
      <c r="I1697">
        <v>114</v>
      </c>
      <c r="J1697">
        <v>2</v>
      </c>
      <c r="K1697">
        <v>3</v>
      </c>
      <c r="L1697">
        <v>51</v>
      </c>
      <c r="M1697" t="s">
        <v>38</v>
      </c>
      <c r="N1697" t="s">
        <v>57</v>
      </c>
      <c r="O1697">
        <v>28815</v>
      </c>
      <c r="P1697">
        <v>191</v>
      </c>
      <c r="Q1697" t="s">
        <v>36</v>
      </c>
      <c r="R1697" t="str">
        <f t="shared" si="27"/>
        <v>Yes</v>
      </c>
    </row>
    <row r="1698" spans="1:18" x14ac:dyDescent="0.35">
      <c r="A1698" s="1">
        <v>40401</v>
      </c>
      <c r="B1698">
        <v>0</v>
      </c>
      <c r="C1698" t="s">
        <v>16</v>
      </c>
      <c r="D1698" t="s">
        <v>41</v>
      </c>
      <c r="E1698" t="s">
        <v>30</v>
      </c>
      <c r="F1698">
        <v>113</v>
      </c>
      <c r="G1698" t="s">
        <v>40</v>
      </c>
      <c r="H1698" t="s">
        <v>30</v>
      </c>
      <c r="I1698">
        <v>115</v>
      </c>
      <c r="J1698">
        <v>5</v>
      </c>
      <c r="K1698">
        <v>1</v>
      </c>
      <c r="L1698">
        <v>54</v>
      </c>
      <c r="M1698" t="s">
        <v>38</v>
      </c>
      <c r="N1698" t="s">
        <v>77</v>
      </c>
      <c r="O1698">
        <v>31560</v>
      </c>
      <c r="P1698">
        <v>137</v>
      </c>
      <c r="Q1698" t="s">
        <v>41</v>
      </c>
      <c r="R1698" t="str">
        <f t="shared" si="27"/>
        <v>No</v>
      </c>
    </row>
    <row r="1699" spans="1:18" x14ac:dyDescent="0.35">
      <c r="A1699" s="1">
        <v>40401</v>
      </c>
      <c r="B1699">
        <v>0</v>
      </c>
      <c r="C1699" t="s">
        <v>16</v>
      </c>
      <c r="D1699" t="s">
        <v>59</v>
      </c>
      <c r="E1699" t="s">
        <v>30</v>
      </c>
      <c r="F1699">
        <v>113</v>
      </c>
      <c r="G1699" t="s">
        <v>47</v>
      </c>
      <c r="H1699" t="s">
        <v>30</v>
      </c>
      <c r="I1699">
        <v>113</v>
      </c>
      <c r="J1699">
        <v>7</v>
      </c>
      <c r="K1699">
        <v>6</v>
      </c>
      <c r="L1699">
        <v>54</v>
      </c>
      <c r="M1699" t="s">
        <v>20</v>
      </c>
      <c r="N1699" t="s">
        <v>48</v>
      </c>
      <c r="O1699">
        <v>48676</v>
      </c>
      <c r="P1699">
        <v>225</v>
      </c>
      <c r="Q1699" t="s">
        <v>59</v>
      </c>
      <c r="R1699" t="str">
        <f t="shared" si="27"/>
        <v>No</v>
      </c>
    </row>
    <row r="1700" spans="1:18" x14ac:dyDescent="0.35">
      <c r="A1700" s="1">
        <v>40401</v>
      </c>
      <c r="B1700">
        <v>0</v>
      </c>
      <c r="C1700" t="s">
        <v>16</v>
      </c>
      <c r="D1700" t="s">
        <v>58</v>
      </c>
      <c r="E1700" t="s">
        <v>30</v>
      </c>
      <c r="F1700">
        <v>115</v>
      </c>
      <c r="G1700" t="s">
        <v>46</v>
      </c>
      <c r="H1700" t="s">
        <v>30</v>
      </c>
      <c r="I1700">
        <v>113</v>
      </c>
      <c r="J1700">
        <v>10</v>
      </c>
      <c r="K1700">
        <v>1</v>
      </c>
      <c r="L1700">
        <v>54</v>
      </c>
      <c r="M1700" t="s">
        <v>20</v>
      </c>
      <c r="N1700" t="s">
        <v>78</v>
      </c>
      <c r="O1700">
        <v>28308</v>
      </c>
      <c r="P1700">
        <v>180</v>
      </c>
      <c r="Q1700" t="s">
        <v>58</v>
      </c>
      <c r="R1700" t="str">
        <f t="shared" si="27"/>
        <v>No</v>
      </c>
    </row>
    <row r="1701" spans="1:18" x14ac:dyDescent="0.35">
      <c r="A1701" s="1">
        <v>40401</v>
      </c>
      <c r="B1701">
        <v>0</v>
      </c>
      <c r="C1701" t="s">
        <v>16</v>
      </c>
      <c r="D1701" t="s">
        <v>52</v>
      </c>
      <c r="E1701" t="s">
        <v>18</v>
      </c>
      <c r="F1701">
        <v>113</v>
      </c>
      <c r="G1701" t="s">
        <v>53</v>
      </c>
      <c r="H1701" t="s">
        <v>18</v>
      </c>
      <c r="I1701">
        <v>115</v>
      </c>
      <c r="J1701">
        <v>6</v>
      </c>
      <c r="K1701">
        <v>1</v>
      </c>
      <c r="L1701">
        <v>54</v>
      </c>
      <c r="M1701" t="s">
        <v>38</v>
      </c>
      <c r="N1701" t="s">
        <v>54</v>
      </c>
      <c r="O1701">
        <v>33364</v>
      </c>
      <c r="P1701">
        <v>169</v>
      </c>
      <c r="Q1701" t="s">
        <v>52</v>
      </c>
      <c r="R1701" t="str">
        <f t="shared" si="27"/>
        <v>No</v>
      </c>
    </row>
    <row r="1702" spans="1:18" x14ac:dyDescent="0.35">
      <c r="A1702" s="1">
        <v>40401</v>
      </c>
      <c r="B1702">
        <v>0</v>
      </c>
      <c r="C1702" t="s">
        <v>16</v>
      </c>
      <c r="D1702" t="s">
        <v>50</v>
      </c>
      <c r="E1702" t="s">
        <v>18</v>
      </c>
      <c r="F1702">
        <v>114</v>
      </c>
      <c r="G1702" t="s">
        <v>66</v>
      </c>
      <c r="H1702" t="s">
        <v>18</v>
      </c>
      <c r="I1702">
        <v>113</v>
      </c>
      <c r="J1702">
        <v>8</v>
      </c>
      <c r="K1702">
        <v>2</v>
      </c>
      <c r="L1702">
        <v>60</v>
      </c>
      <c r="M1702" t="s">
        <v>38</v>
      </c>
      <c r="N1702" t="s">
        <v>67</v>
      </c>
      <c r="O1702">
        <v>31352</v>
      </c>
      <c r="P1702">
        <v>181</v>
      </c>
      <c r="Q1702" t="s">
        <v>50</v>
      </c>
      <c r="R1702" t="str">
        <f t="shared" si="27"/>
        <v>No</v>
      </c>
    </row>
    <row r="1703" spans="1:18" x14ac:dyDescent="0.35">
      <c r="A1703" s="1">
        <v>40401</v>
      </c>
      <c r="B1703">
        <v>0</v>
      </c>
      <c r="C1703" t="s">
        <v>16</v>
      </c>
      <c r="D1703" t="s">
        <v>60</v>
      </c>
      <c r="E1703" t="s">
        <v>18</v>
      </c>
      <c r="F1703">
        <v>115</v>
      </c>
      <c r="G1703" t="s">
        <v>68</v>
      </c>
      <c r="H1703" t="s">
        <v>18</v>
      </c>
      <c r="I1703">
        <v>115</v>
      </c>
      <c r="J1703">
        <v>8</v>
      </c>
      <c r="K1703">
        <v>2</v>
      </c>
      <c r="L1703">
        <v>54</v>
      </c>
      <c r="M1703" t="s">
        <v>20</v>
      </c>
      <c r="N1703" t="s">
        <v>69</v>
      </c>
      <c r="O1703">
        <v>29611</v>
      </c>
      <c r="P1703">
        <v>180</v>
      </c>
      <c r="Q1703" t="s">
        <v>60</v>
      </c>
      <c r="R1703" t="str">
        <f t="shared" si="27"/>
        <v>No</v>
      </c>
    </row>
    <row r="1704" spans="1:18" x14ac:dyDescent="0.35">
      <c r="A1704" s="1">
        <v>40401</v>
      </c>
      <c r="B1704">
        <v>0</v>
      </c>
      <c r="C1704" t="s">
        <v>16</v>
      </c>
      <c r="D1704" t="s">
        <v>63</v>
      </c>
      <c r="E1704" t="s">
        <v>18</v>
      </c>
      <c r="F1704">
        <v>113</v>
      </c>
      <c r="G1704" t="s">
        <v>19</v>
      </c>
      <c r="H1704" t="s">
        <v>18</v>
      </c>
      <c r="I1704">
        <v>113</v>
      </c>
      <c r="J1704">
        <v>6</v>
      </c>
      <c r="K1704">
        <v>2</v>
      </c>
      <c r="L1704">
        <v>54</v>
      </c>
      <c r="M1704" t="s">
        <v>20</v>
      </c>
      <c r="N1704" t="s">
        <v>21</v>
      </c>
      <c r="O1704">
        <v>30554</v>
      </c>
      <c r="P1704">
        <v>157</v>
      </c>
      <c r="Q1704" t="s">
        <v>63</v>
      </c>
      <c r="R1704" t="str">
        <f t="shared" si="27"/>
        <v>No</v>
      </c>
    </row>
    <row r="1705" spans="1:18" x14ac:dyDescent="0.35">
      <c r="A1705" s="1">
        <v>40401</v>
      </c>
      <c r="B1705">
        <v>0</v>
      </c>
      <c r="C1705" t="s">
        <v>16</v>
      </c>
      <c r="D1705" t="s">
        <v>22</v>
      </c>
      <c r="E1705" t="s">
        <v>18</v>
      </c>
      <c r="F1705">
        <v>114</v>
      </c>
      <c r="G1705" t="s">
        <v>25</v>
      </c>
      <c r="H1705" t="s">
        <v>18</v>
      </c>
      <c r="I1705">
        <v>113</v>
      </c>
      <c r="J1705">
        <v>0</v>
      </c>
      <c r="K1705">
        <v>2</v>
      </c>
      <c r="L1705">
        <v>51</v>
      </c>
      <c r="M1705" t="s">
        <v>20</v>
      </c>
      <c r="N1705" t="s">
        <v>80</v>
      </c>
      <c r="O1705">
        <v>45144</v>
      </c>
      <c r="P1705">
        <v>166</v>
      </c>
      <c r="Q1705" t="s">
        <v>25</v>
      </c>
      <c r="R1705" t="str">
        <f t="shared" si="27"/>
        <v>Yes</v>
      </c>
    </row>
    <row r="1706" spans="1:18" x14ac:dyDescent="0.35">
      <c r="A1706" s="1">
        <v>40401</v>
      </c>
      <c r="B1706">
        <v>0</v>
      </c>
      <c r="C1706" t="s">
        <v>16</v>
      </c>
      <c r="D1706" t="s">
        <v>23</v>
      </c>
      <c r="E1706" t="s">
        <v>18</v>
      </c>
      <c r="F1706">
        <v>113</v>
      </c>
      <c r="G1706" t="s">
        <v>62</v>
      </c>
      <c r="H1706" t="s">
        <v>18</v>
      </c>
      <c r="I1706">
        <v>112</v>
      </c>
      <c r="J1706">
        <v>5</v>
      </c>
      <c r="K1706">
        <v>8</v>
      </c>
      <c r="L1706">
        <v>51</v>
      </c>
      <c r="M1706" t="s">
        <v>20</v>
      </c>
      <c r="N1706" t="s">
        <v>81</v>
      </c>
      <c r="O1706">
        <v>28335</v>
      </c>
      <c r="P1706">
        <v>187</v>
      </c>
      <c r="Q1706" t="s">
        <v>62</v>
      </c>
      <c r="R1706" t="str">
        <f t="shared" si="27"/>
        <v>Yes</v>
      </c>
    </row>
    <row r="1707" spans="1:18" x14ac:dyDescent="0.35">
      <c r="A1707" s="1">
        <v>40401</v>
      </c>
      <c r="B1707">
        <v>0</v>
      </c>
      <c r="C1707" t="s">
        <v>16</v>
      </c>
      <c r="D1707" t="s">
        <v>49</v>
      </c>
      <c r="E1707" t="s">
        <v>18</v>
      </c>
      <c r="F1707">
        <v>114</v>
      </c>
      <c r="G1707" t="s">
        <v>70</v>
      </c>
      <c r="H1707" t="s">
        <v>18</v>
      </c>
      <c r="I1707">
        <v>115</v>
      </c>
      <c r="J1707">
        <v>4</v>
      </c>
      <c r="K1707">
        <v>5</v>
      </c>
      <c r="L1707">
        <v>51</v>
      </c>
      <c r="M1707" t="s">
        <v>20</v>
      </c>
      <c r="N1707" t="s">
        <v>71</v>
      </c>
      <c r="O1707">
        <v>36139</v>
      </c>
      <c r="P1707">
        <v>152</v>
      </c>
      <c r="Q1707" t="s">
        <v>70</v>
      </c>
      <c r="R1707" t="str">
        <f t="shared" si="27"/>
        <v>Yes</v>
      </c>
    </row>
    <row r="1708" spans="1:18" x14ac:dyDescent="0.35">
      <c r="A1708" s="1">
        <v>40401</v>
      </c>
      <c r="B1708">
        <v>0</v>
      </c>
      <c r="C1708" t="s">
        <v>16</v>
      </c>
      <c r="D1708" t="s">
        <v>17</v>
      </c>
      <c r="E1708" t="s">
        <v>18</v>
      </c>
      <c r="F1708">
        <v>112</v>
      </c>
      <c r="G1708" t="s">
        <v>26</v>
      </c>
      <c r="H1708" t="s">
        <v>18</v>
      </c>
      <c r="I1708">
        <v>114</v>
      </c>
      <c r="J1708">
        <v>9</v>
      </c>
      <c r="K1708">
        <v>5</v>
      </c>
      <c r="L1708">
        <v>54</v>
      </c>
      <c r="M1708" t="s">
        <v>20</v>
      </c>
      <c r="N1708" t="s">
        <v>27</v>
      </c>
      <c r="O1708">
        <v>15061</v>
      </c>
      <c r="P1708">
        <v>188</v>
      </c>
      <c r="Q1708" t="s">
        <v>17</v>
      </c>
      <c r="R1708" t="str">
        <f t="shared" si="27"/>
        <v>No</v>
      </c>
    </row>
    <row r="1709" spans="1:18" x14ac:dyDescent="0.35">
      <c r="A1709" s="1">
        <v>40402</v>
      </c>
      <c r="B1709">
        <v>0</v>
      </c>
      <c r="C1709" t="s">
        <v>28</v>
      </c>
      <c r="D1709" t="s">
        <v>29</v>
      </c>
      <c r="E1709" t="s">
        <v>30</v>
      </c>
      <c r="F1709">
        <v>115</v>
      </c>
      <c r="G1709" t="s">
        <v>34</v>
      </c>
      <c r="H1709" t="s">
        <v>30</v>
      </c>
      <c r="I1709">
        <v>115</v>
      </c>
      <c r="J1709">
        <v>6</v>
      </c>
      <c r="K1709">
        <v>1</v>
      </c>
      <c r="L1709">
        <v>54</v>
      </c>
      <c r="M1709" t="s">
        <v>20</v>
      </c>
      <c r="N1709" t="s">
        <v>35</v>
      </c>
      <c r="O1709">
        <v>33237</v>
      </c>
      <c r="P1709">
        <v>189</v>
      </c>
      <c r="Q1709" t="s">
        <v>29</v>
      </c>
      <c r="R1709" t="str">
        <f t="shared" si="27"/>
        <v>No</v>
      </c>
    </row>
    <row r="1710" spans="1:18" x14ac:dyDescent="0.35">
      <c r="A1710" s="1">
        <v>40402</v>
      </c>
      <c r="B1710">
        <v>0</v>
      </c>
      <c r="C1710" t="s">
        <v>28</v>
      </c>
      <c r="D1710" t="s">
        <v>43</v>
      </c>
      <c r="E1710" t="s">
        <v>30</v>
      </c>
      <c r="F1710">
        <v>115</v>
      </c>
      <c r="G1710" t="s">
        <v>33</v>
      </c>
      <c r="H1710" t="s">
        <v>30</v>
      </c>
      <c r="I1710">
        <v>115</v>
      </c>
      <c r="J1710">
        <v>1</v>
      </c>
      <c r="K1710">
        <v>4</v>
      </c>
      <c r="L1710">
        <v>51</v>
      </c>
      <c r="M1710" t="s">
        <v>20</v>
      </c>
      <c r="N1710" t="s">
        <v>75</v>
      </c>
      <c r="O1710">
        <v>14533</v>
      </c>
      <c r="P1710">
        <v>171</v>
      </c>
      <c r="Q1710" t="s">
        <v>33</v>
      </c>
      <c r="R1710" t="str">
        <f t="shared" si="27"/>
        <v>Yes</v>
      </c>
    </row>
    <row r="1711" spans="1:18" x14ac:dyDescent="0.35">
      <c r="A1711" s="1">
        <v>40402</v>
      </c>
      <c r="B1711">
        <v>0</v>
      </c>
      <c r="C1711" t="s">
        <v>28</v>
      </c>
      <c r="D1711" t="s">
        <v>59</v>
      </c>
      <c r="E1711" t="s">
        <v>30</v>
      </c>
      <c r="F1711">
        <v>114</v>
      </c>
      <c r="G1711" t="s">
        <v>37</v>
      </c>
      <c r="H1711" t="s">
        <v>30</v>
      </c>
      <c r="I1711">
        <v>115</v>
      </c>
      <c r="J1711">
        <v>4</v>
      </c>
      <c r="K1711">
        <v>3</v>
      </c>
      <c r="L1711">
        <v>54</v>
      </c>
      <c r="M1711" t="s">
        <v>20</v>
      </c>
      <c r="N1711" t="s">
        <v>39</v>
      </c>
      <c r="O1711">
        <v>23337</v>
      </c>
      <c r="P1711">
        <v>175</v>
      </c>
      <c r="Q1711" t="s">
        <v>59</v>
      </c>
      <c r="R1711" t="str">
        <f t="shared" si="27"/>
        <v>No</v>
      </c>
    </row>
    <row r="1712" spans="1:18" x14ac:dyDescent="0.35">
      <c r="A1712" s="1">
        <v>40402</v>
      </c>
      <c r="B1712">
        <v>0</v>
      </c>
      <c r="C1712" t="s">
        <v>28</v>
      </c>
      <c r="D1712" t="s">
        <v>58</v>
      </c>
      <c r="E1712" t="s">
        <v>30</v>
      </c>
      <c r="F1712">
        <v>116</v>
      </c>
      <c r="G1712" t="s">
        <v>46</v>
      </c>
      <c r="H1712" t="s">
        <v>30</v>
      </c>
      <c r="I1712">
        <v>114</v>
      </c>
      <c r="J1712">
        <v>5</v>
      </c>
      <c r="K1712">
        <v>6</v>
      </c>
      <c r="L1712">
        <v>53</v>
      </c>
      <c r="M1712" t="s">
        <v>38</v>
      </c>
      <c r="N1712" t="s">
        <v>78</v>
      </c>
      <c r="O1712">
        <v>36271</v>
      </c>
      <c r="P1712">
        <v>173</v>
      </c>
      <c r="Q1712" t="s">
        <v>46</v>
      </c>
      <c r="R1712" t="str">
        <f t="shared" si="27"/>
        <v>Yes</v>
      </c>
    </row>
    <row r="1713" spans="1:18" x14ac:dyDescent="0.35">
      <c r="A1713" s="1">
        <v>40402</v>
      </c>
      <c r="B1713">
        <v>0</v>
      </c>
      <c r="C1713" t="s">
        <v>28</v>
      </c>
      <c r="D1713" t="s">
        <v>60</v>
      </c>
      <c r="E1713" t="s">
        <v>18</v>
      </c>
      <c r="F1713">
        <v>116</v>
      </c>
      <c r="G1713" t="s">
        <v>68</v>
      </c>
      <c r="H1713" t="s">
        <v>18</v>
      </c>
      <c r="I1713">
        <v>116</v>
      </c>
      <c r="J1713">
        <v>4</v>
      </c>
      <c r="K1713">
        <v>8</v>
      </c>
      <c r="L1713">
        <v>51</v>
      </c>
      <c r="M1713" t="s">
        <v>38</v>
      </c>
      <c r="N1713" t="s">
        <v>69</v>
      </c>
      <c r="O1713">
        <v>34808</v>
      </c>
      <c r="P1713">
        <v>194</v>
      </c>
      <c r="Q1713" t="s">
        <v>68</v>
      </c>
      <c r="R1713" t="str">
        <f t="shared" si="27"/>
        <v>Yes</v>
      </c>
    </row>
    <row r="1714" spans="1:18" x14ac:dyDescent="0.35">
      <c r="A1714" s="1">
        <v>40402</v>
      </c>
      <c r="B1714">
        <v>0</v>
      </c>
      <c r="C1714" t="s">
        <v>28</v>
      </c>
      <c r="D1714" t="s">
        <v>63</v>
      </c>
      <c r="E1714" t="s">
        <v>18</v>
      </c>
      <c r="F1714">
        <v>114</v>
      </c>
      <c r="G1714" t="s">
        <v>19</v>
      </c>
      <c r="H1714" t="s">
        <v>18</v>
      </c>
      <c r="I1714">
        <v>114</v>
      </c>
      <c r="J1714">
        <v>0</v>
      </c>
      <c r="K1714">
        <v>4</v>
      </c>
      <c r="L1714">
        <v>51</v>
      </c>
      <c r="M1714" t="s">
        <v>38</v>
      </c>
      <c r="N1714" t="s">
        <v>21</v>
      </c>
      <c r="O1714">
        <v>32272</v>
      </c>
      <c r="P1714">
        <v>138</v>
      </c>
      <c r="Q1714" t="s">
        <v>19</v>
      </c>
      <c r="R1714" t="str">
        <f t="shared" si="27"/>
        <v>Yes</v>
      </c>
    </row>
    <row r="1715" spans="1:18" x14ac:dyDescent="0.35">
      <c r="A1715" s="1">
        <v>40402</v>
      </c>
      <c r="B1715">
        <v>0</v>
      </c>
      <c r="C1715" t="s">
        <v>28</v>
      </c>
      <c r="D1715" t="s">
        <v>22</v>
      </c>
      <c r="E1715" t="s">
        <v>18</v>
      </c>
      <c r="F1715">
        <v>115</v>
      </c>
      <c r="G1715" t="s">
        <v>25</v>
      </c>
      <c r="H1715" t="s">
        <v>18</v>
      </c>
      <c r="I1715">
        <v>114</v>
      </c>
      <c r="J1715">
        <v>9</v>
      </c>
      <c r="K1715">
        <v>10</v>
      </c>
      <c r="L1715">
        <v>51</v>
      </c>
      <c r="M1715" t="s">
        <v>20</v>
      </c>
      <c r="N1715" t="s">
        <v>80</v>
      </c>
      <c r="O1715">
        <v>44819</v>
      </c>
      <c r="P1715">
        <v>219</v>
      </c>
      <c r="Q1715" t="s">
        <v>25</v>
      </c>
      <c r="R1715" t="str">
        <f t="shared" si="27"/>
        <v>Yes</v>
      </c>
    </row>
    <row r="1716" spans="1:18" x14ac:dyDescent="0.35">
      <c r="A1716" s="1">
        <v>40402</v>
      </c>
      <c r="B1716">
        <v>0</v>
      </c>
      <c r="C1716" t="s">
        <v>28</v>
      </c>
      <c r="D1716" t="s">
        <v>23</v>
      </c>
      <c r="E1716" t="s">
        <v>18</v>
      </c>
      <c r="F1716">
        <v>114</v>
      </c>
      <c r="G1716" t="s">
        <v>62</v>
      </c>
      <c r="H1716" t="s">
        <v>18</v>
      </c>
      <c r="I1716">
        <v>113</v>
      </c>
      <c r="J1716">
        <v>0</v>
      </c>
      <c r="K1716">
        <v>3</v>
      </c>
      <c r="L1716">
        <v>51</v>
      </c>
      <c r="M1716" t="s">
        <v>38</v>
      </c>
      <c r="N1716" t="s">
        <v>81</v>
      </c>
      <c r="O1716">
        <v>25897</v>
      </c>
      <c r="P1716">
        <v>148</v>
      </c>
      <c r="Q1716" t="s">
        <v>62</v>
      </c>
      <c r="R1716" t="str">
        <f t="shared" si="27"/>
        <v>Yes</v>
      </c>
    </row>
    <row r="1717" spans="1:18" x14ac:dyDescent="0.35">
      <c r="A1717" s="1">
        <v>40402</v>
      </c>
      <c r="B1717">
        <v>0</v>
      </c>
      <c r="C1717" t="s">
        <v>28</v>
      </c>
      <c r="D1717" t="s">
        <v>49</v>
      </c>
      <c r="E1717" t="s">
        <v>18</v>
      </c>
      <c r="F1717">
        <v>115</v>
      </c>
      <c r="G1717" t="s">
        <v>70</v>
      </c>
      <c r="H1717" t="s">
        <v>18</v>
      </c>
      <c r="I1717">
        <v>116</v>
      </c>
      <c r="J1717">
        <v>7</v>
      </c>
      <c r="K1717">
        <v>8</v>
      </c>
      <c r="L1717">
        <v>52</v>
      </c>
      <c r="M1717" t="s">
        <v>38</v>
      </c>
      <c r="N1717" t="s">
        <v>71</v>
      </c>
      <c r="O1717">
        <v>40872</v>
      </c>
      <c r="P1717">
        <v>196</v>
      </c>
      <c r="Q1717" t="s">
        <v>70</v>
      </c>
      <c r="R1717" t="str">
        <f t="shared" si="27"/>
        <v>Yes</v>
      </c>
    </row>
    <row r="1718" spans="1:18" x14ac:dyDescent="0.35">
      <c r="A1718" s="1">
        <v>40402</v>
      </c>
      <c r="B1718">
        <v>0</v>
      </c>
      <c r="C1718" t="s">
        <v>28</v>
      </c>
      <c r="D1718" t="s">
        <v>17</v>
      </c>
      <c r="E1718" t="s">
        <v>18</v>
      </c>
      <c r="F1718">
        <v>113</v>
      </c>
      <c r="G1718" t="s">
        <v>26</v>
      </c>
      <c r="H1718" t="s">
        <v>18</v>
      </c>
      <c r="I1718">
        <v>115</v>
      </c>
      <c r="J1718">
        <v>5</v>
      </c>
      <c r="K1718">
        <v>0</v>
      </c>
      <c r="L1718">
        <v>54</v>
      </c>
      <c r="M1718" t="s">
        <v>20</v>
      </c>
      <c r="N1718" t="s">
        <v>27</v>
      </c>
      <c r="O1718">
        <v>16496</v>
      </c>
      <c r="P1718">
        <v>201</v>
      </c>
      <c r="Q1718" t="s">
        <v>17</v>
      </c>
      <c r="R1718" t="str">
        <f t="shared" si="27"/>
        <v>No</v>
      </c>
    </row>
    <row r="1719" spans="1:18" x14ac:dyDescent="0.35">
      <c r="A1719" s="1">
        <v>40403</v>
      </c>
      <c r="B1719">
        <v>0</v>
      </c>
      <c r="C1719" t="s">
        <v>55</v>
      </c>
      <c r="D1719" t="s">
        <v>46</v>
      </c>
      <c r="E1719" t="s">
        <v>30</v>
      </c>
      <c r="F1719">
        <v>115</v>
      </c>
      <c r="G1719" t="s">
        <v>31</v>
      </c>
      <c r="H1719" t="s">
        <v>30</v>
      </c>
      <c r="I1719">
        <v>117</v>
      </c>
      <c r="J1719">
        <v>3</v>
      </c>
      <c r="K1719">
        <v>0</v>
      </c>
      <c r="L1719">
        <v>54</v>
      </c>
      <c r="M1719" t="s">
        <v>20</v>
      </c>
      <c r="N1719" t="s">
        <v>32</v>
      </c>
      <c r="O1719">
        <v>40606</v>
      </c>
      <c r="P1719">
        <v>155</v>
      </c>
      <c r="Q1719" t="s">
        <v>46</v>
      </c>
      <c r="R1719" t="str">
        <f t="shared" si="27"/>
        <v>No</v>
      </c>
    </row>
    <row r="1720" spans="1:18" x14ac:dyDescent="0.35">
      <c r="A1720" s="1">
        <v>40403</v>
      </c>
      <c r="B1720">
        <v>0</v>
      </c>
      <c r="C1720" t="s">
        <v>55</v>
      </c>
      <c r="D1720" t="s">
        <v>36</v>
      </c>
      <c r="E1720" t="s">
        <v>30</v>
      </c>
      <c r="F1720">
        <v>115</v>
      </c>
      <c r="G1720" t="s">
        <v>34</v>
      </c>
      <c r="H1720" t="s">
        <v>30</v>
      </c>
      <c r="I1720">
        <v>116</v>
      </c>
      <c r="J1720">
        <v>4</v>
      </c>
      <c r="K1720">
        <v>8</v>
      </c>
      <c r="L1720">
        <v>51</v>
      </c>
      <c r="M1720" t="s">
        <v>20</v>
      </c>
      <c r="N1720" t="s">
        <v>35</v>
      </c>
      <c r="O1720">
        <v>34834</v>
      </c>
      <c r="P1720">
        <v>140</v>
      </c>
      <c r="Q1720" t="s">
        <v>34</v>
      </c>
      <c r="R1720" t="str">
        <f t="shared" si="27"/>
        <v>Yes</v>
      </c>
    </row>
    <row r="1721" spans="1:18" x14ac:dyDescent="0.35">
      <c r="A1721" s="1">
        <v>40403</v>
      </c>
      <c r="B1721">
        <v>0</v>
      </c>
      <c r="C1721" t="s">
        <v>55</v>
      </c>
      <c r="D1721" t="s">
        <v>40</v>
      </c>
      <c r="E1721" t="s">
        <v>30</v>
      </c>
      <c r="F1721">
        <v>116</v>
      </c>
      <c r="G1721" t="s">
        <v>33</v>
      </c>
      <c r="H1721" t="s">
        <v>30</v>
      </c>
      <c r="I1721">
        <v>116</v>
      </c>
      <c r="J1721">
        <v>3</v>
      </c>
      <c r="K1721">
        <v>2</v>
      </c>
      <c r="L1721">
        <v>54</v>
      </c>
      <c r="M1721" t="s">
        <v>20</v>
      </c>
      <c r="N1721" t="s">
        <v>75</v>
      </c>
      <c r="O1721">
        <v>26424</v>
      </c>
      <c r="P1721">
        <v>151</v>
      </c>
      <c r="Q1721" t="s">
        <v>40</v>
      </c>
      <c r="R1721" t="str">
        <f t="shared" si="27"/>
        <v>No</v>
      </c>
    </row>
    <row r="1722" spans="1:18" x14ac:dyDescent="0.35">
      <c r="A1722" s="1">
        <v>40403</v>
      </c>
      <c r="B1722">
        <v>0</v>
      </c>
      <c r="C1722" t="s">
        <v>55</v>
      </c>
      <c r="D1722" t="s">
        <v>59</v>
      </c>
      <c r="E1722" t="s">
        <v>30</v>
      </c>
      <c r="F1722">
        <v>115</v>
      </c>
      <c r="G1722" t="s">
        <v>37</v>
      </c>
      <c r="H1722" t="s">
        <v>30</v>
      </c>
      <c r="I1722">
        <v>116</v>
      </c>
      <c r="J1722">
        <v>3</v>
      </c>
      <c r="K1722">
        <v>4</v>
      </c>
      <c r="L1722">
        <v>51</v>
      </c>
      <c r="M1722" t="s">
        <v>20</v>
      </c>
      <c r="N1722" t="s">
        <v>39</v>
      </c>
      <c r="O1722">
        <v>30680</v>
      </c>
      <c r="P1722">
        <v>175</v>
      </c>
      <c r="Q1722" t="s">
        <v>37</v>
      </c>
      <c r="R1722" t="str">
        <f t="shared" si="27"/>
        <v>Yes</v>
      </c>
    </row>
    <row r="1723" spans="1:18" x14ac:dyDescent="0.35">
      <c r="A1723" s="1">
        <v>40403</v>
      </c>
      <c r="B1723">
        <v>0</v>
      </c>
      <c r="C1723" t="s">
        <v>55</v>
      </c>
      <c r="D1723" t="s">
        <v>41</v>
      </c>
      <c r="E1723" t="s">
        <v>30</v>
      </c>
      <c r="F1723">
        <v>114</v>
      </c>
      <c r="G1723" t="s">
        <v>29</v>
      </c>
      <c r="H1723" t="s">
        <v>30</v>
      </c>
      <c r="I1723">
        <v>116</v>
      </c>
      <c r="J1723">
        <v>3</v>
      </c>
      <c r="K1723">
        <v>4</v>
      </c>
      <c r="L1723">
        <v>51</v>
      </c>
      <c r="M1723" t="s">
        <v>20</v>
      </c>
      <c r="N1723" t="s">
        <v>76</v>
      </c>
      <c r="O1723">
        <v>40622</v>
      </c>
      <c r="P1723">
        <v>166</v>
      </c>
      <c r="Q1723" t="s">
        <v>29</v>
      </c>
      <c r="R1723" t="str">
        <f t="shared" si="27"/>
        <v>Yes</v>
      </c>
    </row>
    <row r="1724" spans="1:18" x14ac:dyDescent="0.35">
      <c r="A1724" s="1">
        <v>40403</v>
      </c>
      <c r="B1724">
        <v>0</v>
      </c>
      <c r="C1724" t="s">
        <v>55</v>
      </c>
      <c r="D1724" t="s">
        <v>43</v>
      </c>
      <c r="E1724" t="s">
        <v>30</v>
      </c>
      <c r="F1724">
        <v>116</v>
      </c>
      <c r="G1724" t="s">
        <v>44</v>
      </c>
      <c r="H1724" t="s">
        <v>30</v>
      </c>
      <c r="I1724">
        <v>115</v>
      </c>
      <c r="J1724">
        <v>5</v>
      </c>
      <c r="K1724">
        <v>0</v>
      </c>
      <c r="L1724">
        <v>54</v>
      </c>
      <c r="M1724" t="s">
        <v>20</v>
      </c>
      <c r="N1724" t="s">
        <v>45</v>
      </c>
      <c r="O1724">
        <v>24277</v>
      </c>
      <c r="P1724">
        <v>164</v>
      </c>
      <c r="Q1724" t="s">
        <v>43</v>
      </c>
      <c r="R1724" t="str">
        <f t="shared" si="27"/>
        <v>No</v>
      </c>
    </row>
    <row r="1725" spans="1:18" x14ac:dyDescent="0.35">
      <c r="A1725" s="1">
        <v>40403</v>
      </c>
      <c r="B1725">
        <v>0</v>
      </c>
      <c r="C1725" t="s">
        <v>55</v>
      </c>
      <c r="D1725" t="s">
        <v>58</v>
      </c>
      <c r="E1725" t="s">
        <v>30</v>
      </c>
      <c r="F1725">
        <v>117</v>
      </c>
      <c r="G1725" t="s">
        <v>47</v>
      </c>
      <c r="H1725" t="s">
        <v>30</v>
      </c>
      <c r="I1725">
        <v>114</v>
      </c>
      <c r="J1725">
        <v>9</v>
      </c>
      <c r="K1725">
        <v>10</v>
      </c>
      <c r="L1725">
        <v>63</v>
      </c>
      <c r="M1725" t="s">
        <v>20</v>
      </c>
      <c r="N1725" t="s">
        <v>48</v>
      </c>
      <c r="O1725">
        <v>47195</v>
      </c>
      <c r="P1725">
        <v>250</v>
      </c>
      <c r="Q1725" t="s">
        <v>47</v>
      </c>
      <c r="R1725" t="str">
        <f t="shared" si="27"/>
        <v>Yes</v>
      </c>
    </row>
    <row r="1726" spans="1:18" x14ac:dyDescent="0.35">
      <c r="A1726" s="1">
        <v>40403</v>
      </c>
      <c r="B1726">
        <v>0</v>
      </c>
      <c r="C1726" t="s">
        <v>55</v>
      </c>
      <c r="D1726" t="s">
        <v>22</v>
      </c>
      <c r="E1726" t="s">
        <v>18</v>
      </c>
      <c r="F1726">
        <v>116</v>
      </c>
      <c r="G1726" t="s">
        <v>50</v>
      </c>
      <c r="H1726" t="s">
        <v>18</v>
      </c>
      <c r="I1726">
        <v>115</v>
      </c>
      <c r="J1726">
        <v>0</v>
      </c>
      <c r="K1726">
        <v>1</v>
      </c>
      <c r="L1726">
        <v>51</v>
      </c>
      <c r="M1726" t="s">
        <v>20</v>
      </c>
      <c r="N1726" t="s">
        <v>51</v>
      </c>
      <c r="O1726">
        <v>38602</v>
      </c>
      <c r="P1726">
        <v>151</v>
      </c>
      <c r="Q1726" t="s">
        <v>50</v>
      </c>
      <c r="R1726" t="str">
        <f t="shared" si="27"/>
        <v>Yes</v>
      </c>
    </row>
    <row r="1727" spans="1:18" x14ac:dyDescent="0.35">
      <c r="A1727" s="1">
        <v>40403</v>
      </c>
      <c r="B1727">
        <v>0</v>
      </c>
      <c r="C1727" t="s">
        <v>55</v>
      </c>
      <c r="D1727" t="s">
        <v>17</v>
      </c>
      <c r="E1727" t="s">
        <v>18</v>
      </c>
      <c r="F1727">
        <v>114</v>
      </c>
      <c r="G1727" t="s">
        <v>53</v>
      </c>
      <c r="H1727" t="s">
        <v>18</v>
      </c>
      <c r="I1727">
        <v>116</v>
      </c>
      <c r="J1727">
        <v>2</v>
      </c>
      <c r="K1727">
        <v>7</v>
      </c>
      <c r="L1727">
        <v>51</v>
      </c>
      <c r="M1727" t="s">
        <v>20</v>
      </c>
      <c r="N1727" t="s">
        <v>54</v>
      </c>
      <c r="O1727">
        <v>29571</v>
      </c>
      <c r="P1727">
        <v>176</v>
      </c>
      <c r="Q1727" t="s">
        <v>53</v>
      </c>
      <c r="R1727" t="str">
        <f t="shared" si="27"/>
        <v>Yes</v>
      </c>
    </row>
    <row r="1728" spans="1:18" x14ac:dyDescent="0.35">
      <c r="A1728" s="1">
        <v>40403</v>
      </c>
      <c r="B1728">
        <v>0</v>
      </c>
      <c r="C1728" t="s">
        <v>55</v>
      </c>
      <c r="D1728" t="s">
        <v>68</v>
      </c>
      <c r="E1728" t="s">
        <v>18</v>
      </c>
      <c r="F1728">
        <v>117</v>
      </c>
      <c r="G1728" t="s">
        <v>63</v>
      </c>
      <c r="H1728" t="s">
        <v>18</v>
      </c>
      <c r="I1728">
        <v>115</v>
      </c>
      <c r="J1728">
        <v>4</v>
      </c>
      <c r="K1728">
        <v>5</v>
      </c>
      <c r="L1728">
        <v>51</v>
      </c>
      <c r="M1728" t="s">
        <v>20</v>
      </c>
      <c r="N1728" t="s">
        <v>64</v>
      </c>
      <c r="O1728">
        <v>39142</v>
      </c>
      <c r="P1728">
        <v>182</v>
      </c>
      <c r="Q1728" t="s">
        <v>63</v>
      </c>
      <c r="R1728" t="str">
        <f t="shared" si="27"/>
        <v>Yes</v>
      </c>
    </row>
    <row r="1729" spans="1:18" x14ac:dyDescent="0.35">
      <c r="A1729" s="1">
        <v>40403</v>
      </c>
      <c r="B1729">
        <v>0</v>
      </c>
      <c r="C1729" t="s">
        <v>55</v>
      </c>
      <c r="D1729" t="s">
        <v>23</v>
      </c>
      <c r="E1729" t="s">
        <v>18</v>
      </c>
      <c r="F1729">
        <v>115</v>
      </c>
      <c r="G1729" t="s">
        <v>66</v>
      </c>
      <c r="H1729" t="s">
        <v>18</v>
      </c>
      <c r="I1729">
        <v>114</v>
      </c>
      <c r="J1729">
        <v>1</v>
      </c>
      <c r="K1729">
        <v>4</v>
      </c>
      <c r="L1729">
        <v>51</v>
      </c>
      <c r="M1729" t="s">
        <v>20</v>
      </c>
      <c r="N1729" t="s">
        <v>67</v>
      </c>
      <c r="O1729">
        <v>36124</v>
      </c>
      <c r="P1729">
        <v>159</v>
      </c>
      <c r="Q1729" t="s">
        <v>66</v>
      </c>
      <c r="R1729" t="str">
        <f t="shared" si="27"/>
        <v>Yes</v>
      </c>
    </row>
    <row r="1730" spans="1:18" x14ac:dyDescent="0.35">
      <c r="A1730" s="1">
        <v>40403</v>
      </c>
      <c r="B1730">
        <v>0</v>
      </c>
      <c r="C1730" t="s">
        <v>55</v>
      </c>
      <c r="D1730" t="s">
        <v>25</v>
      </c>
      <c r="E1730" t="s">
        <v>18</v>
      </c>
      <c r="F1730">
        <v>115</v>
      </c>
      <c r="G1730" t="s">
        <v>19</v>
      </c>
      <c r="H1730" t="s">
        <v>18</v>
      </c>
      <c r="I1730">
        <v>115</v>
      </c>
      <c r="J1730">
        <v>0</v>
      </c>
      <c r="K1730">
        <v>1</v>
      </c>
      <c r="L1730">
        <v>51</v>
      </c>
      <c r="M1730" t="s">
        <v>20</v>
      </c>
      <c r="N1730" t="s">
        <v>21</v>
      </c>
      <c r="O1730">
        <v>35440</v>
      </c>
      <c r="P1730">
        <v>129</v>
      </c>
      <c r="Q1730" t="s">
        <v>19</v>
      </c>
      <c r="R1730" t="str">
        <f t="shared" si="27"/>
        <v>Yes</v>
      </c>
    </row>
    <row r="1731" spans="1:18" x14ac:dyDescent="0.35">
      <c r="A1731" s="1">
        <v>40403</v>
      </c>
      <c r="B1731">
        <v>0</v>
      </c>
      <c r="C1731" t="s">
        <v>55</v>
      </c>
      <c r="D1731" t="s">
        <v>62</v>
      </c>
      <c r="E1731" t="s">
        <v>18</v>
      </c>
      <c r="F1731">
        <v>114</v>
      </c>
      <c r="G1731" t="s">
        <v>70</v>
      </c>
      <c r="H1731" t="s">
        <v>18</v>
      </c>
      <c r="I1731">
        <v>117</v>
      </c>
      <c r="J1731">
        <v>3</v>
      </c>
      <c r="K1731">
        <v>2</v>
      </c>
      <c r="L1731">
        <v>54</v>
      </c>
      <c r="M1731" t="s">
        <v>20</v>
      </c>
      <c r="N1731" t="s">
        <v>71</v>
      </c>
      <c r="O1731">
        <v>42722</v>
      </c>
      <c r="P1731">
        <v>182</v>
      </c>
      <c r="Q1731" t="s">
        <v>62</v>
      </c>
      <c r="R1731" t="str">
        <f t="shared" ref="R1731:R1794" si="28">IF(K1731&gt;J1731,"Yes","No")</f>
        <v>No</v>
      </c>
    </row>
    <row r="1732" spans="1:18" x14ac:dyDescent="0.35">
      <c r="A1732" s="1">
        <v>40403</v>
      </c>
      <c r="B1732">
        <v>0</v>
      </c>
      <c r="C1732" t="s">
        <v>55</v>
      </c>
      <c r="D1732" t="s">
        <v>49</v>
      </c>
      <c r="E1732" t="s">
        <v>18</v>
      </c>
      <c r="F1732">
        <v>116</v>
      </c>
      <c r="G1732" t="s">
        <v>52</v>
      </c>
      <c r="H1732" t="s">
        <v>18</v>
      </c>
      <c r="I1732">
        <v>114</v>
      </c>
      <c r="J1732">
        <v>3</v>
      </c>
      <c r="K1732">
        <v>6</v>
      </c>
      <c r="L1732">
        <v>51</v>
      </c>
      <c r="M1732" t="s">
        <v>20</v>
      </c>
      <c r="N1732" t="s">
        <v>82</v>
      </c>
      <c r="O1732">
        <v>45546</v>
      </c>
      <c r="P1732">
        <v>165</v>
      </c>
      <c r="Q1732" t="s">
        <v>52</v>
      </c>
      <c r="R1732" t="str">
        <f t="shared" si="28"/>
        <v>Yes</v>
      </c>
    </row>
    <row r="1733" spans="1:18" x14ac:dyDescent="0.35">
      <c r="A1733" s="1">
        <v>40403</v>
      </c>
      <c r="B1733">
        <v>0</v>
      </c>
      <c r="C1733" t="s">
        <v>55</v>
      </c>
      <c r="D1733" t="s">
        <v>60</v>
      </c>
      <c r="E1733" t="s">
        <v>18</v>
      </c>
      <c r="F1733">
        <v>117</v>
      </c>
      <c r="G1733" t="s">
        <v>26</v>
      </c>
      <c r="H1733" t="s">
        <v>18</v>
      </c>
      <c r="I1733">
        <v>116</v>
      </c>
      <c r="J1733">
        <v>2</v>
      </c>
      <c r="K1733">
        <v>4</v>
      </c>
      <c r="L1733">
        <v>51</v>
      </c>
      <c r="M1733" t="s">
        <v>20</v>
      </c>
      <c r="N1733" t="s">
        <v>27</v>
      </c>
      <c r="O1733">
        <v>19549</v>
      </c>
      <c r="P1733">
        <v>145</v>
      </c>
      <c r="Q1733" t="s">
        <v>26</v>
      </c>
      <c r="R1733" t="str">
        <f t="shared" si="28"/>
        <v>Yes</v>
      </c>
    </row>
    <row r="1734" spans="1:18" x14ac:dyDescent="0.35">
      <c r="A1734" s="1">
        <v>40404</v>
      </c>
      <c r="B1734">
        <v>0</v>
      </c>
      <c r="C1734" t="s">
        <v>72</v>
      </c>
      <c r="D1734" t="s">
        <v>46</v>
      </c>
      <c r="E1734" t="s">
        <v>30</v>
      </c>
      <c r="F1734">
        <v>116</v>
      </c>
      <c r="G1734" t="s">
        <v>31</v>
      </c>
      <c r="H1734" t="s">
        <v>30</v>
      </c>
      <c r="I1734">
        <v>118</v>
      </c>
      <c r="J1734">
        <v>2</v>
      </c>
      <c r="K1734">
        <v>7</v>
      </c>
      <c r="L1734">
        <v>51</v>
      </c>
      <c r="M1734" t="s">
        <v>20</v>
      </c>
      <c r="N1734" t="s">
        <v>32</v>
      </c>
      <c r="O1734">
        <v>42059</v>
      </c>
      <c r="P1734">
        <v>140</v>
      </c>
      <c r="Q1734" t="s">
        <v>31</v>
      </c>
      <c r="R1734" t="str">
        <f t="shared" si="28"/>
        <v>Yes</v>
      </c>
    </row>
    <row r="1735" spans="1:18" x14ac:dyDescent="0.35">
      <c r="A1735" s="1">
        <v>40404</v>
      </c>
      <c r="B1735">
        <v>0</v>
      </c>
      <c r="C1735" t="s">
        <v>72</v>
      </c>
      <c r="D1735" t="s">
        <v>36</v>
      </c>
      <c r="E1735" t="s">
        <v>30</v>
      </c>
      <c r="F1735">
        <v>116</v>
      </c>
      <c r="G1735" t="s">
        <v>34</v>
      </c>
      <c r="H1735" t="s">
        <v>30</v>
      </c>
      <c r="I1735">
        <v>117</v>
      </c>
      <c r="J1735">
        <v>3</v>
      </c>
      <c r="K1735">
        <v>2</v>
      </c>
      <c r="L1735">
        <v>54</v>
      </c>
      <c r="M1735" t="s">
        <v>20</v>
      </c>
      <c r="N1735" t="s">
        <v>35</v>
      </c>
      <c r="O1735">
        <v>36548</v>
      </c>
      <c r="P1735">
        <v>173</v>
      </c>
      <c r="Q1735" t="s">
        <v>36</v>
      </c>
      <c r="R1735" t="str">
        <f t="shared" si="28"/>
        <v>No</v>
      </c>
    </row>
    <row r="1736" spans="1:18" x14ac:dyDescent="0.35">
      <c r="A1736" s="1">
        <v>40404</v>
      </c>
      <c r="B1736">
        <v>0</v>
      </c>
      <c r="C1736" t="s">
        <v>72</v>
      </c>
      <c r="D1736" t="s">
        <v>40</v>
      </c>
      <c r="E1736" t="s">
        <v>30</v>
      </c>
      <c r="F1736">
        <v>117</v>
      </c>
      <c r="G1736" t="s">
        <v>33</v>
      </c>
      <c r="H1736" t="s">
        <v>30</v>
      </c>
      <c r="I1736">
        <v>117</v>
      </c>
      <c r="J1736">
        <v>9</v>
      </c>
      <c r="K1736">
        <v>3</v>
      </c>
      <c r="L1736">
        <v>54</v>
      </c>
      <c r="M1736" t="s">
        <v>20</v>
      </c>
      <c r="N1736" t="s">
        <v>75</v>
      </c>
      <c r="O1736">
        <v>25980</v>
      </c>
      <c r="P1736">
        <v>168</v>
      </c>
      <c r="Q1736" t="s">
        <v>40</v>
      </c>
      <c r="R1736" t="str">
        <f t="shared" si="28"/>
        <v>No</v>
      </c>
    </row>
    <row r="1737" spans="1:18" x14ac:dyDescent="0.35">
      <c r="A1737" s="1">
        <v>40404</v>
      </c>
      <c r="B1737">
        <v>0</v>
      </c>
      <c r="C1737" t="s">
        <v>72</v>
      </c>
      <c r="D1737" t="s">
        <v>59</v>
      </c>
      <c r="E1737" t="s">
        <v>30</v>
      </c>
      <c r="F1737">
        <v>116</v>
      </c>
      <c r="G1737" t="s">
        <v>37</v>
      </c>
      <c r="H1737" t="s">
        <v>30</v>
      </c>
      <c r="I1737">
        <v>117</v>
      </c>
      <c r="J1737">
        <v>8</v>
      </c>
      <c r="K1737">
        <v>3</v>
      </c>
      <c r="L1737">
        <v>54</v>
      </c>
      <c r="M1737" t="s">
        <v>20</v>
      </c>
      <c r="N1737" t="s">
        <v>39</v>
      </c>
      <c r="O1737">
        <v>34206</v>
      </c>
      <c r="P1737">
        <v>200</v>
      </c>
      <c r="Q1737" t="s">
        <v>59</v>
      </c>
      <c r="R1737" t="str">
        <f t="shared" si="28"/>
        <v>No</v>
      </c>
    </row>
    <row r="1738" spans="1:18" x14ac:dyDescent="0.35">
      <c r="A1738" s="1">
        <v>40404</v>
      </c>
      <c r="B1738">
        <v>0</v>
      </c>
      <c r="C1738" t="s">
        <v>72</v>
      </c>
      <c r="D1738" t="s">
        <v>41</v>
      </c>
      <c r="E1738" t="s">
        <v>30</v>
      </c>
      <c r="F1738">
        <v>115</v>
      </c>
      <c r="G1738" t="s">
        <v>29</v>
      </c>
      <c r="H1738" t="s">
        <v>30</v>
      </c>
      <c r="I1738">
        <v>117</v>
      </c>
      <c r="J1738">
        <v>0</v>
      </c>
      <c r="K1738">
        <v>2</v>
      </c>
      <c r="L1738">
        <v>51</v>
      </c>
      <c r="M1738" t="s">
        <v>20</v>
      </c>
      <c r="N1738" t="s">
        <v>76</v>
      </c>
      <c r="O1738">
        <v>40830</v>
      </c>
      <c r="P1738">
        <v>135</v>
      </c>
      <c r="Q1738" t="s">
        <v>29</v>
      </c>
      <c r="R1738" t="str">
        <f t="shared" si="28"/>
        <v>Yes</v>
      </c>
    </row>
    <row r="1739" spans="1:18" x14ac:dyDescent="0.35">
      <c r="A1739" s="1">
        <v>40404</v>
      </c>
      <c r="B1739">
        <v>0</v>
      </c>
      <c r="C1739" t="s">
        <v>72</v>
      </c>
      <c r="D1739" t="s">
        <v>43</v>
      </c>
      <c r="E1739" t="s">
        <v>30</v>
      </c>
      <c r="F1739">
        <v>117</v>
      </c>
      <c r="G1739" t="s">
        <v>44</v>
      </c>
      <c r="H1739" t="s">
        <v>30</v>
      </c>
      <c r="I1739">
        <v>116</v>
      </c>
      <c r="J1739">
        <v>3</v>
      </c>
      <c r="K1739">
        <v>7</v>
      </c>
      <c r="L1739">
        <v>51</v>
      </c>
      <c r="M1739" t="s">
        <v>38</v>
      </c>
      <c r="N1739" t="s">
        <v>45</v>
      </c>
      <c r="O1739">
        <v>36189</v>
      </c>
      <c r="P1739">
        <v>182</v>
      </c>
      <c r="Q1739" t="s">
        <v>44</v>
      </c>
      <c r="R1739" t="str">
        <f t="shared" si="28"/>
        <v>Yes</v>
      </c>
    </row>
    <row r="1740" spans="1:18" x14ac:dyDescent="0.35">
      <c r="A1740" s="1">
        <v>40404</v>
      </c>
      <c r="B1740">
        <v>0</v>
      </c>
      <c r="C1740" t="s">
        <v>72</v>
      </c>
      <c r="D1740" t="s">
        <v>58</v>
      </c>
      <c r="E1740" t="s">
        <v>30</v>
      </c>
      <c r="F1740">
        <v>118</v>
      </c>
      <c r="G1740" t="s">
        <v>47</v>
      </c>
      <c r="H1740" t="s">
        <v>30</v>
      </c>
      <c r="I1740">
        <v>115</v>
      </c>
      <c r="J1740">
        <v>3</v>
      </c>
      <c r="K1740">
        <v>1</v>
      </c>
      <c r="L1740">
        <v>54</v>
      </c>
      <c r="M1740" t="s">
        <v>20</v>
      </c>
      <c r="N1740" t="s">
        <v>48</v>
      </c>
      <c r="O1740">
        <v>48030</v>
      </c>
      <c r="P1740">
        <v>176</v>
      </c>
      <c r="Q1740" t="s">
        <v>58</v>
      </c>
      <c r="R1740" t="str">
        <f t="shared" si="28"/>
        <v>No</v>
      </c>
    </row>
    <row r="1741" spans="1:18" x14ac:dyDescent="0.35">
      <c r="A1741" s="1">
        <v>40404</v>
      </c>
      <c r="B1741">
        <v>0</v>
      </c>
      <c r="C1741" t="s">
        <v>72</v>
      </c>
      <c r="D1741" t="s">
        <v>22</v>
      </c>
      <c r="E1741" t="s">
        <v>18</v>
      </c>
      <c r="F1741">
        <v>117</v>
      </c>
      <c r="G1741" t="s">
        <v>50</v>
      </c>
      <c r="H1741" t="s">
        <v>18</v>
      </c>
      <c r="I1741">
        <v>116</v>
      </c>
      <c r="J1741">
        <v>2</v>
      </c>
      <c r="K1741">
        <v>1</v>
      </c>
      <c r="L1741">
        <v>54</v>
      </c>
      <c r="M1741" t="s">
        <v>20</v>
      </c>
      <c r="N1741" t="s">
        <v>51</v>
      </c>
      <c r="O1741">
        <v>49267</v>
      </c>
      <c r="P1741">
        <v>187</v>
      </c>
      <c r="Q1741" t="s">
        <v>22</v>
      </c>
      <c r="R1741" t="str">
        <f t="shared" si="28"/>
        <v>No</v>
      </c>
    </row>
    <row r="1742" spans="1:18" x14ac:dyDescent="0.35">
      <c r="A1742" s="1">
        <v>40404</v>
      </c>
      <c r="B1742">
        <v>0</v>
      </c>
      <c r="C1742" t="s">
        <v>72</v>
      </c>
      <c r="D1742" t="s">
        <v>17</v>
      </c>
      <c r="E1742" t="s">
        <v>18</v>
      </c>
      <c r="F1742">
        <v>115</v>
      </c>
      <c r="G1742" t="s">
        <v>53</v>
      </c>
      <c r="H1742" t="s">
        <v>18</v>
      </c>
      <c r="I1742">
        <v>117</v>
      </c>
      <c r="J1742">
        <v>4</v>
      </c>
      <c r="K1742">
        <v>5</v>
      </c>
      <c r="L1742">
        <v>51</v>
      </c>
      <c r="M1742" t="s">
        <v>20</v>
      </c>
      <c r="N1742" t="s">
        <v>54</v>
      </c>
      <c r="O1742">
        <v>37445</v>
      </c>
      <c r="P1742">
        <v>166</v>
      </c>
      <c r="Q1742" t="s">
        <v>53</v>
      </c>
      <c r="R1742" t="str">
        <f t="shared" si="28"/>
        <v>Yes</v>
      </c>
    </row>
    <row r="1743" spans="1:18" x14ac:dyDescent="0.35">
      <c r="A1743" s="1">
        <v>40404</v>
      </c>
      <c r="B1743">
        <v>0</v>
      </c>
      <c r="C1743" t="s">
        <v>72</v>
      </c>
      <c r="D1743" t="s">
        <v>68</v>
      </c>
      <c r="E1743" t="s">
        <v>18</v>
      </c>
      <c r="F1743">
        <v>118</v>
      </c>
      <c r="G1743" t="s">
        <v>63</v>
      </c>
      <c r="H1743" t="s">
        <v>18</v>
      </c>
      <c r="I1743">
        <v>116</v>
      </c>
      <c r="J1743">
        <v>5</v>
      </c>
      <c r="K1743">
        <v>4</v>
      </c>
      <c r="L1743">
        <v>60</v>
      </c>
      <c r="M1743" t="s">
        <v>20</v>
      </c>
      <c r="N1743" t="s">
        <v>64</v>
      </c>
      <c r="O1743">
        <v>45264</v>
      </c>
      <c r="P1743">
        <v>197</v>
      </c>
      <c r="Q1743" t="s">
        <v>68</v>
      </c>
      <c r="R1743" t="str">
        <f t="shared" si="28"/>
        <v>No</v>
      </c>
    </row>
    <row r="1744" spans="1:18" x14ac:dyDescent="0.35">
      <c r="A1744" s="1">
        <v>40404</v>
      </c>
      <c r="B1744">
        <v>0</v>
      </c>
      <c r="C1744" t="s">
        <v>72</v>
      </c>
      <c r="D1744" t="s">
        <v>23</v>
      </c>
      <c r="E1744" t="s">
        <v>18</v>
      </c>
      <c r="F1744">
        <v>116</v>
      </c>
      <c r="G1744" t="s">
        <v>66</v>
      </c>
      <c r="H1744" t="s">
        <v>18</v>
      </c>
      <c r="I1744">
        <v>115</v>
      </c>
      <c r="J1744">
        <v>2</v>
      </c>
      <c r="K1744">
        <v>3</v>
      </c>
      <c r="L1744">
        <v>51</v>
      </c>
      <c r="M1744" t="s">
        <v>20</v>
      </c>
      <c r="N1744" t="s">
        <v>67</v>
      </c>
      <c r="O1744">
        <v>31608</v>
      </c>
      <c r="P1744">
        <v>153</v>
      </c>
      <c r="Q1744" t="s">
        <v>66</v>
      </c>
      <c r="R1744" t="str">
        <f t="shared" si="28"/>
        <v>Yes</v>
      </c>
    </row>
    <row r="1745" spans="1:18" x14ac:dyDescent="0.35">
      <c r="A1745" s="1">
        <v>40404</v>
      </c>
      <c r="B1745">
        <v>0</v>
      </c>
      <c r="C1745" t="s">
        <v>72</v>
      </c>
      <c r="D1745" t="s">
        <v>25</v>
      </c>
      <c r="E1745" t="s">
        <v>18</v>
      </c>
      <c r="F1745">
        <v>116</v>
      </c>
      <c r="G1745" t="s">
        <v>19</v>
      </c>
      <c r="H1745" t="s">
        <v>18</v>
      </c>
      <c r="I1745">
        <v>116</v>
      </c>
      <c r="J1745">
        <v>4</v>
      </c>
      <c r="K1745">
        <v>0</v>
      </c>
      <c r="L1745">
        <v>54</v>
      </c>
      <c r="M1745" t="s">
        <v>20</v>
      </c>
      <c r="N1745" t="s">
        <v>21</v>
      </c>
      <c r="O1745">
        <v>39151</v>
      </c>
      <c r="P1745">
        <v>152</v>
      </c>
      <c r="Q1745" t="s">
        <v>25</v>
      </c>
      <c r="R1745" t="str">
        <f t="shared" si="28"/>
        <v>No</v>
      </c>
    </row>
    <row r="1746" spans="1:18" x14ac:dyDescent="0.35">
      <c r="A1746" s="1">
        <v>40404</v>
      </c>
      <c r="B1746">
        <v>0</v>
      </c>
      <c r="C1746" t="s">
        <v>72</v>
      </c>
      <c r="D1746" t="s">
        <v>62</v>
      </c>
      <c r="E1746" t="s">
        <v>18</v>
      </c>
      <c r="F1746">
        <v>115</v>
      </c>
      <c r="G1746" t="s">
        <v>70</v>
      </c>
      <c r="H1746" t="s">
        <v>18</v>
      </c>
      <c r="I1746">
        <v>118</v>
      </c>
      <c r="J1746">
        <v>2</v>
      </c>
      <c r="K1746">
        <v>3</v>
      </c>
      <c r="L1746">
        <v>63</v>
      </c>
      <c r="M1746" t="s">
        <v>38</v>
      </c>
      <c r="N1746" t="s">
        <v>71</v>
      </c>
      <c r="O1746">
        <v>42293</v>
      </c>
      <c r="P1746">
        <v>214</v>
      </c>
      <c r="Q1746" t="s">
        <v>70</v>
      </c>
      <c r="R1746" t="str">
        <f t="shared" si="28"/>
        <v>Yes</v>
      </c>
    </row>
    <row r="1747" spans="1:18" x14ac:dyDescent="0.35">
      <c r="A1747" s="1">
        <v>40404</v>
      </c>
      <c r="B1747">
        <v>0</v>
      </c>
      <c r="C1747" t="s">
        <v>72</v>
      </c>
      <c r="D1747" t="s">
        <v>49</v>
      </c>
      <c r="E1747" t="s">
        <v>18</v>
      </c>
      <c r="F1747">
        <v>117</v>
      </c>
      <c r="G1747" t="s">
        <v>52</v>
      </c>
      <c r="H1747" t="s">
        <v>18</v>
      </c>
      <c r="I1747">
        <v>115</v>
      </c>
      <c r="J1747">
        <v>3</v>
      </c>
      <c r="K1747">
        <v>2</v>
      </c>
      <c r="L1747">
        <v>54</v>
      </c>
      <c r="M1747" t="s">
        <v>38</v>
      </c>
      <c r="N1747" t="s">
        <v>82</v>
      </c>
      <c r="O1747">
        <v>46313</v>
      </c>
      <c r="P1747">
        <v>161</v>
      </c>
      <c r="Q1747" t="s">
        <v>49</v>
      </c>
      <c r="R1747" t="str">
        <f t="shared" si="28"/>
        <v>No</v>
      </c>
    </row>
    <row r="1748" spans="1:18" x14ac:dyDescent="0.35">
      <c r="A1748" s="1">
        <v>40404</v>
      </c>
      <c r="B1748">
        <v>0</v>
      </c>
      <c r="C1748" t="s">
        <v>72</v>
      </c>
      <c r="D1748" t="s">
        <v>60</v>
      </c>
      <c r="E1748" t="s">
        <v>18</v>
      </c>
      <c r="F1748">
        <v>118</v>
      </c>
      <c r="G1748" t="s">
        <v>26</v>
      </c>
      <c r="H1748" t="s">
        <v>18</v>
      </c>
      <c r="I1748">
        <v>117</v>
      </c>
      <c r="J1748">
        <v>9</v>
      </c>
      <c r="K1748">
        <v>2</v>
      </c>
      <c r="L1748">
        <v>54</v>
      </c>
      <c r="M1748" t="s">
        <v>20</v>
      </c>
      <c r="N1748" t="s">
        <v>27</v>
      </c>
      <c r="O1748">
        <v>22400</v>
      </c>
      <c r="P1748">
        <v>163</v>
      </c>
      <c r="Q1748" t="s">
        <v>60</v>
      </c>
      <c r="R1748" t="str">
        <f t="shared" si="28"/>
        <v>No</v>
      </c>
    </row>
    <row r="1749" spans="1:18" x14ac:dyDescent="0.35">
      <c r="A1749" s="1">
        <v>40405</v>
      </c>
      <c r="B1749">
        <v>0</v>
      </c>
      <c r="C1749" t="s">
        <v>73</v>
      </c>
      <c r="D1749" t="s">
        <v>46</v>
      </c>
      <c r="E1749" t="s">
        <v>30</v>
      </c>
      <c r="F1749">
        <v>117</v>
      </c>
      <c r="G1749" t="s">
        <v>31</v>
      </c>
      <c r="H1749" t="s">
        <v>30</v>
      </c>
      <c r="I1749">
        <v>119</v>
      </c>
      <c r="J1749">
        <v>4</v>
      </c>
      <c r="K1749">
        <v>1</v>
      </c>
      <c r="L1749">
        <v>54</v>
      </c>
      <c r="M1749" t="s">
        <v>38</v>
      </c>
      <c r="N1749" t="s">
        <v>32</v>
      </c>
      <c r="O1749">
        <v>38138</v>
      </c>
      <c r="P1749">
        <v>155</v>
      </c>
      <c r="Q1749" t="s">
        <v>46</v>
      </c>
      <c r="R1749" t="str">
        <f t="shared" si="28"/>
        <v>No</v>
      </c>
    </row>
    <row r="1750" spans="1:18" x14ac:dyDescent="0.35">
      <c r="A1750" s="1">
        <v>40405</v>
      </c>
      <c r="B1750">
        <v>0</v>
      </c>
      <c r="C1750" t="s">
        <v>73</v>
      </c>
      <c r="D1750" t="s">
        <v>36</v>
      </c>
      <c r="E1750" t="s">
        <v>30</v>
      </c>
      <c r="F1750">
        <v>117</v>
      </c>
      <c r="G1750" t="s">
        <v>34</v>
      </c>
      <c r="H1750" t="s">
        <v>30</v>
      </c>
      <c r="I1750">
        <v>118</v>
      </c>
      <c r="J1750">
        <v>13</v>
      </c>
      <c r="K1750">
        <v>8</v>
      </c>
      <c r="L1750">
        <v>54</v>
      </c>
      <c r="M1750" t="s">
        <v>38</v>
      </c>
      <c r="N1750" t="s">
        <v>35</v>
      </c>
      <c r="O1750">
        <v>36287</v>
      </c>
      <c r="P1750">
        <v>211</v>
      </c>
      <c r="Q1750" t="s">
        <v>36</v>
      </c>
      <c r="R1750" t="str">
        <f t="shared" si="28"/>
        <v>No</v>
      </c>
    </row>
    <row r="1751" spans="1:18" x14ac:dyDescent="0.35">
      <c r="A1751" s="1">
        <v>40405</v>
      </c>
      <c r="B1751">
        <v>0</v>
      </c>
      <c r="C1751" t="s">
        <v>73</v>
      </c>
      <c r="D1751" t="s">
        <v>40</v>
      </c>
      <c r="E1751" t="s">
        <v>30</v>
      </c>
      <c r="F1751">
        <v>118</v>
      </c>
      <c r="G1751" t="s">
        <v>33</v>
      </c>
      <c r="H1751" t="s">
        <v>30</v>
      </c>
      <c r="I1751">
        <v>118</v>
      </c>
      <c r="J1751">
        <v>1</v>
      </c>
      <c r="K1751">
        <v>9</v>
      </c>
      <c r="L1751">
        <v>51</v>
      </c>
      <c r="M1751" t="s">
        <v>38</v>
      </c>
      <c r="N1751" t="s">
        <v>75</v>
      </c>
      <c r="O1751">
        <v>14888</v>
      </c>
      <c r="P1751">
        <v>168</v>
      </c>
      <c r="Q1751" t="s">
        <v>33</v>
      </c>
      <c r="R1751" t="str">
        <f t="shared" si="28"/>
        <v>Yes</v>
      </c>
    </row>
    <row r="1752" spans="1:18" x14ac:dyDescent="0.35">
      <c r="A1752" s="1">
        <v>40405</v>
      </c>
      <c r="B1752">
        <v>0</v>
      </c>
      <c r="C1752" t="s">
        <v>73</v>
      </c>
      <c r="D1752" t="s">
        <v>59</v>
      </c>
      <c r="E1752" t="s">
        <v>30</v>
      </c>
      <c r="F1752">
        <v>117</v>
      </c>
      <c r="G1752" t="s">
        <v>37</v>
      </c>
      <c r="H1752" t="s">
        <v>30</v>
      </c>
      <c r="I1752">
        <v>118</v>
      </c>
      <c r="J1752">
        <v>0</v>
      </c>
      <c r="K1752">
        <v>1</v>
      </c>
      <c r="L1752">
        <v>51</v>
      </c>
      <c r="M1752" t="s">
        <v>38</v>
      </c>
      <c r="N1752" t="s">
        <v>39</v>
      </c>
      <c r="O1752">
        <v>26012</v>
      </c>
      <c r="P1752">
        <v>127</v>
      </c>
      <c r="Q1752" t="s">
        <v>37</v>
      </c>
      <c r="R1752" t="str">
        <f t="shared" si="28"/>
        <v>Yes</v>
      </c>
    </row>
    <row r="1753" spans="1:18" x14ac:dyDescent="0.35">
      <c r="A1753" s="1">
        <v>40405</v>
      </c>
      <c r="B1753">
        <v>0</v>
      </c>
      <c r="C1753" t="s">
        <v>73</v>
      </c>
      <c r="D1753" t="s">
        <v>41</v>
      </c>
      <c r="E1753" t="s">
        <v>30</v>
      </c>
      <c r="F1753">
        <v>116</v>
      </c>
      <c r="G1753" t="s">
        <v>29</v>
      </c>
      <c r="H1753" t="s">
        <v>30</v>
      </c>
      <c r="I1753">
        <v>118</v>
      </c>
      <c r="J1753">
        <v>2</v>
      </c>
      <c r="K1753">
        <v>4</v>
      </c>
      <c r="L1753">
        <v>51</v>
      </c>
      <c r="M1753" t="s">
        <v>38</v>
      </c>
      <c r="N1753" t="s">
        <v>76</v>
      </c>
      <c r="O1753">
        <v>40602</v>
      </c>
      <c r="P1753">
        <v>165</v>
      </c>
      <c r="Q1753" t="s">
        <v>29</v>
      </c>
      <c r="R1753" t="str">
        <f t="shared" si="28"/>
        <v>Yes</v>
      </c>
    </row>
    <row r="1754" spans="1:18" x14ac:dyDescent="0.35">
      <c r="A1754" s="1">
        <v>40405</v>
      </c>
      <c r="B1754">
        <v>0</v>
      </c>
      <c r="C1754" t="s">
        <v>73</v>
      </c>
      <c r="D1754" t="s">
        <v>43</v>
      </c>
      <c r="E1754" t="s">
        <v>30</v>
      </c>
      <c r="F1754">
        <v>118</v>
      </c>
      <c r="G1754" t="s">
        <v>44</v>
      </c>
      <c r="H1754" t="s">
        <v>30</v>
      </c>
      <c r="I1754">
        <v>117</v>
      </c>
      <c r="J1754">
        <v>2</v>
      </c>
      <c r="K1754">
        <v>3</v>
      </c>
      <c r="L1754">
        <v>51</v>
      </c>
      <c r="M1754" t="s">
        <v>38</v>
      </c>
      <c r="N1754" t="s">
        <v>45</v>
      </c>
      <c r="O1754">
        <v>29654</v>
      </c>
      <c r="P1754">
        <v>180</v>
      </c>
      <c r="Q1754" t="s">
        <v>44</v>
      </c>
      <c r="R1754" t="str">
        <f t="shared" si="28"/>
        <v>Yes</v>
      </c>
    </row>
    <row r="1755" spans="1:18" x14ac:dyDescent="0.35">
      <c r="A1755" s="1">
        <v>40405</v>
      </c>
      <c r="B1755">
        <v>0</v>
      </c>
      <c r="C1755" t="s">
        <v>73</v>
      </c>
      <c r="D1755" t="s">
        <v>58</v>
      </c>
      <c r="E1755" t="s">
        <v>30</v>
      </c>
      <c r="F1755">
        <v>119</v>
      </c>
      <c r="G1755" t="s">
        <v>47</v>
      </c>
      <c r="H1755" t="s">
        <v>30</v>
      </c>
      <c r="I1755">
        <v>116</v>
      </c>
      <c r="J1755">
        <v>3</v>
      </c>
      <c r="K1755">
        <v>7</v>
      </c>
      <c r="L1755">
        <v>51</v>
      </c>
      <c r="M1755" t="s">
        <v>38</v>
      </c>
      <c r="N1755" t="s">
        <v>48</v>
      </c>
      <c r="O1755">
        <v>30252</v>
      </c>
      <c r="P1755">
        <v>178</v>
      </c>
      <c r="Q1755" t="s">
        <v>47</v>
      </c>
      <c r="R1755" t="str">
        <f t="shared" si="28"/>
        <v>Yes</v>
      </c>
    </row>
    <row r="1756" spans="1:18" x14ac:dyDescent="0.35">
      <c r="A1756" s="1">
        <v>40405</v>
      </c>
      <c r="B1756">
        <v>0</v>
      </c>
      <c r="C1756" t="s">
        <v>73</v>
      </c>
      <c r="D1756" t="s">
        <v>22</v>
      </c>
      <c r="E1756" t="s">
        <v>18</v>
      </c>
      <c r="F1756">
        <v>118</v>
      </c>
      <c r="G1756" t="s">
        <v>50</v>
      </c>
      <c r="H1756" t="s">
        <v>18</v>
      </c>
      <c r="I1756">
        <v>117</v>
      </c>
      <c r="J1756">
        <v>1</v>
      </c>
      <c r="K1756">
        <v>13</v>
      </c>
      <c r="L1756">
        <v>51</v>
      </c>
      <c r="M1756" t="s">
        <v>38</v>
      </c>
      <c r="N1756" t="s">
        <v>51</v>
      </c>
      <c r="O1756">
        <v>28105</v>
      </c>
      <c r="P1756">
        <v>179</v>
      </c>
      <c r="Q1756" t="s">
        <v>50</v>
      </c>
      <c r="R1756" t="str">
        <f t="shared" si="28"/>
        <v>Yes</v>
      </c>
    </row>
    <row r="1757" spans="1:18" x14ac:dyDescent="0.35">
      <c r="A1757" s="1">
        <v>40405</v>
      </c>
      <c r="B1757">
        <v>0</v>
      </c>
      <c r="C1757" t="s">
        <v>73</v>
      </c>
      <c r="D1757" t="s">
        <v>17</v>
      </c>
      <c r="E1757" t="s">
        <v>18</v>
      </c>
      <c r="F1757">
        <v>116</v>
      </c>
      <c r="G1757" t="s">
        <v>53</v>
      </c>
      <c r="H1757" t="s">
        <v>18</v>
      </c>
      <c r="I1757">
        <v>118</v>
      </c>
      <c r="J1757">
        <v>0</v>
      </c>
      <c r="K1757">
        <v>2</v>
      </c>
      <c r="L1757">
        <v>51</v>
      </c>
      <c r="M1757" t="s">
        <v>38</v>
      </c>
      <c r="N1757" t="s">
        <v>54</v>
      </c>
      <c r="O1757">
        <v>29849</v>
      </c>
      <c r="P1757">
        <v>174</v>
      </c>
      <c r="Q1757" t="s">
        <v>53</v>
      </c>
      <c r="R1757" t="str">
        <f t="shared" si="28"/>
        <v>Yes</v>
      </c>
    </row>
    <row r="1758" spans="1:18" x14ac:dyDescent="0.35">
      <c r="A1758" s="1">
        <v>40405</v>
      </c>
      <c r="B1758">
        <v>0</v>
      </c>
      <c r="C1758" t="s">
        <v>73</v>
      </c>
      <c r="D1758" t="s">
        <v>68</v>
      </c>
      <c r="E1758" t="s">
        <v>18</v>
      </c>
      <c r="F1758">
        <v>119</v>
      </c>
      <c r="G1758" t="s">
        <v>63</v>
      </c>
      <c r="H1758" t="s">
        <v>18</v>
      </c>
      <c r="I1758">
        <v>117</v>
      </c>
      <c r="J1758">
        <v>5</v>
      </c>
      <c r="K1758">
        <v>6</v>
      </c>
      <c r="L1758">
        <v>53</v>
      </c>
      <c r="M1758" t="s">
        <v>38</v>
      </c>
      <c r="N1758" t="s">
        <v>64</v>
      </c>
      <c r="O1758">
        <v>48133</v>
      </c>
      <c r="P1758">
        <v>188</v>
      </c>
      <c r="Q1758" t="s">
        <v>63</v>
      </c>
      <c r="R1758" t="str">
        <f t="shared" si="28"/>
        <v>Yes</v>
      </c>
    </row>
    <row r="1759" spans="1:18" x14ac:dyDescent="0.35">
      <c r="A1759" s="1">
        <v>40405</v>
      </c>
      <c r="B1759">
        <v>0</v>
      </c>
      <c r="C1759" t="s">
        <v>73</v>
      </c>
      <c r="D1759" t="s">
        <v>23</v>
      </c>
      <c r="E1759" t="s">
        <v>18</v>
      </c>
      <c r="F1759">
        <v>117</v>
      </c>
      <c r="G1759" t="s">
        <v>66</v>
      </c>
      <c r="H1759" t="s">
        <v>18</v>
      </c>
      <c r="I1759">
        <v>116</v>
      </c>
      <c r="J1759">
        <v>2</v>
      </c>
      <c r="K1759">
        <v>8</v>
      </c>
      <c r="L1759">
        <v>51</v>
      </c>
      <c r="M1759" t="s">
        <v>38</v>
      </c>
      <c r="N1759" t="s">
        <v>67</v>
      </c>
      <c r="O1759">
        <v>34372</v>
      </c>
      <c r="P1759">
        <v>167</v>
      </c>
      <c r="Q1759" t="s">
        <v>66</v>
      </c>
      <c r="R1759" t="str">
        <f t="shared" si="28"/>
        <v>Yes</v>
      </c>
    </row>
    <row r="1760" spans="1:18" x14ac:dyDescent="0.35">
      <c r="A1760" s="1">
        <v>40405</v>
      </c>
      <c r="B1760">
        <v>0</v>
      </c>
      <c r="C1760" t="s">
        <v>73</v>
      </c>
      <c r="D1760" t="s">
        <v>25</v>
      </c>
      <c r="E1760" t="s">
        <v>18</v>
      </c>
      <c r="F1760">
        <v>117</v>
      </c>
      <c r="G1760" t="s">
        <v>19</v>
      </c>
      <c r="H1760" t="s">
        <v>18</v>
      </c>
      <c r="I1760">
        <v>117</v>
      </c>
      <c r="J1760">
        <v>3</v>
      </c>
      <c r="K1760">
        <v>1</v>
      </c>
      <c r="L1760">
        <v>54</v>
      </c>
      <c r="M1760" t="s">
        <v>20</v>
      </c>
      <c r="N1760" t="s">
        <v>21</v>
      </c>
      <c r="O1760">
        <v>31345</v>
      </c>
      <c r="P1760">
        <v>184</v>
      </c>
      <c r="Q1760" t="s">
        <v>25</v>
      </c>
      <c r="R1760" t="str">
        <f t="shared" si="28"/>
        <v>No</v>
      </c>
    </row>
    <row r="1761" spans="1:18" x14ac:dyDescent="0.35">
      <c r="A1761" s="1">
        <v>40405</v>
      </c>
      <c r="B1761">
        <v>0</v>
      </c>
      <c r="C1761" t="s">
        <v>73</v>
      </c>
      <c r="D1761" t="s">
        <v>62</v>
      </c>
      <c r="E1761" t="s">
        <v>18</v>
      </c>
      <c r="F1761">
        <v>116</v>
      </c>
      <c r="G1761" t="s">
        <v>70</v>
      </c>
      <c r="H1761" t="s">
        <v>18</v>
      </c>
      <c r="I1761">
        <v>119</v>
      </c>
      <c r="J1761">
        <v>8</v>
      </c>
      <c r="K1761">
        <v>2</v>
      </c>
      <c r="L1761">
        <v>54</v>
      </c>
      <c r="M1761" t="s">
        <v>38</v>
      </c>
      <c r="N1761" t="s">
        <v>71</v>
      </c>
      <c r="O1761">
        <v>42834</v>
      </c>
      <c r="P1761">
        <v>163</v>
      </c>
      <c r="Q1761" t="s">
        <v>62</v>
      </c>
      <c r="R1761" t="str">
        <f t="shared" si="28"/>
        <v>No</v>
      </c>
    </row>
    <row r="1762" spans="1:18" x14ac:dyDescent="0.35">
      <c r="A1762" s="1">
        <v>40405</v>
      </c>
      <c r="B1762">
        <v>0</v>
      </c>
      <c r="C1762" t="s">
        <v>73</v>
      </c>
      <c r="D1762" t="s">
        <v>49</v>
      </c>
      <c r="E1762" t="s">
        <v>18</v>
      </c>
      <c r="F1762">
        <v>118</v>
      </c>
      <c r="G1762" t="s">
        <v>52</v>
      </c>
      <c r="H1762" t="s">
        <v>18</v>
      </c>
      <c r="I1762">
        <v>116</v>
      </c>
      <c r="J1762">
        <v>9</v>
      </c>
      <c r="K1762">
        <v>7</v>
      </c>
      <c r="L1762">
        <v>54</v>
      </c>
      <c r="M1762" t="s">
        <v>38</v>
      </c>
      <c r="N1762" t="s">
        <v>82</v>
      </c>
      <c r="O1762">
        <v>44074</v>
      </c>
      <c r="P1762">
        <v>207</v>
      </c>
      <c r="Q1762" t="s">
        <v>49</v>
      </c>
      <c r="R1762" t="str">
        <f t="shared" si="28"/>
        <v>No</v>
      </c>
    </row>
    <row r="1763" spans="1:18" x14ac:dyDescent="0.35">
      <c r="A1763" s="1">
        <v>40405</v>
      </c>
      <c r="B1763">
        <v>0</v>
      </c>
      <c r="C1763" t="s">
        <v>73</v>
      </c>
      <c r="D1763" t="s">
        <v>60</v>
      </c>
      <c r="E1763" t="s">
        <v>18</v>
      </c>
      <c r="F1763">
        <v>119</v>
      </c>
      <c r="G1763" t="s">
        <v>26</v>
      </c>
      <c r="H1763" t="s">
        <v>18</v>
      </c>
      <c r="I1763">
        <v>118</v>
      </c>
      <c r="J1763">
        <v>3</v>
      </c>
      <c r="K1763">
        <v>5</v>
      </c>
      <c r="L1763">
        <v>51</v>
      </c>
      <c r="M1763" t="s">
        <v>38</v>
      </c>
      <c r="N1763" t="s">
        <v>27</v>
      </c>
      <c r="O1763">
        <v>21695</v>
      </c>
      <c r="P1763">
        <v>153</v>
      </c>
      <c r="Q1763" t="s">
        <v>26</v>
      </c>
      <c r="R1763" t="str">
        <f t="shared" si="28"/>
        <v>Yes</v>
      </c>
    </row>
    <row r="1764" spans="1:18" x14ac:dyDescent="0.35">
      <c r="A1764" s="1">
        <v>40406</v>
      </c>
      <c r="B1764">
        <v>0</v>
      </c>
      <c r="C1764" t="s">
        <v>74</v>
      </c>
      <c r="D1764" t="s">
        <v>40</v>
      </c>
      <c r="E1764" t="s">
        <v>30</v>
      </c>
      <c r="F1764">
        <v>119</v>
      </c>
      <c r="G1764" t="s">
        <v>43</v>
      </c>
      <c r="H1764" t="s">
        <v>30</v>
      </c>
      <c r="I1764">
        <v>119</v>
      </c>
      <c r="J1764">
        <v>4</v>
      </c>
      <c r="K1764">
        <v>5</v>
      </c>
      <c r="L1764">
        <v>65</v>
      </c>
      <c r="M1764" t="s">
        <v>20</v>
      </c>
      <c r="N1764" t="s">
        <v>56</v>
      </c>
      <c r="O1764">
        <v>12375</v>
      </c>
      <c r="P1764">
        <v>227</v>
      </c>
      <c r="Q1764" t="s">
        <v>43</v>
      </c>
      <c r="R1764" t="str">
        <f t="shared" si="28"/>
        <v>Yes</v>
      </c>
    </row>
    <row r="1765" spans="1:18" x14ac:dyDescent="0.35">
      <c r="A1765" s="1">
        <v>40406</v>
      </c>
      <c r="B1765">
        <v>0</v>
      </c>
      <c r="C1765" t="s">
        <v>74</v>
      </c>
      <c r="D1765" t="s">
        <v>36</v>
      </c>
      <c r="E1765" t="s">
        <v>30</v>
      </c>
      <c r="F1765">
        <v>118</v>
      </c>
      <c r="G1765" t="s">
        <v>59</v>
      </c>
      <c r="H1765" t="s">
        <v>30</v>
      </c>
      <c r="I1765">
        <v>118</v>
      </c>
      <c r="J1765">
        <v>3</v>
      </c>
      <c r="K1765">
        <v>1</v>
      </c>
      <c r="L1765">
        <v>54</v>
      </c>
      <c r="M1765" t="s">
        <v>20</v>
      </c>
      <c r="N1765" t="s">
        <v>84</v>
      </c>
      <c r="O1765">
        <v>46098</v>
      </c>
      <c r="P1765">
        <v>228</v>
      </c>
      <c r="Q1765" t="s">
        <v>36</v>
      </c>
      <c r="R1765" t="str">
        <f t="shared" si="28"/>
        <v>No</v>
      </c>
    </row>
    <row r="1766" spans="1:18" x14ac:dyDescent="0.35">
      <c r="A1766" s="1">
        <v>40406</v>
      </c>
      <c r="B1766">
        <v>0</v>
      </c>
      <c r="C1766" t="s">
        <v>74</v>
      </c>
      <c r="D1766" t="s">
        <v>46</v>
      </c>
      <c r="E1766" t="s">
        <v>30</v>
      </c>
      <c r="F1766">
        <v>118</v>
      </c>
      <c r="G1766" t="s">
        <v>41</v>
      </c>
      <c r="H1766" t="s">
        <v>30</v>
      </c>
      <c r="I1766">
        <v>117</v>
      </c>
      <c r="J1766">
        <v>3</v>
      </c>
      <c r="K1766">
        <v>1</v>
      </c>
      <c r="L1766">
        <v>54</v>
      </c>
      <c r="M1766" t="s">
        <v>20</v>
      </c>
      <c r="N1766" t="s">
        <v>42</v>
      </c>
      <c r="O1766">
        <v>10136</v>
      </c>
      <c r="P1766">
        <v>136</v>
      </c>
      <c r="Q1766" t="s">
        <v>46</v>
      </c>
      <c r="R1766" t="str">
        <f t="shared" si="28"/>
        <v>No</v>
      </c>
    </row>
    <row r="1767" spans="1:18" x14ac:dyDescent="0.35">
      <c r="A1767" s="1">
        <v>40406</v>
      </c>
      <c r="B1767">
        <v>0</v>
      </c>
      <c r="C1767" t="s">
        <v>74</v>
      </c>
      <c r="D1767" t="s">
        <v>47</v>
      </c>
      <c r="E1767" t="s">
        <v>30</v>
      </c>
      <c r="F1767">
        <v>117</v>
      </c>
      <c r="G1767" t="s">
        <v>44</v>
      </c>
      <c r="H1767" t="s">
        <v>30</v>
      </c>
      <c r="I1767">
        <v>118</v>
      </c>
      <c r="J1767">
        <v>4</v>
      </c>
      <c r="K1767">
        <v>6</v>
      </c>
      <c r="L1767">
        <v>51</v>
      </c>
      <c r="M1767" t="s">
        <v>20</v>
      </c>
      <c r="N1767" t="s">
        <v>45</v>
      </c>
      <c r="O1767">
        <v>18319</v>
      </c>
      <c r="P1767">
        <v>182</v>
      </c>
      <c r="Q1767" t="s">
        <v>44</v>
      </c>
      <c r="R1767" t="str">
        <f t="shared" si="28"/>
        <v>Yes</v>
      </c>
    </row>
    <row r="1768" spans="1:18" x14ac:dyDescent="0.35">
      <c r="A1768" s="1">
        <v>40406</v>
      </c>
      <c r="B1768">
        <v>0</v>
      </c>
      <c r="C1768" t="s">
        <v>74</v>
      </c>
      <c r="D1768" t="s">
        <v>22</v>
      </c>
      <c r="E1768" t="s">
        <v>18</v>
      </c>
      <c r="F1768">
        <v>119</v>
      </c>
      <c r="G1768" t="s">
        <v>50</v>
      </c>
      <c r="H1768" t="s">
        <v>18</v>
      </c>
      <c r="I1768">
        <v>118</v>
      </c>
      <c r="J1768">
        <v>3</v>
      </c>
      <c r="K1768">
        <v>4</v>
      </c>
      <c r="L1768">
        <v>52</v>
      </c>
      <c r="M1768" t="s">
        <v>20</v>
      </c>
      <c r="N1768" t="s">
        <v>51</v>
      </c>
      <c r="O1768">
        <v>20414</v>
      </c>
      <c r="P1768">
        <v>193</v>
      </c>
      <c r="Q1768" t="s">
        <v>50</v>
      </c>
      <c r="R1768" t="str">
        <f t="shared" si="28"/>
        <v>Yes</v>
      </c>
    </row>
    <row r="1769" spans="1:18" x14ac:dyDescent="0.35">
      <c r="A1769" s="1">
        <v>40406</v>
      </c>
      <c r="B1769">
        <v>0</v>
      </c>
      <c r="C1769" t="s">
        <v>74</v>
      </c>
      <c r="D1769" t="s">
        <v>62</v>
      </c>
      <c r="E1769" t="s">
        <v>18</v>
      </c>
      <c r="F1769">
        <v>117</v>
      </c>
      <c r="G1769" t="s">
        <v>49</v>
      </c>
      <c r="H1769" t="s">
        <v>18</v>
      </c>
      <c r="I1769">
        <v>119</v>
      </c>
      <c r="J1769">
        <v>9</v>
      </c>
      <c r="K1769">
        <v>5</v>
      </c>
      <c r="L1769">
        <v>54</v>
      </c>
      <c r="M1769" t="s">
        <v>20</v>
      </c>
      <c r="N1769" t="s">
        <v>79</v>
      </c>
      <c r="O1769">
        <v>36814</v>
      </c>
      <c r="P1769">
        <v>206</v>
      </c>
      <c r="Q1769" t="s">
        <v>62</v>
      </c>
      <c r="R1769" t="str">
        <f t="shared" si="28"/>
        <v>No</v>
      </c>
    </row>
    <row r="1770" spans="1:18" x14ac:dyDescent="0.35">
      <c r="A1770" s="1">
        <v>40406</v>
      </c>
      <c r="B1770">
        <v>0</v>
      </c>
      <c r="C1770" t="s">
        <v>74</v>
      </c>
      <c r="D1770" t="s">
        <v>19</v>
      </c>
      <c r="E1770" t="s">
        <v>18</v>
      </c>
      <c r="F1770">
        <v>118</v>
      </c>
      <c r="G1770" t="s">
        <v>66</v>
      </c>
      <c r="H1770" t="s">
        <v>18</v>
      </c>
      <c r="I1770">
        <v>117</v>
      </c>
      <c r="J1770">
        <v>3</v>
      </c>
      <c r="K1770">
        <v>1</v>
      </c>
      <c r="L1770">
        <v>54</v>
      </c>
      <c r="M1770" t="s">
        <v>20</v>
      </c>
      <c r="N1770" t="s">
        <v>67</v>
      </c>
      <c r="O1770">
        <v>22688</v>
      </c>
      <c r="P1770">
        <v>161</v>
      </c>
      <c r="Q1770" t="s">
        <v>19</v>
      </c>
      <c r="R1770" t="str">
        <f t="shared" si="28"/>
        <v>No</v>
      </c>
    </row>
    <row r="1771" spans="1:18" x14ac:dyDescent="0.35">
      <c r="A1771" s="1">
        <v>40406</v>
      </c>
      <c r="B1771">
        <v>0</v>
      </c>
      <c r="C1771" t="s">
        <v>74</v>
      </c>
      <c r="D1771" t="s">
        <v>17</v>
      </c>
      <c r="E1771" t="s">
        <v>18</v>
      </c>
      <c r="F1771">
        <v>117</v>
      </c>
      <c r="G1771" t="s">
        <v>23</v>
      </c>
      <c r="H1771" t="s">
        <v>18</v>
      </c>
      <c r="I1771">
        <v>118</v>
      </c>
      <c r="J1771">
        <v>1</v>
      </c>
      <c r="K1771">
        <v>7</v>
      </c>
      <c r="L1771">
        <v>51</v>
      </c>
      <c r="M1771" t="s">
        <v>20</v>
      </c>
      <c r="N1771" t="s">
        <v>24</v>
      </c>
      <c r="O1771">
        <v>13396</v>
      </c>
      <c r="P1771">
        <v>157</v>
      </c>
      <c r="Q1771" t="s">
        <v>23</v>
      </c>
      <c r="R1771" t="str">
        <f t="shared" si="28"/>
        <v>Yes</v>
      </c>
    </row>
    <row r="1772" spans="1:18" x14ac:dyDescent="0.35">
      <c r="A1772" s="1">
        <v>40407</v>
      </c>
      <c r="B1772">
        <v>0</v>
      </c>
      <c r="C1772" t="s">
        <v>83</v>
      </c>
      <c r="D1772" t="s">
        <v>40</v>
      </c>
      <c r="E1772" t="s">
        <v>30</v>
      </c>
      <c r="F1772">
        <v>120</v>
      </c>
      <c r="G1772" t="s">
        <v>43</v>
      </c>
      <c r="H1772" t="s">
        <v>30</v>
      </c>
      <c r="I1772">
        <v>120</v>
      </c>
      <c r="J1772">
        <v>4</v>
      </c>
      <c r="K1772">
        <v>0</v>
      </c>
      <c r="L1772">
        <v>54</v>
      </c>
      <c r="M1772" t="s">
        <v>20</v>
      </c>
      <c r="N1772" t="s">
        <v>56</v>
      </c>
      <c r="O1772">
        <v>14739</v>
      </c>
      <c r="P1772">
        <v>161</v>
      </c>
      <c r="Q1772" t="s">
        <v>40</v>
      </c>
      <c r="R1772" t="str">
        <f t="shared" si="28"/>
        <v>No</v>
      </c>
    </row>
    <row r="1773" spans="1:18" x14ac:dyDescent="0.35">
      <c r="A1773" s="1">
        <v>40407</v>
      </c>
      <c r="B1773">
        <v>0</v>
      </c>
      <c r="C1773" t="s">
        <v>83</v>
      </c>
      <c r="D1773" t="s">
        <v>31</v>
      </c>
      <c r="E1773" t="s">
        <v>30</v>
      </c>
      <c r="F1773">
        <v>120</v>
      </c>
      <c r="G1773" t="s">
        <v>58</v>
      </c>
      <c r="H1773" t="s">
        <v>30</v>
      </c>
      <c r="I1773">
        <v>120</v>
      </c>
      <c r="J1773">
        <v>0</v>
      </c>
      <c r="K1773">
        <v>6</v>
      </c>
      <c r="L1773">
        <v>51</v>
      </c>
      <c r="M1773" t="s">
        <v>20</v>
      </c>
      <c r="N1773" t="s">
        <v>86</v>
      </c>
      <c r="O1773">
        <v>38304</v>
      </c>
      <c r="P1773">
        <v>163</v>
      </c>
      <c r="Q1773" t="s">
        <v>58</v>
      </c>
      <c r="R1773" t="str">
        <f t="shared" si="28"/>
        <v>Yes</v>
      </c>
    </row>
    <row r="1774" spans="1:18" x14ac:dyDescent="0.35">
      <c r="A1774" s="1">
        <v>40407</v>
      </c>
      <c r="B1774">
        <v>0</v>
      </c>
      <c r="C1774" t="s">
        <v>83</v>
      </c>
      <c r="D1774" t="s">
        <v>33</v>
      </c>
      <c r="E1774" t="s">
        <v>30</v>
      </c>
      <c r="F1774">
        <v>119</v>
      </c>
      <c r="G1774" t="s">
        <v>37</v>
      </c>
      <c r="H1774" t="s">
        <v>30</v>
      </c>
      <c r="I1774">
        <v>119</v>
      </c>
      <c r="J1774">
        <v>1</v>
      </c>
      <c r="K1774">
        <v>2</v>
      </c>
      <c r="L1774">
        <v>51</v>
      </c>
      <c r="M1774" t="s">
        <v>20</v>
      </c>
      <c r="N1774" t="s">
        <v>39</v>
      </c>
      <c r="O1774">
        <v>13258</v>
      </c>
      <c r="P1774">
        <v>177</v>
      </c>
      <c r="Q1774" t="s">
        <v>37</v>
      </c>
      <c r="R1774" t="str">
        <f t="shared" si="28"/>
        <v>Yes</v>
      </c>
    </row>
    <row r="1775" spans="1:18" x14ac:dyDescent="0.35">
      <c r="A1775" s="1">
        <v>40407</v>
      </c>
      <c r="B1775">
        <v>0</v>
      </c>
      <c r="C1775" t="s">
        <v>83</v>
      </c>
      <c r="D1775" t="s">
        <v>34</v>
      </c>
      <c r="E1775" t="s">
        <v>30</v>
      </c>
      <c r="F1775">
        <v>119</v>
      </c>
      <c r="G1775" t="s">
        <v>29</v>
      </c>
      <c r="H1775" t="s">
        <v>30</v>
      </c>
      <c r="I1775">
        <v>119</v>
      </c>
      <c r="J1775">
        <v>6</v>
      </c>
      <c r="K1775">
        <v>7</v>
      </c>
      <c r="L1775">
        <v>57</v>
      </c>
      <c r="M1775" t="s">
        <v>20</v>
      </c>
      <c r="N1775" t="s">
        <v>76</v>
      </c>
      <c r="O1775">
        <v>40714</v>
      </c>
      <c r="P1775">
        <v>191</v>
      </c>
      <c r="Q1775" t="s">
        <v>29</v>
      </c>
      <c r="R1775" t="str">
        <f t="shared" si="28"/>
        <v>Yes</v>
      </c>
    </row>
    <row r="1776" spans="1:18" x14ac:dyDescent="0.35">
      <c r="A1776" s="1">
        <v>40407</v>
      </c>
      <c r="B1776">
        <v>0</v>
      </c>
      <c r="C1776" t="s">
        <v>83</v>
      </c>
      <c r="D1776" t="s">
        <v>36</v>
      </c>
      <c r="E1776" t="s">
        <v>30</v>
      </c>
      <c r="F1776">
        <v>119</v>
      </c>
      <c r="G1776" t="s">
        <v>59</v>
      </c>
      <c r="H1776" t="s">
        <v>30</v>
      </c>
      <c r="I1776">
        <v>119</v>
      </c>
      <c r="J1776">
        <v>2</v>
      </c>
      <c r="K1776">
        <v>6</v>
      </c>
      <c r="L1776">
        <v>51</v>
      </c>
      <c r="M1776" t="s">
        <v>20</v>
      </c>
      <c r="N1776" t="s">
        <v>84</v>
      </c>
      <c r="O1776">
        <v>46906</v>
      </c>
      <c r="P1776">
        <v>190</v>
      </c>
      <c r="Q1776" t="s">
        <v>59</v>
      </c>
      <c r="R1776" t="str">
        <f t="shared" si="28"/>
        <v>Yes</v>
      </c>
    </row>
    <row r="1777" spans="1:18" x14ac:dyDescent="0.35">
      <c r="A1777" s="1">
        <v>40407</v>
      </c>
      <c r="B1777">
        <v>0</v>
      </c>
      <c r="C1777" t="s">
        <v>83</v>
      </c>
      <c r="D1777" t="s">
        <v>46</v>
      </c>
      <c r="E1777" t="s">
        <v>30</v>
      </c>
      <c r="F1777">
        <v>119</v>
      </c>
      <c r="G1777" t="s">
        <v>41</v>
      </c>
      <c r="H1777" t="s">
        <v>30</v>
      </c>
      <c r="I1777">
        <v>118</v>
      </c>
      <c r="J1777">
        <v>2</v>
      </c>
      <c r="K1777">
        <v>6</v>
      </c>
      <c r="L1777">
        <v>51</v>
      </c>
      <c r="M1777" t="s">
        <v>20</v>
      </c>
      <c r="N1777" t="s">
        <v>42</v>
      </c>
      <c r="O1777">
        <v>13237</v>
      </c>
      <c r="P1777">
        <v>166</v>
      </c>
      <c r="Q1777" t="s">
        <v>41</v>
      </c>
      <c r="R1777" t="str">
        <f t="shared" si="28"/>
        <v>Yes</v>
      </c>
    </row>
    <row r="1778" spans="1:18" x14ac:dyDescent="0.35">
      <c r="A1778" s="1">
        <v>40407</v>
      </c>
      <c r="B1778">
        <v>0</v>
      </c>
      <c r="C1778" t="s">
        <v>83</v>
      </c>
      <c r="D1778" t="s">
        <v>47</v>
      </c>
      <c r="E1778" t="s">
        <v>30</v>
      </c>
      <c r="F1778">
        <v>118</v>
      </c>
      <c r="G1778" t="s">
        <v>44</v>
      </c>
      <c r="H1778" t="s">
        <v>30</v>
      </c>
      <c r="I1778">
        <v>119</v>
      </c>
      <c r="J1778">
        <v>1</v>
      </c>
      <c r="K1778">
        <v>10</v>
      </c>
      <c r="L1778">
        <v>51</v>
      </c>
      <c r="M1778" t="s">
        <v>20</v>
      </c>
      <c r="N1778" t="s">
        <v>45</v>
      </c>
      <c r="O1778">
        <v>18156</v>
      </c>
      <c r="P1778">
        <v>211</v>
      </c>
      <c r="Q1778" t="s">
        <v>44</v>
      </c>
      <c r="R1778" t="str">
        <f t="shared" si="28"/>
        <v>Yes</v>
      </c>
    </row>
    <row r="1779" spans="1:18" x14ac:dyDescent="0.35">
      <c r="A1779" s="1">
        <v>40407</v>
      </c>
      <c r="B1779">
        <v>0</v>
      </c>
      <c r="C1779" t="s">
        <v>83</v>
      </c>
      <c r="D1779" t="s">
        <v>53</v>
      </c>
      <c r="E1779" t="s">
        <v>18</v>
      </c>
      <c r="F1779">
        <v>119</v>
      </c>
      <c r="G1779" t="s">
        <v>60</v>
      </c>
      <c r="H1779" t="s">
        <v>18</v>
      </c>
      <c r="I1779">
        <v>120</v>
      </c>
      <c r="J1779">
        <v>6</v>
      </c>
      <c r="K1779">
        <v>2</v>
      </c>
      <c r="L1779">
        <v>54</v>
      </c>
      <c r="M1779" t="s">
        <v>20</v>
      </c>
      <c r="N1779" t="s">
        <v>61</v>
      </c>
      <c r="O1779">
        <v>21502</v>
      </c>
      <c r="P1779">
        <v>165</v>
      </c>
      <c r="Q1779" t="s">
        <v>53</v>
      </c>
      <c r="R1779" t="str">
        <f t="shared" si="28"/>
        <v>No</v>
      </c>
    </row>
    <row r="1780" spans="1:18" x14ac:dyDescent="0.35">
      <c r="A1780" s="1">
        <v>40407</v>
      </c>
      <c r="B1780">
        <v>0</v>
      </c>
      <c r="C1780" t="s">
        <v>83</v>
      </c>
      <c r="D1780" t="s">
        <v>26</v>
      </c>
      <c r="E1780" t="s">
        <v>18</v>
      </c>
      <c r="F1780">
        <v>119</v>
      </c>
      <c r="G1780" t="s">
        <v>50</v>
      </c>
      <c r="H1780" t="s">
        <v>18</v>
      </c>
      <c r="I1780">
        <v>119</v>
      </c>
      <c r="J1780">
        <v>2</v>
      </c>
      <c r="K1780">
        <v>10</v>
      </c>
      <c r="L1780">
        <v>51</v>
      </c>
      <c r="M1780" t="s">
        <v>20</v>
      </c>
      <c r="N1780" t="s">
        <v>51</v>
      </c>
      <c r="O1780">
        <v>16911</v>
      </c>
      <c r="P1780">
        <v>184</v>
      </c>
      <c r="Q1780" t="s">
        <v>50</v>
      </c>
      <c r="R1780" t="str">
        <f t="shared" si="28"/>
        <v>Yes</v>
      </c>
    </row>
    <row r="1781" spans="1:18" x14ac:dyDescent="0.35">
      <c r="A1781" s="1">
        <v>40407</v>
      </c>
      <c r="B1781">
        <v>0</v>
      </c>
      <c r="C1781" t="s">
        <v>83</v>
      </c>
      <c r="D1781" t="s">
        <v>62</v>
      </c>
      <c r="E1781" t="s">
        <v>18</v>
      </c>
      <c r="F1781">
        <v>118</v>
      </c>
      <c r="G1781" t="s">
        <v>49</v>
      </c>
      <c r="H1781" t="s">
        <v>18</v>
      </c>
      <c r="I1781">
        <v>120</v>
      </c>
      <c r="J1781">
        <v>1</v>
      </c>
      <c r="K1781">
        <v>0</v>
      </c>
      <c r="L1781">
        <v>54</v>
      </c>
      <c r="M1781" t="s">
        <v>20</v>
      </c>
      <c r="N1781" t="s">
        <v>79</v>
      </c>
      <c r="O1781">
        <v>33664</v>
      </c>
      <c r="P1781">
        <v>161</v>
      </c>
      <c r="Q1781" t="s">
        <v>62</v>
      </c>
      <c r="R1781" t="str">
        <f t="shared" si="28"/>
        <v>No</v>
      </c>
    </row>
    <row r="1782" spans="1:18" x14ac:dyDescent="0.35">
      <c r="A1782" s="1">
        <v>40407</v>
      </c>
      <c r="B1782">
        <v>0</v>
      </c>
      <c r="C1782" t="s">
        <v>83</v>
      </c>
      <c r="D1782" t="s">
        <v>19</v>
      </c>
      <c r="E1782" t="s">
        <v>18</v>
      </c>
      <c r="F1782">
        <v>119</v>
      </c>
      <c r="G1782" t="s">
        <v>66</v>
      </c>
      <c r="H1782" t="s">
        <v>18</v>
      </c>
      <c r="I1782">
        <v>118</v>
      </c>
      <c r="J1782">
        <v>3</v>
      </c>
      <c r="K1782">
        <v>4</v>
      </c>
      <c r="L1782">
        <v>51</v>
      </c>
      <c r="M1782" t="s">
        <v>20</v>
      </c>
      <c r="N1782" t="s">
        <v>67</v>
      </c>
      <c r="O1782">
        <v>26279</v>
      </c>
      <c r="P1782">
        <v>141</v>
      </c>
      <c r="Q1782" t="s">
        <v>66</v>
      </c>
      <c r="R1782" t="str">
        <f t="shared" si="28"/>
        <v>Yes</v>
      </c>
    </row>
    <row r="1783" spans="1:18" x14ac:dyDescent="0.35">
      <c r="A1783" s="1">
        <v>40407</v>
      </c>
      <c r="B1783">
        <v>0</v>
      </c>
      <c r="C1783" t="s">
        <v>83</v>
      </c>
      <c r="D1783" t="s">
        <v>63</v>
      </c>
      <c r="E1783" t="s">
        <v>18</v>
      </c>
      <c r="F1783">
        <v>118</v>
      </c>
      <c r="G1783" t="s">
        <v>22</v>
      </c>
      <c r="H1783" t="s">
        <v>18</v>
      </c>
      <c r="I1783">
        <v>120</v>
      </c>
      <c r="J1783">
        <v>0</v>
      </c>
      <c r="K1783">
        <v>6</v>
      </c>
      <c r="L1783">
        <v>51</v>
      </c>
      <c r="M1783" t="s">
        <v>20</v>
      </c>
      <c r="N1783" t="s">
        <v>85</v>
      </c>
      <c r="O1783">
        <v>49540</v>
      </c>
      <c r="P1783">
        <v>171</v>
      </c>
      <c r="Q1783" t="s">
        <v>22</v>
      </c>
      <c r="R1783" t="str">
        <f t="shared" si="28"/>
        <v>Yes</v>
      </c>
    </row>
    <row r="1784" spans="1:18" x14ac:dyDescent="0.35">
      <c r="A1784" s="1">
        <v>40407</v>
      </c>
      <c r="B1784">
        <v>0</v>
      </c>
      <c r="C1784" t="s">
        <v>83</v>
      </c>
      <c r="D1784" t="s">
        <v>70</v>
      </c>
      <c r="E1784" t="s">
        <v>18</v>
      </c>
      <c r="F1784">
        <v>120</v>
      </c>
      <c r="G1784" t="s">
        <v>25</v>
      </c>
      <c r="H1784" t="s">
        <v>18</v>
      </c>
      <c r="I1784">
        <v>118</v>
      </c>
      <c r="J1784">
        <v>3</v>
      </c>
      <c r="K1784">
        <v>9</v>
      </c>
      <c r="L1784">
        <v>51</v>
      </c>
      <c r="M1784" t="s">
        <v>20</v>
      </c>
      <c r="N1784" t="s">
        <v>80</v>
      </c>
      <c r="O1784">
        <v>45401</v>
      </c>
      <c r="P1784">
        <v>173</v>
      </c>
      <c r="Q1784" t="s">
        <v>25</v>
      </c>
      <c r="R1784" t="str">
        <f t="shared" si="28"/>
        <v>Yes</v>
      </c>
    </row>
    <row r="1785" spans="1:18" x14ac:dyDescent="0.35">
      <c r="A1785" s="1">
        <v>40407</v>
      </c>
      <c r="B1785">
        <v>0</v>
      </c>
      <c r="C1785" t="s">
        <v>83</v>
      </c>
      <c r="D1785" t="s">
        <v>17</v>
      </c>
      <c r="E1785" t="s">
        <v>18</v>
      </c>
      <c r="F1785">
        <v>118</v>
      </c>
      <c r="G1785" t="s">
        <v>23</v>
      </c>
      <c r="H1785" t="s">
        <v>18</v>
      </c>
      <c r="I1785">
        <v>119</v>
      </c>
      <c r="J1785">
        <v>6</v>
      </c>
      <c r="K1785">
        <v>0</v>
      </c>
      <c r="L1785">
        <v>54</v>
      </c>
      <c r="M1785" t="s">
        <v>20</v>
      </c>
      <c r="N1785" t="s">
        <v>24</v>
      </c>
      <c r="O1785">
        <v>14156</v>
      </c>
      <c r="P1785">
        <v>169</v>
      </c>
      <c r="Q1785" t="s">
        <v>17</v>
      </c>
      <c r="R1785" t="str">
        <f t="shared" si="28"/>
        <v>No</v>
      </c>
    </row>
    <row r="1786" spans="1:18" x14ac:dyDescent="0.35">
      <c r="A1786" s="1">
        <v>40407</v>
      </c>
      <c r="B1786">
        <v>0</v>
      </c>
      <c r="C1786" t="s">
        <v>83</v>
      </c>
      <c r="D1786" t="s">
        <v>68</v>
      </c>
      <c r="E1786" t="s">
        <v>18</v>
      </c>
      <c r="F1786">
        <v>120</v>
      </c>
      <c r="G1786" t="s">
        <v>52</v>
      </c>
      <c r="H1786" t="s">
        <v>18</v>
      </c>
      <c r="I1786">
        <v>117</v>
      </c>
      <c r="J1786">
        <v>3</v>
      </c>
      <c r="K1786">
        <v>2</v>
      </c>
      <c r="L1786">
        <v>54</v>
      </c>
      <c r="M1786" t="s">
        <v>20</v>
      </c>
      <c r="N1786" t="s">
        <v>82</v>
      </c>
      <c r="O1786">
        <v>45380</v>
      </c>
      <c r="P1786">
        <v>164</v>
      </c>
      <c r="Q1786" t="s">
        <v>68</v>
      </c>
      <c r="R1786" t="str">
        <f t="shared" si="28"/>
        <v>No</v>
      </c>
    </row>
    <row r="1787" spans="1:18" x14ac:dyDescent="0.35">
      <c r="A1787" s="1">
        <v>40408</v>
      </c>
      <c r="B1787">
        <v>0</v>
      </c>
      <c r="C1787" t="s">
        <v>16</v>
      </c>
      <c r="D1787" t="s">
        <v>40</v>
      </c>
      <c r="E1787" t="s">
        <v>30</v>
      </c>
      <c r="F1787">
        <v>121</v>
      </c>
      <c r="G1787" t="s">
        <v>43</v>
      </c>
      <c r="H1787" t="s">
        <v>30</v>
      </c>
      <c r="I1787">
        <v>121</v>
      </c>
      <c r="J1787">
        <v>6</v>
      </c>
      <c r="K1787">
        <v>5</v>
      </c>
      <c r="L1787">
        <v>54</v>
      </c>
      <c r="M1787" t="s">
        <v>20</v>
      </c>
      <c r="N1787" t="s">
        <v>56</v>
      </c>
      <c r="O1787">
        <v>11213</v>
      </c>
      <c r="P1787">
        <v>161</v>
      </c>
      <c r="Q1787" t="s">
        <v>40</v>
      </c>
      <c r="R1787" t="str">
        <f t="shared" si="28"/>
        <v>No</v>
      </c>
    </row>
    <row r="1788" spans="1:18" x14ac:dyDescent="0.35">
      <c r="A1788" s="1">
        <v>40408</v>
      </c>
      <c r="B1788">
        <v>0</v>
      </c>
      <c r="C1788" t="s">
        <v>16</v>
      </c>
      <c r="D1788" t="s">
        <v>31</v>
      </c>
      <c r="E1788" t="s">
        <v>30</v>
      </c>
      <c r="F1788">
        <v>121</v>
      </c>
      <c r="G1788" t="s">
        <v>58</v>
      </c>
      <c r="H1788" t="s">
        <v>30</v>
      </c>
      <c r="I1788">
        <v>121</v>
      </c>
      <c r="J1788">
        <v>5</v>
      </c>
      <c r="K1788">
        <v>7</v>
      </c>
      <c r="L1788">
        <v>51</v>
      </c>
      <c r="M1788" t="s">
        <v>20</v>
      </c>
      <c r="N1788" t="s">
        <v>86</v>
      </c>
      <c r="O1788">
        <v>37779</v>
      </c>
      <c r="P1788">
        <v>191</v>
      </c>
      <c r="Q1788" t="s">
        <v>58</v>
      </c>
      <c r="R1788" t="str">
        <f t="shared" si="28"/>
        <v>Yes</v>
      </c>
    </row>
    <row r="1789" spans="1:18" x14ac:dyDescent="0.35">
      <c r="A1789" s="1">
        <v>40408</v>
      </c>
      <c r="B1789">
        <v>0</v>
      </c>
      <c r="C1789" t="s">
        <v>16</v>
      </c>
      <c r="D1789" t="s">
        <v>33</v>
      </c>
      <c r="E1789" t="s">
        <v>30</v>
      </c>
      <c r="F1789">
        <v>120</v>
      </c>
      <c r="G1789" t="s">
        <v>37</v>
      </c>
      <c r="H1789" t="s">
        <v>30</v>
      </c>
      <c r="I1789">
        <v>120</v>
      </c>
      <c r="J1789">
        <v>7</v>
      </c>
      <c r="K1789">
        <v>9</v>
      </c>
      <c r="L1789">
        <v>51</v>
      </c>
      <c r="M1789" t="s">
        <v>20</v>
      </c>
      <c r="N1789" t="s">
        <v>39</v>
      </c>
      <c r="O1789">
        <v>12864</v>
      </c>
      <c r="P1789">
        <v>180</v>
      </c>
      <c r="Q1789" t="s">
        <v>37</v>
      </c>
      <c r="R1789" t="str">
        <f t="shared" si="28"/>
        <v>Yes</v>
      </c>
    </row>
    <row r="1790" spans="1:18" x14ac:dyDescent="0.35">
      <c r="A1790" s="1">
        <v>40408</v>
      </c>
      <c r="B1790">
        <v>0</v>
      </c>
      <c r="C1790" t="s">
        <v>16</v>
      </c>
      <c r="D1790" t="s">
        <v>34</v>
      </c>
      <c r="E1790" t="s">
        <v>30</v>
      </c>
      <c r="F1790">
        <v>120</v>
      </c>
      <c r="G1790" t="s">
        <v>29</v>
      </c>
      <c r="H1790" t="s">
        <v>30</v>
      </c>
      <c r="I1790">
        <v>120</v>
      </c>
      <c r="J1790">
        <v>6</v>
      </c>
      <c r="K1790">
        <v>7</v>
      </c>
      <c r="L1790">
        <v>51</v>
      </c>
      <c r="M1790" t="s">
        <v>20</v>
      </c>
      <c r="N1790" t="s">
        <v>76</v>
      </c>
      <c r="O1790">
        <v>40702</v>
      </c>
      <c r="P1790">
        <v>191</v>
      </c>
      <c r="Q1790" t="s">
        <v>29</v>
      </c>
      <c r="R1790" t="str">
        <f t="shared" si="28"/>
        <v>Yes</v>
      </c>
    </row>
    <row r="1791" spans="1:18" x14ac:dyDescent="0.35">
      <c r="A1791" s="1">
        <v>40408</v>
      </c>
      <c r="B1791">
        <v>0</v>
      </c>
      <c r="C1791" t="s">
        <v>16</v>
      </c>
      <c r="D1791" t="s">
        <v>36</v>
      </c>
      <c r="E1791" t="s">
        <v>30</v>
      </c>
      <c r="F1791">
        <v>120</v>
      </c>
      <c r="G1791" t="s">
        <v>59</v>
      </c>
      <c r="H1791" t="s">
        <v>30</v>
      </c>
      <c r="I1791">
        <v>120</v>
      </c>
      <c r="J1791">
        <v>5</v>
      </c>
      <c r="K1791">
        <v>9</v>
      </c>
      <c r="L1791">
        <v>51</v>
      </c>
      <c r="M1791" t="s">
        <v>20</v>
      </c>
      <c r="N1791" t="s">
        <v>84</v>
      </c>
      <c r="O1791">
        <v>46479</v>
      </c>
      <c r="P1791">
        <v>187</v>
      </c>
      <c r="Q1791" t="s">
        <v>59</v>
      </c>
      <c r="R1791" t="str">
        <f t="shared" si="28"/>
        <v>Yes</v>
      </c>
    </row>
    <row r="1792" spans="1:18" x14ac:dyDescent="0.35">
      <c r="A1792" s="1">
        <v>40408</v>
      </c>
      <c r="B1792">
        <v>0</v>
      </c>
      <c r="C1792" t="s">
        <v>16</v>
      </c>
      <c r="D1792" t="s">
        <v>46</v>
      </c>
      <c r="E1792" t="s">
        <v>30</v>
      </c>
      <c r="F1792">
        <v>120</v>
      </c>
      <c r="G1792" t="s">
        <v>41</v>
      </c>
      <c r="H1792" t="s">
        <v>30</v>
      </c>
      <c r="I1792">
        <v>119</v>
      </c>
      <c r="J1792">
        <v>4</v>
      </c>
      <c r="K1792">
        <v>5</v>
      </c>
      <c r="L1792">
        <v>51</v>
      </c>
      <c r="M1792" t="s">
        <v>38</v>
      </c>
      <c r="N1792" t="s">
        <v>42</v>
      </c>
      <c r="O1792">
        <v>18046</v>
      </c>
      <c r="P1792">
        <v>174</v>
      </c>
      <c r="Q1792" t="s">
        <v>41</v>
      </c>
      <c r="R1792" t="str">
        <f t="shared" si="28"/>
        <v>Yes</v>
      </c>
    </row>
    <row r="1793" spans="1:18" x14ac:dyDescent="0.35">
      <c r="A1793" s="1">
        <v>40408</v>
      </c>
      <c r="B1793">
        <v>0</v>
      </c>
      <c r="C1793" t="s">
        <v>16</v>
      </c>
      <c r="D1793" t="s">
        <v>47</v>
      </c>
      <c r="E1793" t="s">
        <v>30</v>
      </c>
      <c r="F1793">
        <v>119</v>
      </c>
      <c r="G1793" t="s">
        <v>44</v>
      </c>
      <c r="H1793" t="s">
        <v>30</v>
      </c>
      <c r="I1793">
        <v>120</v>
      </c>
      <c r="J1793">
        <v>6</v>
      </c>
      <c r="K1793">
        <v>8</v>
      </c>
      <c r="L1793">
        <v>51</v>
      </c>
      <c r="M1793" t="s">
        <v>38</v>
      </c>
      <c r="N1793" t="s">
        <v>45</v>
      </c>
      <c r="O1793">
        <v>19413</v>
      </c>
      <c r="P1793">
        <v>194</v>
      </c>
      <c r="Q1793" t="s">
        <v>44</v>
      </c>
      <c r="R1793" t="str">
        <f t="shared" si="28"/>
        <v>Yes</v>
      </c>
    </row>
    <row r="1794" spans="1:18" x14ac:dyDescent="0.35">
      <c r="A1794" s="1">
        <v>40408</v>
      </c>
      <c r="B1794">
        <v>0</v>
      </c>
      <c r="C1794" t="s">
        <v>16</v>
      </c>
      <c r="D1794" t="s">
        <v>53</v>
      </c>
      <c r="E1794" t="s">
        <v>18</v>
      </c>
      <c r="F1794">
        <v>120</v>
      </c>
      <c r="G1794" t="s">
        <v>60</v>
      </c>
      <c r="H1794" t="s">
        <v>18</v>
      </c>
      <c r="I1794">
        <v>121</v>
      </c>
      <c r="J1794">
        <v>11</v>
      </c>
      <c r="K1794">
        <v>7</v>
      </c>
      <c r="L1794">
        <v>54</v>
      </c>
      <c r="M1794" t="s">
        <v>20</v>
      </c>
      <c r="N1794" t="s">
        <v>61</v>
      </c>
      <c r="O1794">
        <v>15509</v>
      </c>
      <c r="P1794">
        <v>205</v>
      </c>
      <c r="Q1794" t="s">
        <v>53</v>
      </c>
      <c r="R1794" t="str">
        <f t="shared" si="28"/>
        <v>No</v>
      </c>
    </row>
    <row r="1795" spans="1:18" x14ac:dyDescent="0.35">
      <c r="A1795" s="1">
        <v>40408</v>
      </c>
      <c r="B1795">
        <v>0</v>
      </c>
      <c r="C1795" t="s">
        <v>16</v>
      </c>
      <c r="D1795" t="s">
        <v>26</v>
      </c>
      <c r="E1795" t="s">
        <v>18</v>
      </c>
      <c r="F1795">
        <v>120</v>
      </c>
      <c r="G1795" t="s">
        <v>50</v>
      </c>
      <c r="H1795" t="s">
        <v>18</v>
      </c>
      <c r="I1795">
        <v>120</v>
      </c>
      <c r="J1795">
        <v>2</v>
      </c>
      <c r="K1795">
        <v>3</v>
      </c>
      <c r="L1795">
        <v>53</v>
      </c>
      <c r="M1795" t="s">
        <v>20</v>
      </c>
      <c r="N1795" t="s">
        <v>51</v>
      </c>
      <c r="O1795">
        <v>18105</v>
      </c>
      <c r="P1795">
        <v>163</v>
      </c>
      <c r="Q1795" t="s">
        <v>50</v>
      </c>
      <c r="R1795" t="str">
        <f t="shared" ref="R1795:R1858" si="29">IF(K1795&gt;J1795,"Yes","No")</f>
        <v>Yes</v>
      </c>
    </row>
    <row r="1796" spans="1:18" x14ac:dyDescent="0.35">
      <c r="A1796" s="1">
        <v>40408</v>
      </c>
      <c r="B1796">
        <v>0</v>
      </c>
      <c r="C1796" t="s">
        <v>16</v>
      </c>
      <c r="D1796" t="s">
        <v>62</v>
      </c>
      <c r="E1796" t="s">
        <v>18</v>
      </c>
      <c r="F1796">
        <v>119</v>
      </c>
      <c r="G1796" t="s">
        <v>49</v>
      </c>
      <c r="H1796" t="s">
        <v>18</v>
      </c>
      <c r="I1796">
        <v>121</v>
      </c>
      <c r="J1796">
        <v>5</v>
      </c>
      <c r="K1796">
        <v>1</v>
      </c>
      <c r="L1796">
        <v>54</v>
      </c>
      <c r="M1796" t="s">
        <v>38</v>
      </c>
      <c r="N1796" t="s">
        <v>79</v>
      </c>
      <c r="O1796">
        <v>33267</v>
      </c>
      <c r="P1796">
        <v>179</v>
      </c>
      <c r="Q1796" t="s">
        <v>62</v>
      </c>
      <c r="R1796" t="str">
        <f t="shared" si="29"/>
        <v>No</v>
      </c>
    </row>
    <row r="1797" spans="1:18" x14ac:dyDescent="0.35">
      <c r="A1797" s="1">
        <v>40408</v>
      </c>
      <c r="B1797">
        <v>0</v>
      </c>
      <c r="C1797" t="s">
        <v>16</v>
      </c>
      <c r="D1797" t="s">
        <v>19</v>
      </c>
      <c r="E1797" t="s">
        <v>18</v>
      </c>
      <c r="F1797">
        <v>120</v>
      </c>
      <c r="G1797" t="s">
        <v>66</v>
      </c>
      <c r="H1797" t="s">
        <v>18</v>
      </c>
      <c r="I1797">
        <v>119</v>
      </c>
      <c r="J1797">
        <v>3</v>
      </c>
      <c r="K1797">
        <v>2</v>
      </c>
      <c r="L1797">
        <v>84</v>
      </c>
      <c r="M1797" t="s">
        <v>20</v>
      </c>
      <c r="N1797" t="s">
        <v>67</v>
      </c>
      <c r="O1797">
        <v>23403</v>
      </c>
      <c r="P1797">
        <v>258</v>
      </c>
      <c r="Q1797" t="s">
        <v>19</v>
      </c>
      <c r="R1797" t="str">
        <f t="shared" si="29"/>
        <v>No</v>
      </c>
    </row>
    <row r="1798" spans="1:18" x14ac:dyDescent="0.35">
      <c r="A1798" s="1">
        <v>40408</v>
      </c>
      <c r="B1798">
        <v>0</v>
      </c>
      <c r="C1798" t="s">
        <v>16</v>
      </c>
      <c r="D1798" t="s">
        <v>63</v>
      </c>
      <c r="E1798" t="s">
        <v>18</v>
      </c>
      <c r="F1798">
        <v>119</v>
      </c>
      <c r="G1798" t="s">
        <v>22</v>
      </c>
      <c r="H1798" t="s">
        <v>18</v>
      </c>
      <c r="I1798">
        <v>121</v>
      </c>
      <c r="J1798">
        <v>3</v>
      </c>
      <c r="K1798">
        <v>2</v>
      </c>
      <c r="L1798">
        <v>60</v>
      </c>
      <c r="M1798" t="s">
        <v>20</v>
      </c>
      <c r="N1798" t="s">
        <v>85</v>
      </c>
      <c r="O1798">
        <v>44268</v>
      </c>
      <c r="P1798">
        <v>208</v>
      </c>
      <c r="Q1798" t="s">
        <v>63</v>
      </c>
      <c r="R1798" t="str">
        <f t="shared" si="29"/>
        <v>No</v>
      </c>
    </row>
    <row r="1799" spans="1:18" x14ac:dyDescent="0.35">
      <c r="A1799" s="1">
        <v>40408</v>
      </c>
      <c r="B1799">
        <v>0</v>
      </c>
      <c r="C1799" t="s">
        <v>16</v>
      </c>
      <c r="D1799" t="s">
        <v>70</v>
      </c>
      <c r="E1799" t="s">
        <v>18</v>
      </c>
      <c r="F1799">
        <v>121</v>
      </c>
      <c r="G1799" t="s">
        <v>25</v>
      </c>
      <c r="H1799" t="s">
        <v>18</v>
      </c>
      <c r="I1799">
        <v>119</v>
      </c>
      <c r="J1799">
        <v>2</v>
      </c>
      <c r="K1799">
        <v>8</v>
      </c>
      <c r="L1799">
        <v>51</v>
      </c>
      <c r="M1799" t="s">
        <v>20</v>
      </c>
      <c r="N1799" t="s">
        <v>80</v>
      </c>
      <c r="O1799">
        <v>44410</v>
      </c>
      <c r="P1799">
        <v>148</v>
      </c>
      <c r="Q1799" t="s">
        <v>25</v>
      </c>
      <c r="R1799" t="str">
        <f t="shared" si="29"/>
        <v>Yes</v>
      </c>
    </row>
    <row r="1800" spans="1:18" x14ac:dyDescent="0.35">
      <c r="A1800" s="1">
        <v>40408</v>
      </c>
      <c r="B1800">
        <v>0</v>
      </c>
      <c r="C1800" t="s">
        <v>16</v>
      </c>
      <c r="D1800" t="s">
        <v>17</v>
      </c>
      <c r="E1800" t="s">
        <v>18</v>
      </c>
      <c r="F1800">
        <v>119</v>
      </c>
      <c r="G1800" t="s">
        <v>23</v>
      </c>
      <c r="H1800" t="s">
        <v>18</v>
      </c>
      <c r="I1800">
        <v>120</v>
      </c>
      <c r="J1800">
        <v>3</v>
      </c>
      <c r="K1800">
        <v>2</v>
      </c>
      <c r="L1800">
        <v>54</v>
      </c>
      <c r="M1800" t="s">
        <v>20</v>
      </c>
      <c r="N1800" t="s">
        <v>24</v>
      </c>
      <c r="O1800">
        <v>12242</v>
      </c>
      <c r="P1800">
        <v>155</v>
      </c>
      <c r="Q1800" t="s">
        <v>17</v>
      </c>
      <c r="R1800" t="str">
        <f t="shared" si="29"/>
        <v>No</v>
      </c>
    </row>
    <row r="1801" spans="1:18" x14ac:dyDescent="0.35">
      <c r="A1801" s="1">
        <v>40408</v>
      </c>
      <c r="B1801">
        <v>0</v>
      </c>
      <c r="C1801" t="s">
        <v>16</v>
      </c>
      <c r="D1801" t="s">
        <v>68</v>
      </c>
      <c r="E1801" t="s">
        <v>18</v>
      </c>
      <c r="F1801">
        <v>121</v>
      </c>
      <c r="G1801" t="s">
        <v>52</v>
      </c>
      <c r="H1801" t="s">
        <v>18</v>
      </c>
      <c r="I1801">
        <v>118</v>
      </c>
      <c r="J1801">
        <v>3</v>
      </c>
      <c r="K1801">
        <v>2</v>
      </c>
      <c r="L1801">
        <v>54</v>
      </c>
      <c r="M1801" t="s">
        <v>38</v>
      </c>
      <c r="N1801" t="s">
        <v>82</v>
      </c>
      <c r="O1801">
        <v>41400</v>
      </c>
      <c r="P1801">
        <v>164</v>
      </c>
      <c r="Q1801" t="s">
        <v>68</v>
      </c>
      <c r="R1801" t="str">
        <f t="shared" si="29"/>
        <v>No</v>
      </c>
    </row>
    <row r="1802" spans="1:18" x14ac:dyDescent="0.35">
      <c r="A1802" s="1">
        <v>40409</v>
      </c>
      <c r="B1802">
        <v>0</v>
      </c>
      <c r="C1802" t="s">
        <v>28</v>
      </c>
      <c r="D1802" t="s">
        <v>47</v>
      </c>
      <c r="E1802" t="s">
        <v>30</v>
      </c>
      <c r="F1802">
        <v>120</v>
      </c>
      <c r="G1802" t="s">
        <v>43</v>
      </c>
      <c r="H1802" t="s">
        <v>30</v>
      </c>
      <c r="I1802">
        <v>122</v>
      </c>
      <c r="J1802">
        <v>0</v>
      </c>
      <c r="K1802">
        <v>4</v>
      </c>
      <c r="L1802">
        <v>51</v>
      </c>
      <c r="M1802" t="s">
        <v>20</v>
      </c>
      <c r="N1802" t="s">
        <v>56</v>
      </c>
      <c r="O1802">
        <v>14635</v>
      </c>
      <c r="P1802">
        <v>147</v>
      </c>
      <c r="Q1802" t="s">
        <v>43</v>
      </c>
      <c r="R1802" t="str">
        <f t="shared" si="29"/>
        <v>Yes</v>
      </c>
    </row>
    <row r="1803" spans="1:18" x14ac:dyDescent="0.35">
      <c r="A1803" s="1">
        <v>40409</v>
      </c>
      <c r="B1803">
        <v>0</v>
      </c>
      <c r="C1803" t="s">
        <v>28</v>
      </c>
      <c r="D1803" t="s">
        <v>31</v>
      </c>
      <c r="E1803" t="s">
        <v>30</v>
      </c>
      <c r="F1803">
        <v>122</v>
      </c>
      <c r="G1803" t="s">
        <v>58</v>
      </c>
      <c r="H1803" t="s">
        <v>30</v>
      </c>
      <c r="I1803">
        <v>122</v>
      </c>
      <c r="J1803">
        <v>7</v>
      </c>
      <c r="K1803">
        <v>2</v>
      </c>
      <c r="L1803">
        <v>54</v>
      </c>
      <c r="M1803" t="s">
        <v>20</v>
      </c>
      <c r="N1803" t="s">
        <v>86</v>
      </c>
      <c r="O1803">
        <v>37641</v>
      </c>
      <c r="P1803">
        <v>186</v>
      </c>
      <c r="Q1803" t="s">
        <v>31</v>
      </c>
      <c r="R1803" t="str">
        <f t="shared" si="29"/>
        <v>No</v>
      </c>
    </row>
    <row r="1804" spans="1:18" x14ac:dyDescent="0.35">
      <c r="A1804" s="1">
        <v>40409</v>
      </c>
      <c r="B1804">
        <v>0</v>
      </c>
      <c r="C1804" t="s">
        <v>28</v>
      </c>
      <c r="D1804" t="s">
        <v>33</v>
      </c>
      <c r="E1804" t="s">
        <v>30</v>
      </c>
      <c r="F1804">
        <v>121</v>
      </c>
      <c r="G1804" t="s">
        <v>37</v>
      </c>
      <c r="H1804" t="s">
        <v>30</v>
      </c>
      <c r="I1804">
        <v>121</v>
      </c>
      <c r="J1804">
        <v>7</v>
      </c>
      <c r="K1804">
        <v>3</v>
      </c>
      <c r="L1804">
        <v>54</v>
      </c>
      <c r="M1804" t="s">
        <v>20</v>
      </c>
      <c r="N1804" t="s">
        <v>39</v>
      </c>
      <c r="O1804">
        <v>9732</v>
      </c>
      <c r="P1804">
        <v>204</v>
      </c>
      <c r="Q1804" t="s">
        <v>33</v>
      </c>
      <c r="R1804" t="str">
        <f t="shared" si="29"/>
        <v>No</v>
      </c>
    </row>
    <row r="1805" spans="1:18" x14ac:dyDescent="0.35">
      <c r="A1805" s="1">
        <v>40409</v>
      </c>
      <c r="B1805">
        <v>0</v>
      </c>
      <c r="C1805" t="s">
        <v>28</v>
      </c>
      <c r="D1805" t="s">
        <v>34</v>
      </c>
      <c r="E1805" t="s">
        <v>30</v>
      </c>
      <c r="F1805">
        <v>121</v>
      </c>
      <c r="G1805" t="s">
        <v>29</v>
      </c>
      <c r="H1805" t="s">
        <v>30</v>
      </c>
      <c r="I1805">
        <v>121</v>
      </c>
      <c r="J1805">
        <v>11</v>
      </c>
      <c r="K1805">
        <v>0</v>
      </c>
      <c r="L1805">
        <v>54</v>
      </c>
      <c r="M1805" t="s">
        <v>20</v>
      </c>
      <c r="N1805" t="s">
        <v>76</v>
      </c>
      <c r="O1805">
        <v>40723</v>
      </c>
      <c r="P1805">
        <v>151</v>
      </c>
      <c r="Q1805" t="s">
        <v>34</v>
      </c>
      <c r="R1805" t="str">
        <f t="shared" si="29"/>
        <v>No</v>
      </c>
    </row>
    <row r="1806" spans="1:18" x14ac:dyDescent="0.35">
      <c r="A1806" s="1">
        <v>40409</v>
      </c>
      <c r="B1806">
        <v>0</v>
      </c>
      <c r="C1806" t="s">
        <v>28</v>
      </c>
      <c r="D1806" t="s">
        <v>36</v>
      </c>
      <c r="E1806" t="s">
        <v>30</v>
      </c>
      <c r="F1806">
        <v>121</v>
      </c>
      <c r="G1806" t="s">
        <v>59</v>
      </c>
      <c r="H1806" t="s">
        <v>30</v>
      </c>
      <c r="I1806">
        <v>121</v>
      </c>
      <c r="J1806">
        <v>5</v>
      </c>
      <c r="K1806">
        <v>11</v>
      </c>
      <c r="L1806">
        <v>51</v>
      </c>
      <c r="M1806" t="s">
        <v>38</v>
      </c>
      <c r="N1806" t="s">
        <v>84</v>
      </c>
      <c r="O1806">
        <v>48143</v>
      </c>
      <c r="P1806">
        <v>176</v>
      </c>
      <c r="Q1806" t="s">
        <v>59</v>
      </c>
      <c r="R1806" t="str">
        <f t="shared" si="29"/>
        <v>Yes</v>
      </c>
    </row>
    <row r="1807" spans="1:18" x14ac:dyDescent="0.35">
      <c r="A1807" s="1">
        <v>40409</v>
      </c>
      <c r="B1807">
        <v>0</v>
      </c>
      <c r="C1807" t="s">
        <v>28</v>
      </c>
      <c r="D1807" t="s">
        <v>44</v>
      </c>
      <c r="E1807" t="s">
        <v>30</v>
      </c>
      <c r="F1807">
        <v>121</v>
      </c>
      <c r="G1807" t="s">
        <v>41</v>
      </c>
      <c r="H1807" t="s">
        <v>30</v>
      </c>
      <c r="I1807">
        <v>120</v>
      </c>
      <c r="J1807">
        <v>3</v>
      </c>
      <c r="K1807">
        <v>4</v>
      </c>
      <c r="L1807">
        <v>51</v>
      </c>
      <c r="M1807" t="s">
        <v>20</v>
      </c>
      <c r="N1807" t="s">
        <v>42</v>
      </c>
      <c r="O1807">
        <v>10118</v>
      </c>
      <c r="P1807">
        <v>147</v>
      </c>
      <c r="Q1807" t="s">
        <v>41</v>
      </c>
      <c r="R1807" t="str">
        <f t="shared" si="29"/>
        <v>Yes</v>
      </c>
    </row>
    <row r="1808" spans="1:18" x14ac:dyDescent="0.35">
      <c r="A1808" s="1">
        <v>40409</v>
      </c>
      <c r="B1808">
        <v>0</v>
      </c>
      <c r="C1808" t="s">
        <v>28</v>
      </c>
      <c r="D1808" t="s">
        <v>53</v>
      </c>
      <c r="E1808" t="s">
        <v>18</v>
      </c>
      <c r="F1808">
        <v>121</v>
      </c>
      <c r="G1808" t="s">
        <v>60</v>
      </c>
      <c r="H1808" t="s">
        <v>18</v>
      </c>
      <c r="I1808">
        <v>122</v>
      </c>
      <c r="J1808">
        <v>9</v>
      </c>
      <c r="K1808">
        <v>5</v>
      </c>
      <c r="L1808">
        <v>54</v>
      </c>
      <c r="M1808" t="s">
        <v>20</v>
      </c>
      <c r="N1808" t="s">
        <v>61</v>
      </c>
      <c r="O1808">
        <v>17385</v>
      </c>
      <c r="P1808">
        <v>170</v>
      </c>
      <c r="Q1808" t="s">
        <v>53</v>
      </c>
      <c r="R1808" t="str">
        <f t="shared" si="29"/>
        <v>No</v>
      </c>
    </row>
    <row r="1809" spans="1:18" x14ac:dyDescent="0.35">
      <c r="A1809" s="1">
        <v>40409</v>
      </c>
      <c r="B1809">
        <v>0</v>
      </c>
      <c r="C1809" t="s">
        <v>28</v>
      </c>
      <c r="D1809" t="s">
        <v>26</v>
      </c>
      <c r="E1809" t="s">
        <v>18</v>
      </c>
      <c r="F1809">
        <v>121</v>
      </c>
      <c r="G1809" t="s">
        <v>50</v>
      </c>
      <c r="H1809" t="s">
        <v>18</v>
      </c>
      <c r="I1809">
        <v>121</v>
      </c>
      <c r="J1809">
        <v>6</v>
      </c>
      <c r="K1809">
        <v>2</v>
      </c>
      <c r="L1809">
        <v>54</v>
      </c>
      <c r="M1809" t="s">
        <v>38</v>
      </c>
      <c r="N1809" t="s">
        <v>51</v>
      </c>
      <c r="O1809">
        <v>15593</v>
      </c>
      <c r="P1809">
        <v>180</v>
      </c>
      <c r="Q1809" t="s">
        <v>26</v>
      </c>
      <c r="R1809" t="str">
        <f t="shared" si="29"/>
        <v>No</v>
      </c>
    </row>
    <row r="1810" spans="1:18" x14ac:dyDescent="0.35">
      <c r="A1810" s="1">
        <v>40409</v>
      </c>
      <c r="B1810">
        <v>0</v>
      </c>
      <c r="C1810" t="s">
        <v>28</v>
      </c>
      <c r="D1810" t="s">
        <v>62</v>
      </c>
      <c r="E1810" t="s">
        <v>18</v>
      </c>
      <c r="F1810">
        <v>120</v>
      </c>
      <c r="G1810" t="s">
        <v>49</v>
      </c>
      <c r="H1810" t="s">
        <v>18</v>
      </c>
      <c r="I1810">
        <v>122</v>
      </c>
      <c r="J1810">
        <v>5</v>
      </c>
      <c r="K1810">
        <v>3</v>
      </c>
      <c r="L1810">
        <v>54</v>
      </c>
      <c r="M1810" t="s">
        <v>38</v>
      </c>
      <c r="N1810" t="s">
        <v>79</v>
      </c>
      <c r="O1810">
        <v>30687</v>
      </c>
      <c r="P1810">
        <v>168</v>
      </c>
      <c r="Q1810" t="s">
        <v>62</v>
      </c>
      <c r="R1810" t="str">
        <f t="shared" si="29"/>
        <v>No</v>
      </c>
    </row>
    <row r="1811" spans="1:18" x14ac:dyDescent="0.35">
      <c r="A1811" s="1">
        <v>40409</v>
      </c>
      <c r="B1811">
        <v>0</v>
      </c>
      <c r="C1811" t="s">
        <v>28</v>
      </c>
      <c r="D1811" t="s">
        <v>19</v>
      </c>
      <c r="E1811" t="s">
        <v>18</v>
      </c>
      <c r="F1811">
        <v>121</v>
      </c>
      <c r="G1811" t="s">
        <v>66</v>
      </c>
      <c r="H1811" t="s">
        <v>18</v>
      </c>
      <c r="I1811">
        <v>120</v>
      </c>
      <c r="J1811">
        <v>2</v>
      </c>
      <c r="K1811">
        <v>3</v>
      </c>
      <c r="L1811">
        <v>51</v>
      </c>
      <c r="M1811" t="s">
        <v>20</v>
      </c>
      <c r="N1811" t="s">
        <v>67</v>
      </c>
      <c r="O1811">
        <v>26271</v>
      </c>
      <c r="P1811">
        <v>150</v>
      </c>
      <c r="Q1811" t="s">
        <v>66</v>
      </c>
      <c r="R1811" t="str">
        <f t="shared" si="29"/>
        <v>Yes</v>
      </c>
    </row>
    <row r="1812" spans="1:18" x14ac:dyDescent="0.35">
      <c r="A1812" s="1">
        <v>40409</v>
      </c>
      <c r="B1812">
        <v>0</v>
      </c>
      <c r="C1812" t="s">
        <v>28</v>
      </c>
      <c r="D1812" t="s">
        <v>63</v>
      </c>
      <c r="E1812" t="s">
        <v>18</v>
      </c>
      <c r="F1812">
        <v>120</v>
      </c>
      <c r="G1812" t="s">
        <v>22</v>
      </c>
      <c r="H1812" t="s">
        <v>18</v>
      </c>
      <c r="I1812">
        <v>122</v>
      </c>
      <c r="J1812">
        <v>0</v>
      </c>
      <c r="K1812">
        <v>2</v>
      </c>
      <c r="L1812">
        <v>51</v>
      </c>
      <c r="M1812" t="s">
        <v>20</v>
      </c>
      <c r="N1812" t="s">
        <v>85</v>
      </c>
      <c r="O1812">
        <v>45104</v>
      </c>
      <c r="P1812">
        <v>148</v>
      </c>
      <c r="Q1812" t="s">
        <v>22</v>
      </c>
      <c r="R1812" t="str">
        <f t="shared" si="29"/>
        <v>Yes</v>
      </c>
    </row>
    <row r="1813" spans="1:18" x14ac:dyDescent="0.35">
      <c r="A1813" s="1">
        <v>40409</v>
      </c>
      <c r="B1813">
        <v>0</v>
      </c>
      <c r="C1813" t="s">
        <v>28</v>
      </c>
      <c r="D1813" t="s">
        <v>70</v>
      </c>
      <c r="E1813" t="s">
        <v>18</v>
      </c>
      <c r="F1813">
        <v>122</v>
      </c>
      <c r="G1813" t="s">
        <v>25</v>
      </c>
      <c r="H1813" t="s">
        <v>18</v>
      </c>
      <c r="I1813">
        <v>120</v>
      </c>
      <c r="J1813">
        <v>5</v>
      </c>
      <c r="K1813">
        <v>2</v>
      </c>
      <c r="L1813">
        <v>54</v>
      </c>
      <c r="M1813" t="s">
        <v>20</v>
      </c>
      <c r="N1813" t="s">
        <v>80</v>
      </c>
      <c r="O1813">
        <v>45449</v>
      </c>
      <c r="P1813">
        <v>154</v>
      </c>
      <c r="Q1813" t="s">
        <v>70</v>
      </c>
      <c r="R1813" t="str">
        <f t="shared" si="29"/>
        <v>No</v>
      </c>
    </row>
    <row r="1814" spans="1:18" x14ac:dyDescent="0.35">
      <c r="A1814" s="1">
        <v>40409</v>
      </c>
      <c r="B1814">
        <v>0</v>
      </c>
      <c r="C1814" t="s">
        <v>28</v>
      </c>
      <c r="D1814" t="s">
        <v>17</v>
      </c>
      <c r="E1814" t="s">
        <v>18</v>
      </c>
      <c r="F1814">
        <v>120</v>
      </c>
      <c r="G1814" t="s">
        <v>23</v>
      </c>
      <c r="H1814" t="s">
        <v>18</v>
      </c>
      <c r="I1814">
        <v>121</v>
      </c>
      <c r="J1814">
        <v>4</v>
      </c>
      <c r="K1814">
        <v>2</v>
      </c>
      <c r="L1814">
        <v>54</v>
      </c>
      <c r="M1814" t="s">
        <v>20</v>
      </c>
      <c r="N1814" t="s">
        <v>24</v>
      </c>
      <c r="O1814">
        <v>15783</v>
      </c>
      <c r="P1814">
        <v>150</v>
      </c>
      <c r="Q1814" t="s">
        <v>17</v>
      </c>
      <c r="R1814" t="str">
        <f t="shared" si="29"/>
        <v>No</v>
      </c>
    </row>
    <row r="1815" spans="1:18" x14ac:dyDescent="0.35">
      <c r="A1815" s="1">
        <v>40410</v>
      </c>
      <c r="B1815">
        <v>0</v>
      </c>
      <c r="C1815" t="s">
        <v>55</v>
      </c>
      <c r="D1815" t="s">
        <v>47</v>
      </c>
      <c r="E1815" t="s">
        <v>30</v>
      </c>
      <c r="F1815">
        <v>121</v>
      </c>
      <c r="G1815" t="s">
        <v>43</v>
      </c>
      <c r="H1815" t="s">
        <v>30</v>
      </c>
      <c r="I1815">
        <v>123</v>
      </c>
      <c r="J1815">
        <v>2</v>
      </c>
      <c r="K1815">
        <v>0</v>
      </c>
      <c r="L1815">
        <v>54</v>
      </c>
      <c r="M1815" t="s">
        <v>20</v>
      </c>
      <c r="N1815" t="s">
        <v>56</v>
      </c>
      <c r="O1815">
        <v>18751</v>
      </c>
      <c r="P1815">
        <v>169</v>
      </c>
      <c r="Q1815" t="s">
        <v>47</v>
      </c>
      <c r="R1815" t="str">
        <f t="shared" si="29"/>
        <v>No</v>
      </c>
    </row>
    <row r="1816" spans="1:18" x14ac:dyDescent="0.35">
      <c r="A1816" s="1">
        <v>40410</v>
      </c>
      <c r="B1816">
        <v>0</v>
      </c>
      <c r="C1816" t="s">
        <v>55</v>
      </c>
      <c r="D1816" t="s">
        <v>46</v>
      </c>
      <c r="E1816" t="s">
        <v>30</v>
      </c>
      <c r="F1816">
        <v>121</v>
      </c>
      <c r="G1816" t="s">
        <v>58</v>
      </c>
      <c r="H1816" t="s">
        <v>30</v>
      </c>
      <c r="I1816">
        <v>123</v>
      </c>
      <c r="J1816">
        <v>16</v>
      </c>
      <c r="K1816">
        <v>2</v>
      </c>
      <c r="L1816">
        <v>54</v>
      </c>
      <c r="M1816" t="s">
        <v>20</v>
      </c>
      <c r="N1816" t="s">
        <v>86</v>
      </c>
      <c r="O1816">
        <v>37726</v>
      </c>
      <c r="P1816">
        <v>182</v>
      </c>
      <c r="Q1816" t="s">
        <v>46</v>
      </c>
      <c r="R1816" t="str">
        <f t="shared" si="29"/>
        <v>No</v>
      </c>
    </row>
    <row r="1817" spans="1:18" x14ac:dyDescent="0.35">
      <c r="A1817" s="1">
        <v>40410</v>
      </c>
      <c r="B1817">
        <v>0</v>
      </c>
      <c r="C1817" t="s">
        <v>55</v>
      </c>
      <c r="D1817" t="s">
        <v>33</v>
      </c>
      <c r="E1817" t="s">
        <v>30</v>
      </c>
      <c r="F1817">
        <v>122</v>
      </c>
      <c r="G1817" t="s">
        <v>36</v>
      </c>
      <c r="H1817" t="s">
        <v>30</v>
      </c>
      <c r="I1817">
        <v>122</v>
      </c>
      <c r="J1817">
        <v>0</v>
      </c>
      <c r="K1817">
        <v>6</v>
      </c>
      <c r="L1817">
        <v>51</v>
      </c>
      <c r="M1817" t="s">
        <v>20</v>
      </c>
      <c r="N1817" t="s">
        <v>57</v>
      </c>
      <c r="O1817">
        <v>33936</v>
      </c>
      <c r="P1817">
        <v>150</v>
      </c>
      <c r="Q1817" t="s">
        <v>36</v>
      </c>
      <c r="R1817" t="str">
        <f t="shared" si="29"/>
        <v>Yes</v>
      </c>
    </row>
    <row r="1818" spans="1:18" x14ac:dyDescent="0.35">
      <c r="A1818" s="1">
        <v>40410</v>
      </c>
      <c r="B1818">
        <v>0</v>
      </c>
      <c r="C1818" t="s">
        <v>55</v>
      </c>
      <c r="D1818" t="s">
        <v>31</v>
      </c>
      <c r="E1818" t="s">
        <v>30</v>
      </c>
      <c r="F1818">
        <v>123</v>
      </c>
      <c r="G1818" t="s">
        <v>29</v>
      </c>
      <c r="H1818" t="s">
        <v>30</v>
      </c>
      <c r="I1818">
        <v>122</v>
      </c>
      <c r="J1818">
        <v>2</v>
      </c>
      <c r="K1818">
        <v>7</v>
      </c>
      <c r="L1818">
        <v>51</v>
      </c>
      <c r="M1818" t="s">
        <v>20</v>
      </c>
      <c r="N1818" t="s">
        <v>76</v>
      </c>
      <c r="O1818">
        <v>40747</v>
      </c>
      <c r="P1818">
        <v>134</v>
      </c>
      <c r="Q1818" t="s">
        <v>29</v>
      </c>
      <c r="R1818" t="str">
        <f t="shared" si="29"/>
        <v>Yes</v>
      </c>
    </row>
    <row r="1819" spans="1:18" x14ac:dyDescent="0.35">
      <c r="A1819" s="1">
        <v>40410</v>
      </c>
      <c r="B1819">
        <v>0</v>
      </c>
      <c r="C1819" t="s">
        <v>55</v>
      </c>
      <c r="D1819" t="s">
        <v>40</v>
      </c>
      <c r="E1819" t="s">
        <v>30</v>
      </c>
      <c r="F1819">
        <v>122</v>
      </c>
      <c r="G1819" t="s">
        <v>59</v>
      </c>
      <c r="H1819" t="s">
        <v>30</v>
      </c>
      <c r="I1819">
        <v>122</v>
      </c>
      <c r="J1819">
        <v>6</v>
      </c>
      <c r="K1819">
        <v>0</v>
      </c>
      <c r="L1819">
        <v>54</v>
      </c>
      <c r="M1819" t="s">
        <v>20</v>
      </c>
      <c r="N1819" t="s">
        <v>84</v>
      </c>
      <c r="O1819">
        <v>46493</v>
      </c>
      <c r="P1819">
        <v>162</v>
      </c>
      <c r="Q1819" t="s">
        <v>40</v>
      </c>
      <c r="R1819" t="str">
        <f t="shared" si="29"/>
        <v>No</v>
      </c>
    </row>
    <row r="1820" spans="1:18" x14ac:dyDescent="0.35">
      <c r="A1820" s="1">
        <v>40410</v>
      </c>
      <c r="B1820">
        <v>0</v>
      </c>
      <c r="C1820" t="s">
        <v>55</v>
      </c>
      <c r="D1820" t="s">
        <v>44</v>
      </c>
      <c r="E1820" t="s">
        <v>30</v>
      </c>
      <c r="F1820">
        <v>122</v>
      </c>
      <c r="G1820" t="s">
        <v>41</v>
      </c>
      <c r="H1820" t="s">
        <v>30</v>
      </c>
      <c r="I1820">
        <v>121</v>
      </c>
      <c r="J1820">
        <v>4</v>
      </c>
      <c r="K1820">
        <v>5</v>
      </c>
      <c r="L1820">
        <v>51</v>
      </c>
      <c r="M1820" t="s">
        <v>20</v>
      </c>
      <c r="N1820" t="s">
        <v>42</v>
      </c>
      <c r="O1820">
        <v>13207</v>
      </c>
      <c r="P1820">
        <v>181</v>
      </c>
      <c r="Q1820" t="s">
        <v>41</v>
      </c>
      <c r="R1820" t="str">
        <f t="shared" si="29"/>
        <v>Yes</v>
      </c>
    </row>
    <row r="1821" spans="1:18" x14ac:dyDescent="0.35">
      <c r="A1821" s="1">
        <v>40410</v>
      </c>
      <c r="B1821">
        <v>0</v>
      </c>
      <c r="C1821" t="s">
        <v>55</v>
      </c>
      <c r="D1821" t="s">
        <v>63</v>
      </c>
      <c r="E1821" t="s">
        <v>18</v>
      </c>
      <c r="F1821">
        <v>121</v>
      </c>
      <c r="G1821" t="s">
        <v>60</v>
      </c>
      <c r="H1821" t="s">
        <v>18</v>
      </c>
      <c r="I1821">
        <v>123</v>
      </c>
      <c r="J1821">
        <v>3</v>
      </c>
      <c r="K1821">
        <v>4</v>
      </c>
      <c r="L1821">
        <v>58</v>
      </c>
      <c r="M1821" t="s">
        <v>20</v>
      </c>
      <c r="N1821" t="s">
        <v>61</v>
      </c>
      <c r="O1821">
        <v>26294</v>
      </c>
      <c r="P1821">
        <v>202</v>
      </c>
      <c r="Q1821" t="s">
        <v>60</v>
      </c>
      <c r="R1821" t="str">
        <f t="shared" si="29"/>
        <v>Yes</v>
      </c>
    </row>
    <row r="1822" spans="1:18" x14ac:dyDescent="0.35">
      <c r="A1822" s="1">
        <v>40410</v>
      </c>
      <c r="B1822">
        <v>0</v>
      </c>
      <c r="C1822" t="s">
        <v>55</v>
      </c>
      <c r="D1822" t="s">
        <v>50</v>
      </c>
      <c r="E1822" t="s">
        <v>18</v>
      </c>
      <c r="F1822">
        <v>122</v>
      </c>
      <c r="G1822" t="s">
        <v>49</v>
      </c>
      <c r="H1822" t="s">
        <v>18</v>
      </c>
      <c r="I1822">
        <v>123</v>
      </c>
      <c r="J1822">
        <v>5</v>
      </c>
      <c r="K1822">
        <v>3</v>
      </c>
      <c r="L1822">
        <v>54</v>
      </c>
      <c r="M1822" t="s">
        <v>38</v>
      </c>
      <c r="N1822" t="s">
        <v>79</v>
      </c>
      <c r="O1822">
        <v>39345</v>
      </c>
      <c r="P1822">
        <v>155</v>
      </c>
      <c r="Q1822" t="s">
        <v>50</v>
      </c>
      <c r="R1822" t="str">
        <f t="shared" si="29"/>
        <v>No</v>
      </c>
    </row>
    <row r="1823" spans="1:18" x14ac:dyDescent="0.35">
      <c r="A1823" s="1">
        <v>40410</v>
      </c>
      <c r="B1823">
        <v>0</v>
      </c>
      <c r="C1823" t="s">
        <v>55</v>
      </c>
      <c r="D1823" t="s">
        <v>66</v>
      </c>
      <c r="E1823" t="s">
        <v>18</v>
      </c>
      <c r="F1823">
        <v>121</v>
      </c>
      <c r="G1823" t="s">
        <v>17</v>
      </c>
      <c r="H1823" t="s">
        <v>18</v>
      </c>
      <c r="I1823">
        <v>121</v>
      </c>
      <c r="J1823">
        <v>0</v>
      </c>
      <c r="K1823">
        <v>9</v>
      </c>
      <c r="L1823">
        <v>51</v>
      </c>
      <c r="M1823" t="s">
        <v>20</v>
      </c>
      <c r="N1823" t="s">
        <v>65</v>
      </c>
      <c r="O1823">
        <v>19456</v>
      </c>
      <c r="P1823">
        <v>153</v>
      </c>
      <c r="Q1823" t="s">
        <v>17</v>
      </c>
      <c r="R1823" t="str">
        <f t="shared" si="29"/>
        <v>Yes</v>
      </c>
    </row>
    <row r="1824" spans="1:18" x14ac:dyDescent="0.35">
      <c r="A1824" s="1">
        <v>40410</v>
      </c>
      <c r="B1824">
        <v>0</v>
      </c>
      <c r="C1824" t="s">
        <v>55</v>
      </c>
      <c r="D1824" t="s">
        <v>53</v>
      </c>
      <c r="E1824" t="s">
        <v>18</v>
      </c>
      <c r="F1824">
        <v>122</v>
      </c>
      <c r="G1824" t="s">
        <v>22</v>
      </c>
      <c r="H1824" t="s">
        <v>18</v>
      </c>
      <c r="I1824">
        <v>123</v>
      </c>
      <c r="J1824">
        <v>3</v>
      </c>
      <c r="K1824">
        <v>1</v>
      </c>
      <c r="L1824">
        <v>54</v>
      </c>
      <c r="M1824" t="s">
        <v>20</v>
      </c>
      <c r="N1824" t="s">
        <v>85</v>
      </c>
      <c r="O1824">
        <v>46418</v>
      </c>
      <c r="P1824">
        <v>182</v>
      </c>
      <c r="Q1824" t="s">
        <v>53</v>
      </c>
      <c r="R1824" t="str">
        <f t="shared" si="29"/>
        <v>No</v>
      </c>
    </row>
    <row r="1825" spans="1:18" x14ac:dyDescent="0.35">
      <c r="A1825" s="1">
        <v>40410</v>
      </c>
      <c r="B1825">
        <v>0</v>
      </c>
      <c r="C1825" t="s">
        <v>55</v>
      </c>
      <c r="D1825" t="s">
        <v>62</v>
      </c>
      <c r="E1825" t="s">
        <v>18</v>
      </c>
      <c r="F1825">
        <v>121</v>
      </c>
      <c r="G1825" t="s">
        <v>68</v>
      </c>
      <c r="H1825" t="s">
        <v>18</v>
      </c>
      <c r="I1825">
        <v>122</v>
      </c>
      <c r="J1825">
        <v>6</v>
      </c>
      <c r="K1825">
        <v>10</v>
      </c>
      <c r="L1825">
        <v>51</v>
      </c>
      <c r="M1825" t="s">
        <v>20</v>
      </c>
      <c r="N1825" t="s">
        <v>69</v>
      </c>
      <c r="O1825">
        <v>27976</v>
      </c>
      <c r="P1825">
        <v>199</v>
      </c>
      <c r="Q1825" t="s">
        <v>68</v>
      </c>
      <c r="R1825" t="str">
        <f t="shared" si="29"/>
        <v>Yes</v>
      </c>
    </row>
    <row r="1826" spans="1:18" x14ac:dyDescent="0.35">
      <c r="A1826" s="1">
        <v>40410</v>
      </c>
      <c r="B1826">
        <v>0</v>
      </c>
      <c r="C1826" t="s">
        <v>55</v>
      </c>
      <c r="D1826" t="s">
        <v>26</v>
      </c>
      <c r="E1826" t="s">
        <v>18</v>
      </c>
      <c r="F1826">
        <v>122</v>
      </c>
      <c r="G1826" t="s">
        <v>25</v>
      </c>
      <c r="H1826" t="s">
        <v>18</v>
      </c>
      <c r="I1826">
        <v>121</v>
      </c>
      <c r="J1826">
        <v>0</v>
      </c>
      <c r="K1826">
        <v>1</v>
      </c>
      <c r="L1826">
        <v>51</v>
      </c>
      <c r="M1826" t="s">
        <v>20</v>
      </c>
      <c r="N1826" t="s">
        <v>80</v>
      </c>
      <c r="O1826">
        <v>45093</v>
      </c>
      <c r="P1826">
        <v>171</v>
      </c>
      <c r="Q1826" t="s">
        <v>25</v>
      </c>
      <c r="R1826" t="str">
        <f t="shared" si="29"/>
        <v>Yes</v>
      </c>
    </row>
    <row r="1827" spans="1:18" x14ac:dyDescent="0.35">
      <c r="A1827" s="1">
        <v>40410</v>
      </c>
      <c r="B1827">
        <v>0</v>
      </c>
      <c r="C1827" t="s">
        <v>55</v>
      </c>
      <c r="D1827" t="s">
        <v>19</v>
      </c>
      <c r="E1827" t="s">
        <v>18</v>
      </c>
      <c r="F1827">
        <v>122</v>
      </c>
      <c r="G1827" t="s">
        <v>23</v>
      </c>
      <c r="H1827" t="s">
        <v>18</v>
      </c>
      <c r="I1827">
        <v>122</v>
      </c>
      <c r="J1827">
        <v>7</v>
      </c>
      <c r="K1827">
        <v>2</v>
      </c>
      <c r="L1827">
        <v>54</v>
      </c>
      <c r="M1827" t="s">
        <v>20</v>
      </c>
      <c r="N1827" t="s">
        <v>24</v>
      </c>
      <c r="O1827">
        <v>23695</v>
      </c>
      <c r="P1827">
        <v>173</v>
      </c>
      <c r="Q1827" t="s">
        <v>19</v>
      </c>
      <c r="R1827" t="str">
        <f t="shared" si="29"/>
        <v>No</v>
      </c>
    </row>
    <row r="1828" spans="1:18" x14ac:dyDescent="0.35">
      <c r="A1828" s="1">
        <v>40410</v>
      </c>
      <c r="B1828">
        <v>0</v>
      </c>
      <c r="C1828" t="s">
        <v>55</v>
      </c>
      <c r="D1828" t="s">
        <v>70</v>
      </c>
      <c r="E1828" t="s">
        <v>18</v>
      </c>
      <c r="F1828">
        <v>123</v>
      </c>
      <c r="G1828" t="s">
        <v>52</v>
      </c>
      <c r="H1828" t="s">
        <v>18</v>
      </c>
      <c r="I1828">
        <v>119</v>
      </c>
      <c r="J1828">
        <v>6</v>
      </c>
      <c r="K1828">
        <v>3</v>
      </c>
      <c r="L1828">
        <v>54</v>
      </c>
      <c r="M1828" t="s">
        <v>20</v>
      </c>
      <c r="N1828" t="s">
        <v>82</v>
      </c>
      <c r="O1828">
        <v>43822</v>
      </c>
      <c r="P1828">
        <v>172</v>
      </c>
      <c r="Q1828" t="s">
        <v>70</v>
      </c>
      <c r="R1828" t="str">
        <f t="shared" si="29"/>
        <v>No</v>
      </c>
    </row>
    <row r="1829" spans="1:18" x14ac:dyDescent="0.35">
      <c r="A1829" s="1">
        <v>40411</v>
      </c>
      <c r="B1829">
        <v>0</v>
      </c>
      <c r="C1829" t="s">
        <v>72</v>
      </c>
      <c r="D1829" t="s">
        <v>47</v>
      </c>
      <c r="E1829" t="s">
        <v>30</v>
      </c>
      <c r="F1829">
        <v>122</v>
      </c>
      <c r="G1829" t="s">
        <v>43</v>
      </c>
      <c r="H1829" t="s">
        <v>30</v>
      </c>
      <c r="I1829">
        <v>124</v>
      </c>
      <c r="J1829">
        <v>6</v>
      </c>
      <c r="K1829">
        <v>8</v>
      </c>
      <c r="L1829">
        <v>51</v>
      </c>
      <c r="M1829" t="s">
        <v>38</v>
      </c>
      <c r="N1829" t="s">
        <v>56</v>
      </c>
      <c r="O1829">
        <v>23041</v>
      </c>
      <c r="P1829">
        <v>165</v>
      </c>
      <c r="Q1829" t="s">
        <v>43</v>
      </c>
      <c r="R1829" t="str">
        <f t="shared" si="29"/>
        <v>Yes</v>
      </c>
    </row>
    <row r="1830" spans="1:18" x14ac:dyDescent="0.35">
      <c r="A1830" s="1">
        <v>40411</v>
      </c>
      <c r="B1830">
        <v>0</v>
      </c>
      <c r="C1830" t="s">
        <v>72</v>
      </c>
      <c r="D1830" t="s">
        <v>46</v>
      </c>
      <c r="E1830" t="s">
        <v>30</v>
      </c>
      <c r="F1830">
        <v>122</v>
      </c>
      <c r="G1830" t="s">
        <v>58</v>
      </c>
      <c r="H1830" t="s">
        <v>30</v>
      </c>
      <c r="I1830">
        <v>124</v>
      </c>
      <c r="J1830">
        <v>4</v>
      </c>
      <c r="K1830">
        <v>5</v>
      </c>
      <c r="L1830">
        <v>63</v>
      </c>
      <c r="M1830" t="s">
        <v>20</v>
      </c>
      <c r="N1830" t="s">
        <v>86</v>
      </c>
      <c r="O1830">
        <v>37614</v>
      </c>
      <c r="P1830">
        <v>203</v>
      </c>
      <c r="Q1830" t="s">
        <v>58</v>
      </c>
      <c r="R1830" t="str">
        <f t="shared" si="29"/>
        <v>Yes</v>
      </c>
    </row>
    <row r="1831" spans="1:18" x14ac:dyDescent="0.35">
      <c r="A1831" s="1">
        <v>40411</v>
      </c>
      <c r="B1831">
        <v>0</v>
      </c>
      <c r="C1831" t="s">
        <v>72</v>
      </c>
      <c r="D1831" t="s">
        <v>33</v>
      </c>
      <c r="E1831" t="s">
        <v>30</v>
      </c>
      <c r="F1831">
        <v>123</v>
      </c>
      <c r="G1831" t="s">
        <v>36</v>
      </c>
      <c r="H1831" t="s">
        <v>30</v>
      </c>
      <c r="I1831">
        <v>123</v>
      </c>
      <c r="J1831">
        <v>2</v>
      </c>
      <c r="K1831">
        <v>5</v>
      </c>
      <c r="L1831">
        <v>51</v>
      </c>
      <c r="M1831" t="s">
        <v>20</v>
      </c>
      <c r="N1831" t="s">
        <v>57</v>
      </c>
      <c r="O1831">
        <v>38088</v>
      </c>
      <c r="P1831">
        <v>149</v>
      </c>
      <c r="Q1831" t="s">
        <v>36</v>
      </c>
      <c r="R1831" t="str">
        <f t="shared" si="29"/>
        <v>Yes</v>
      </c>
    </row>
    <row r="1832" spans="1:18" x14ac:dyDescent="0.35">
      <c r="A1832" s="1">
        <v>40411</v>
      </c>
      <c r="B1832">
        <v>1</v>
      </c>
      <c r="C1832" t="s">
        <v>72</v>
      </c>
      <c r="D1832" t="s">
        <v>34</v>
      </c>
      <c r="E1832" t="s">
        <v>30</v>
      </c>
      <c r="F1832">
        <v>122</v>
      </c>
      <c r="G1832" t="s">
        <v>37</v>
      </c>
      <c r="H1832" t="s">
        <v>30</v>
      </c>
      <c r="I1832">
        <v>122</v>
      </c>
      <c r="J1832">
        <v>5</v>
      </c>
      <c r="K1832">
        <v>6</v>
      </c>
      <c r="L1832">
        <v>65</v>
      </c>
      <c r="M1832" t="s">
        <v>20</v>
      </c>
      <c r="N1832" t="s">
        <v>39</v>
      </c>
      <c r="O1832">
        <v>0</v>
      </c>
      <c r="P1832">
        <v>205</v>
      </c>
      <c r="Q1832" t="s">
        <v>37</v>
      </c>
      <c r="R1832" t="str">
        <f t="shared" si="29"/>
        <v>Yes</v>
      </c>
    </row>
    <row r="1833" spans="1:18" x14ac:dyDescent="0.35">
      <c r="A1833" s="1">
        <v>40411</v>
      </c>
      <c r="B1833">
        <v>2</v>
      </c>
      <c r="C1833" t="s">
        <v>72</v>
      </c>
      <c r="D1833" t="s">
        <v>34</v>
      </c>
      <c r="E1833" t="s">
        <v>30</v>
      </c>
      <c r="F1833">
        <v>123</v>
      </c>
      <c r="G1833" t="s">
        <v>37</v>
      </c>
      <c r="H1833" t="s">
        <v>30</v>
      </c>
      <c r="I1833">
        <v>123</v>
      </c>
      <c r="J1833">
        <v>7</v>
      </c>
      <c r="K1833">
        <v>6</v>
      </c>
      <c r="L1833">
        <v>60</v>
      </c>
      <c r="M1833" t="s">
        <v>20</v>
      </c>
      <c r="N1833" t="s">
        <v>39</v>
      </c>
      <c r="O1833">
        <v>25543</v>
      </c>
      <c r="P1833">
        <v>186</v>
      </c>
      <c r="Q1833" t="s">
        <v>34</v>
      </c>
      <c r="R1833" t="str">
        <f t="shared" si="29"/>
        <v>No</v>
      </c>
    </row>
    <row r="1834" spans="1:18" x14ac:dyDescent="0.35">
      <c r="A1834" s="1">
        <v>40411</v>
      </c>
      <c r="B1834">
        <v>0</v>
      </c>
      <c r="C1834" t="s">
        <v>72</v>
      </c>
      <c r="D1834" t="s">
        <v>31</v>
      </c>
      <c r="E1834" t="s">
        <v>30</v>
      </c>
      <c r="F1834">
        <v>124</v>
      </c>
      <c r="G1834" t="s">
        <v>29</v>
      </c>
      <c r="H1834" t="s">
        <v>30</v>
      </c>
      <c r="I1834">
        <v>123</v>
      </c>
      <c r="J1834">
        <v>9</v>
      </c>
      <c r="K1834">
        <v>3</v>
      </c>
      <c r="L1834">
        <v>54</v>
      </c>
      <c r="M1834" t="s">
        <v>38</v>
      </c>
      <c r="N1834" t="s">
        <v>76</v>
      </c>
      <c r="O1834">
        <v>40966</v>
      </c>
      <c r="P1834">
        <v>206</v>
      </c>
      <c r="Q1834" t="s">
        <v>31</v>
      </c>
      <c r="R1834" t="str">
        <f t="shared" si="29"/>
        <v>No</v>
      </c>
    </row>
    <row r="1835" spans="1:18" x14ac:dyDescent="0.35">
      <c r="A1835" s="1">
        <v>40411</v>
      </c>
      <c r="B1835">
        <v>0</v>
      </c>
      <c r="C1835" t="s">
        <v>72</v>
      </c>
      <c r="D1835" t="s">
        <v>40</v>
      </c>
      <c r="E1835" t="s">
        <v>30</v>
      </c>
      <c r="F1835">
        <v>123</v>
      </c>
      <c r="G1835" t="s">
        <v>59</v>
      </c>
      <c r="H1835" t="s">
        <v>30</v>
      </c>
      <c r="I1835">
        <v>123</v>
      </c>
      <c r="J1835">
        <v>5</v>
      </c>
      <c r="K1835">
        <v>9</v>
      </c>
      <c r="L1835">
        <v>51</v>
      </c>
      <c r="M1835" t="s">
        <v>38</v>
      </c>
      <c r="N1835" t="s">
        <v>84</v>
      </c>
      <c r="O1835">
        <v>48158</v>
      </c>
      <c r="P1835">
        <v>174</v>
      </c>
      <c r="Q1835" t="s">
        <v>59</v>
      </c>
      <c r="R1835" t="str">
        <f t="shared" si="29"/>
        <v>Yes</v>
      </c>
    </row>
    <row r="1836" spans="1:18" x14ac:dyDescent="0.35">
      <c r="A1836" s="1">
        <v>40411</v>
      </c>
      <c r="B1836">
        <v>0</v>
      </c>
      <c r="C1836" t="s">
        <v>72</v>
      </c>
      <c r="D1836" t="s">
        <v>44</v>
      </c>
      <c r="E1836" t="s">
        <v>30</v>
      </c>
      <c r="F1836">
        <v>123</v>
      </c>
      <c r="G1836" t="s">
        <v>41</v>
      </c>
      <c r="H1836" t="s">
        <v>30</v>
      </c>
      <c r="I1836">
        <v>122</v>
      </c>
      <c r="J1836">
        <v>5</v>
      </c>
      <c r="K1836">
        <v>4</v>
      </c>
      <c r="L1836">
        <v>54</v>
      </c>
      <c r="M1836" t="s">
        <v>20</v>
      </c>
      <c r="N1836" t="s">
        <v>42</v>
      </c>
      <c r="O1836">
        <v>16202</v>
      </c>
      <c r="P1836">
        <v>180</v>
      </c>
      <c r="Q1836" t="s">
        <v>44</v>
      </c>
      <c r="R1836" t="str">
        <f t="shared" si="29"/>
        <v>No</v>
      </c>
    </row>
    <row r="1837" spans="1:18" x14ac:dyDescent="0.35">
      <c r="A1837" s="1">
        <v>40411</v>
      </c>
      <c r="B1837">
        <v>0</v>
      </c>
      <c r="C1837" t="s">
        <v>72</v>
      </c>
      <c r="D1837" t="s">
        <v>63</v>
      </c>
      <c r="E1837" t="s">
        <v>18</v>
      </c>
      <c r="F1837">
        <v>122</v>
      </c>
      <c r="G1837" t="s">
        <v>60</v>
      </c>
      <c r="H1837" t="s">
        <v>18</v>
      </c>
      <c r="I1837">
        <v>124</v>
      </c>
      <c r="J1837">
        <v>1</v>
      </c>
      <c r="K1837">
        <v>3</v>
      </c>
      <c r="L1837">
        <v>51</v>
      </c>
      <c r="M1837" t="s">
        <v>20</v>
      </c>
      <c r="N1837" t="s">
        <v>61</v>
      </c>
      <c r="O1837">
        <v>37631</v>
      </c>
      <c r="P1837">
        <v>165</v>
      </c>
      <c r="Q1837" t="s">
        <v>60</v>
      </c>
      <c r="R1837" t="str">
        <f t="shared" si="29"/>
        <v>Yes</v>
      </c>
    </row>
    <row r="1838" spans="1:18" x14ac:dyDescent="0.35">
      <c r="A1838" s="1">
        <v>40411</v>
      </c>
      <c r="B1838">
        <v>0</v>
      </c>
      <c r="C1838" t="s">
        <v>72</v>
      </c>
      <c r="D1838" t="s">
        <v>50</v>
      </c>
      <c r="E1838" t="s">
        <v>18</v>
      </c>
      <c r="F1838">
        <v>123</v>
      </c>
      <c r="G1838" t="s">
        <v>49</v>
      </c>
      <c r="H1838" t="s">
        <v>18</v>
      </c>
      <c r="I1838">
        <v>124</v>
      </c>
      <c r="J1838">
        <v>4</v>
      </c>
      <c r="K1838">
        <v>5</v>
      </c>
      <c r="L1838">
        <v>51</v>
      </c>
      <c r="M1838" t="s">
        <v>38</v>
      </c>
      <c r="N1838" t="s">
        <v>79</v>
      </c>
      <c r="O1838">
        <v>41099</v>
      </c>
      <c r="P1838">
        <v>179</v>
      </c>
      <c r="Q1838" t="s">
        <v>49</v>
      </c>
      <c r="R1838" t="str">
        <f t="shared" si="29"/>
        <v>Yes</v>
      </c>
    </row>
    <row r="1839" spans="1:18" x14ac:dyDescent="0.35">
      <c r="A1839" s="1">
        <v>40411</v>
      </c>
      <c r="B1839">
        <v>0</v>
      </c>
      <c r="C1839" t="s">
        <v>72</v>
      </c>
      <c r="D1839" t="s">
        <v>66</v>
      </c>
      <c r="E1839" t="s">
        <v>18</v>
      </c>
      <c r="F1839">
        <v>122</v>
      </c>
      <c r="G1839" t="s">
        <v>17</v>
      </c>
      <c r="H1839" t="s">
        <v>18</v>
      </c>
      <c r="I1839">
        <v>122</v>
      </c>
      <c r="J1839">
        <v>3</v>
      </c>
      <c r="K1839">
        <v>6</v>
      </c>
      <c r="L1839">
        <v>51</v>
      </c>
      <c r="M1839" t="s">
        <v>20</v>
      </c>
      <c r="N1839" t="s">
        <v>65</v>
      </c>
      <c r="O1839">
        <v>21721</v>
      </c>
      <c r="P1839">
        <v>192</v>
      </c>
      <c r="Q1839" t="s">
        <v>17</v>
      </c>
      <c r="R1839" t="str">
        <f t="shared" si="29"/>
        <v>Yes</v>
      </c>
    </row>
    <row r="1840" spans="1:18" x14ac:dyDescent="0.35">
      <c r="A1840" s="1">
        <v>40411</v>
      </c>
      <c r="B1840">
        <v>0</v>
      </c>
      <c r="C1840" t="s">
        <v>72</v>
      </c>
      <c r="D1840" t="s">
        <v>53</v>
      </c>
      <c r="E1840" t="s">
        <v>18</v>
      </c>
      <c r="F1840">
        <v>123</v>
      </c>
      <c r="G1840" t="s">
        <v>22</v>
      </c>
      <c r="H1840" t="s">
        <v>18</v>
      </c>
      <c r="I1840">
        <v>124</v>
      </c>
      <c r="J1840">
        <v>5</v>
      </c>
      <c r="K1840">
        <v>8</v>
      </c>
      <c r="L1840">
        <v>51</v>
      </c>
      <c r="M1840" t="s">
        <v>20</v>
      </c>
      <c r="N1840" t="s">
        <v>85</v>
      </c>
      <c r="O1840">
        <v>49435</v>
      </c>
      <c r="P1840">
        <v>193</v>
      </c>
      <c r="Q1840" t="s">
        <v>22</v>
      </c>
      <c r="R1840" t="str">
        <f t="shared" si="29"/>
        <v>Yes</v>
      </c>
    </row>
    <row r="1841" spans="1:18" x14ac:dyDescent="0.35">
      <c r="A1841" s="1">
        <v>40411</v>
      </c>
      <c r="B1841">
        <v>0</v>
      </c>
      <c r="C1841" t="s">
        <v>72</v>
      </c>
      <c r="D1841" t="s">
        <v>62</v>
      </c>
      <c r="E1841" t="s">
        <v>18</v>
      </c>
      <c r="F1841">
        <v>122</v>
      </c>
      <c r="G1841" t="s">
        <v>68</v>
      </c>
      <c r="H1841" t="s">
        <v>18</v>
      </c>
      <c r="I1841">
        <v>123</v>
      </c>
      <c r="J1841">
        <v>5</v>
      </c>
      <c r="K1841">
        <v>6</v>
      </c>
      <c r="L1841">
        <v>51</v>
      </c>
      <c r="M1841" t="s">
        <v>20</v>
      </c>
      <c r="N1841" t="s">
        <v>69</v>
      </c>
      <c r="O1841">
        <v>40056</v>
      </c>
      <c r="P1841">
        <v>215</v>
      </c>
      <c r="Q1841" t="s">
        <v>68</v>
      </c>
      <c r="R1841" t="str">
        <f t="shared" si="29"/>
        <v>Yes</v>
      </c>
    </row>
    <row r="1842" spans="1:18" x14ac:dyDescent="0.35">
      <c r="A1842" s="1">
        <v>40411</v>
      </c>
      <c r="B1842">
        <v>0</v>
      </c>
      <c r="C1842" t="s">
        <v>72</v>
      </c>
      <c r="D1842" t="s">
        <v>26</v>
      </c>
      <c r="E1842" t="s">
        <v>18</v>
      </c>
      <c r="F1842">
        <v>123</v>
      </c>
      <c r="G1842" t="s">
        <v>25</v>
      </c>
      <c r="H1842" t="s">
        <v>18</v>
      </c>
      <c r="I1842">
        <v>122</v>
      </c>
      <c r="J1842">
        <v>8</v>
      </c>
      <c r="K1842">
        <v>1</v>
      </c>
      <c r="L1842">
        <v>54</v>
      </c>
      <c r="M1842" t="s">
        <v>20</v>
      </c>
      <c r="N1842" t="s">
        <v>80</v>
      </c>
      <c r="O1842">
        <v>45266</v>
      </c>
      <c r="P1842">
        <v>186</v>
      </c>
      <c r="Q1842" t="s">
        <v>26</v>
      </c>
      <c r="R1842" t="str">
        <f t="shared" si="29"/>
        <v>No</v>
      </c>
    </row>
    <row r="1843" spans="1:18" x14ac:dyDescent="0.35">
      <c r="A1843" s="1">
        <v>40411</v>
      </c>
      <c r="B1843">
        <v>0</v>
      </c>
      <c r="C1843" t="s">
        <v>72</v>
      </c>
      <c r="D1843" t="s">
        <v>19</v>
      </c>
      <c r="E1843" t="s">
        <v>18</v>
      </c>
      <c r="F1843">
        <v>123</v>
      </c>
      <c r="G1843" t="s">
        <v>23</v>
      </c>
      <c r="H1843" t="s">
        <v>18</v>
      </c>
      <c r="I1843">
        <v>123</v>
      </c>
      <c r="J1843">
        <v>5</v>
      </c>
      <c r="K1843">
        <v>1</v>
      </c>
      <c r="L1843">
        <v>30</v>
      </c>
      <c r="M1843" t="s">
        <v>20</v>
      </c>
      <c r="N1843" t="s">
        <v>24</v>
      </c>
      <c r="O1843">
        <v>28759</v>
      </c>
      <c r="P1843">
        <v>99</v>
      </c>
      <c r="Q1843" t="s">
        <v>19</v>
      </c>
      <c r="R1843" t="str">
        <f t="shared" si="29"/>
        <v>No</v>
      </c>
    </row>
    <row r="1844" spans="1:18" x14ac:dyDescent="0.35">
      <c r="A1844" s="1">
        <v>40411</v>
      </c>
      <c r="B1844">
        <v>0</v>
      </c>
      <c r="C1844" t="s">
        <v>72</v>
      </c>
      <c r="D1844" t="s">
        <v>70</v>
      </c>
      <c r="E1844" t="s">
        <v>18</v>
      </c>
      <c r="F1844">
        <v>124</v>
      </c>
      <c r="G1844" t="s">
        <v>52</v>
      </c>
      <c r="H1844" t="s">
        <v>18</v>
      </c>
      <c r="I1844">
        <v>120</v>
      </c>
      <c r="J1844">
        <v>1</v>
      </c>
      <c r="K1844">
        <v>5</v>
      </c>
      <c r="L1844">
        <v>51</v>
      </c>
      <c r="M1844" t="s">
        <v>20</v>
      </c>
      <c r="N1844" t="s">
        <v>82</v>
      </c>
      <c r="O1844">
        <v>44477</v>
      </c>
      <c r="P1844">
        <v>159</v>
      </c>
      <c r="Q1844" t="s">
        <v>52</v>
      </c>
      <c r="R1844" t="str">
        <f t="shared" si="29"/>
        <v>Yes</v>
      </c>
    </row>
    <row r="1845" spans="1:18" x14ac:dyDescent="0.35">
      <c r="A1845" s="1">
        <v>40412</v>
      </c>
      <c r="B1845">
        <v>0</v>
      </c>
      <c r="C1845" t="s">
        <v>73</v>
      </c>
      <c r="D1845" t="s">
        <v>47</v>
      </c>
      <c r="E1845" t="s">
        <v>30</v>
      </c>
      <c r="F1845">
        <v>123</v>
      </c>
      <c r="G1845" t="s">
        <v>43</v>
      </c>
      <c r="H1845" t="s">
        <v>30</v>
      </c>
      <c r="I1845">
        <v>125</v>
      </c>
      <c r="J1845">
        <v>6</v>
      </c>
      <c r="K1845">
        <v>4</v>
      </c>
      <c r="L1845">
        <v>54</v>
      </c>
      <c r="M1845" t="s">
        <v>38</v>
      </c>
      <c r="N1845" t="s">
        <v>56</v>
      </c>
      <c r="O1845">
        <v>14788</v>
      </c>
      <c r="P1845">
        <v>154</v>
      </c>
      <c r="Q1845" t="s">
        <v>47</v>
      </c>
      <c r="R1845" t="str">
        <f t="shared" si="29"/>
        <v>No</v>
      </c>
    </row>
    <row r="1846" spans="1:18" x14ac:dyDescent="0.35">
      <c r="A1846" s="1">
        <v>40412</v>
      </c>
      <c r="B1846">
        <v>0</v>
      </c>
      <c r="C1846" t="s">
        <v>73</v>
      </c>
      <c r="D1846" t="s">
        <v>46</v>
      </c>
      <c r="E1846" t="s">
        <v>30</v>
      </c>
      <c r="F1846">
        <v>123</v>
      </c>
      <c r="G1846" t="s">
        <v>58</v>
      </c>
      <c r="H1846" t="s">
        <v>30</v>
      </c>
      <c r="I1846">
        <v>125</v>
      </c>
      <c r="J1846">
        <v>0</v>
      </c>
      <c r="K1846">
        <v>5</v>
      </c>
      <c r="L1846">
        <v>51</v>
      </c>
      <c r="M1846" t="s">
        <v>38</v>
      </c>
      <c r="N1846" t="s">
        <v>86</v>
      </c>
      <c r="O1846">
        <v>37506</v>
      </c>
      <c r="P1846">
        <v>165</v>
      </c>
      <c r="Q1846" t="s">
        <v>58</v>
      </c>
      <c r="R1846" t="str">
        <f t="shared" si="29"/>
        <v>Yes</v>
      </c>
    </row>
    <row r="1847" spans="1:18" x14ac:dyDescent="0.35">
      <c r="A1847" s="1">
        <v>40412</v>
      </c>
      <c r="B1847">
        <v>0</v>
      </c>
      <c r="C1847" t="s">
        <v>73</v>
      </c>
      <c r="D1847" t="s">
        <v>33</v>
      </c>
      <c r="E1847" t="s">
        <v>30</v>
      </c>
      <c r="F1847">
        <v>124</v>
      </c>
      <c r="G1847" t="s">
        <v>36</v>
      </c>
      <c r="H1847" t="s">
        <v>30</v>
      </c>
      <c r="I1847">
        <v>124</v>
      </c>
      <c r="J1847">
        <v>1</v>
      </c>
      <c r="K1847">
        <v>8</v>
      </c>
      <c r="L1847">
        <v>51</v>
      </c>
      <c r="M1847" t="s">
        <v>38</v>
      </c>
      <c r="N1847" t="s">
        <v>57</v>
      </c>
      <c r="O1847">
        <v>35104</v>
      </c>
      <c r="P1847">
        <v>153</v>
      </c>
      <c r="Q1847" t="s">
        <v>36</v>
      </c>
      <c r="R1847" t="str">
        <f t="shared" si="29"/>
        <v>Yes</v>
      </c>
    </row>
    <row r="1848" spans="1:18" x14ac:dyDescent="0.35">
      <c r="A1848" s="1">
        <v>40412</v>
      </c>
      <c r="B1848">
        <v>0</v>
      </c>
      <c r="C1848" t="s">
        <v>73</v>
      </c>
      <c r="D1848" t="s">
        <v>34</v>
      </c>
      <c r="E1848" t="s">
        <v>30</v>
      </c>
      <c r="F1848">
        <v>124</v>
      </c>
      <c r="G1848" t="s">
        <v>37</v>
      </c>
      <c r="H1848" t="s">
        <v>30</v>
      </c>
      <c r="I1848">
        <v>124</v>
      </c>
      <c r="J1848">
        <v>2</v>
      </c>
      <c r="K1848">
        <v>3</v>
      </c>
      <c r="L1848">
        <v>59</v>
      </c>
      <c r="M1848" t="s">
        <v>38</v>
      </c>
      <c r="N1848" t="s">
        <v>39</v>
      </c>
      <c r="O1848">
        <v>18877</v>
      </c>
      <c r="P1848">
        <v>181</v>
      </c>
      <c r="Q1848" t="s">
        <v>37</v>
      </c>
      <c r="R1848" t="str">
        <f t="shared" si="29"/>
        <v>Yes</v>
      </c>
    </row>
    <row r="1849" spans="1:18" x14ac:dyDescent="0.35">
      <c r="A1849" s="1">
        <v>40412</v>
      </c>
      <c r="B1849">
        <v>0</v>
      </c>
      <c r="C1849" t="s">
        <v>73</v>
      </c>
      <c r="D1849" t="s">
        <v>31</v>
      </c>
      <c r="E1849" t="s">
        <v>30</v>
      </c>
      <c r="F1849">
        <v>125</v>
      </c>
      <c r="G1849" t="s">
        <v>29</v>
      </c>
      <c r="H1849" t="s">
        <v>30</v>
      </c>
      <c r="I1849">
        <v>124</v>
      </c>
      <c r="J1849">
        <v>0</v>
      </c>
      <c r="K1849">
        <v>4</v>
      </c>
      <c r="L1849">
        <v>51</v>
      </c>
      <c r="M1849" t="s">
        <v>20</v>
      </c>
      <c r="N1849" t="s">
        <v>76</v>
      </c>
      <c r="O1849">
        <v>40385</v>
      </c>
      <c r="P1849">
        <v>168</v>
      </c>
      <c r="Q1849" t="s">
        <v>29</v>
      </c>
      <c r="R1849" t="str">
        <f t="shared" si="29"/>
        <v>Yes</v>
      </c>
    </row>
    <row r="1850" spans="1:18" x14ac:dyDescent="0.35">
      <c r="A1850" s="1">
        <v>40412</v>
      </c>
      <c r="B1850">
        <v>0</v>
      </c>
      <c r="C1850" t="s">
        <v>73</v>
      </c>
      <c r="D1850" t="s">
        <v>40</v>
      </c>
      <c r="E1850" t="s">
        <v>30</v>
      </c>
      <c r="F1850">
        <v>124</v>
      </c>
      <c r="G1850" t="s">
        <v>59</v>
      </c>
      <c r="H1850" t="s">
        <v>30</v>
      </c>
      <c r="I1850">
        <v>124</v>
      </c>
      <c r="J1850">
        <v>0</v>
      </c>
      <c r="K1850">
        <v>10</v>
      </c>
      <c r="L1850">
        <v>51</v>
      </c>
      <c r="M1850" t="s">
        <v>38</v>
      </c>
      <c r="N1850" t="s">
        <v>84</v>
      </c>
      <c r="O1850">
        <v>46778</v>
      </c>
      <c r="P1850">
        <v>161</v>
      </c>
      <c r="Q1850" t="s">
        <v>59</v>
      </c>
      <c r="R1850" t="str">
        <f t="shared" si="29"/>
        <v>Yes</v>
      </c>
    </row>
    <row r="1851" spans="1:18" x14ac:dyDescent="0.35">
      <c r="A1851" s="1">
        <v>40412</v>
      </c>
      <c r="B1851">
        <v>0</v>
      </c>
      <c r="C1851" t="s">
        <v>73</v>
      </c>
      <c r="D1851" t="s">
        <v>44</v>
      </c>
      <c r="E1851" t="s">
        <v>30</v>
      </c>
      <c r="F1851">
        <v>124</v>
      </c>
      <c r="G1851" t="s">
        <v>41</v>
      </c>
      <c r="H1851" t="s">
        <v>30</v>
      </c>
      <c r="I1851">
        <v>123</v>
      </c>
      <c r="J1851">
        <v>3</v>
      </c>
      <c r="K1851">
        <v>2</v>
      </c>
      <c r="L1851">
        <v>54</v>
      </c>
      <c r="M1851" t="s">
        <v>38</v>
      </c>
      <c r="N1851" t="s">
        <v>42</v>
      </c>
      <c r="O1851">
        <v>18749</v>
      </c>
      <c r="P1851">
        <v>154</v>
      </c>
      <c r="Q1851" t="s">
        <v>44</v>
      </c>
      <c r="R1851" t="str">
        <f t="shared" si="29"/>
        <v>No</v>
      </c>
    </row>
    <row r="1852" spans="1:18" x14ac:dyDescent="0.35">
      <c r="A1852" s="1">
        <v>40412</v>
      </c>
      <c r="B1852">
        <v>0</v>
      </c>
      <c r="C1852" t="s">
        <v>73</v>
      </c>
      <c r="D1852" t="s">
        <v>63</v>
      </c>
      <c r="E1852" t="s">
        <v>18</v>
      </c>
      <c r="F1852">
        <v>123</v>
      </c>
      <c r="G1852" t="s">
        <v>60</v>
      </c>
      <c r="H1852" t="s">
        <v>18</v>
      </c>
      <c r="I1852">
        <v>125</v>
      </c>
      <c r="J1852">
        <v>1</v>
      </c>
      <c r="K1852">
        <v>0</v>
      </c>
      <c r="L1852">
        <v>54</v>
      </c>
      <c r="M1852" t="s">
        <v>38</v>
      </c>
      <c r="N1852" t="s">
        <v>61</v>
      </c>
      <c r="O1852">
        <v>30397</v>
      </c>
      <c r="P1852">
        <v>153</v>
      </c>
      <c r="Q1852" t="s">
        <v>63</v>
      </c>
      <c r="R1852" t="str">
        <f t="shared" si="29"/>
        <v>No</v>
      </c>
    </row>
    <row r="1853" spans="1:18" x14ac:dyDescent="0.35">
      <c r="A1853" s="1">
        <v>40412</v>
      </c>
      <c r="B1853">
        <v>0</v>
      </c>
      <c r="C1853" t="s">
        <v>73</v>
      </c>
      <c r="D1853" t="s">
        <v>50</v>
      </c>
      <c r="E1853" t="s">
        <v>18</v>
      </c>
      <c r="F1853">
        <v>124</v>
      </c>
      <c r="G1853" t="s">
        <v>49</v>
      </c>
      <c r="H1853" t="s">
        <v>18</v>
      </c>
      <c r="I1853">
        <v>125</v>
      </c>
      <c r="J1853">
        <v>16</v>
      </c>
      <c r="K1853">
        <v>5</v>
      </c>
      <c r="L1853">
        <v>54</v>
      </c>
      <c r="M1853" t="s">
        <v>38</v>
      </c>
      <c r="N1853" t="s">
        <v>79</v>
      </c>
      <c r="O1853">
        <v>37518</v>
      </c>
      <c r="P1853">
        <v>174</v>
      </c>
      <c r="Q1853" t="s">
        <v>50</v>
      </c>
      <c r="R1853" t="str">
        <f t="shared" si="29"/>
        <v>No</v>
      </c>
    </row>
    <row r="1854" spans="1:18" x14ac:dyDescent="0.35">
      <c r="A1854" s="1">
        <v>40412</v>
      </c>
      <c r="B1854">
        <v>0</v>
      </c>
      <c r="C1854" t="s">
        <v>73</v>
      </c>
      <c r="D1854" t="s">
        <v>66</v>
      </c>
      <c r="E1854" t="s">
        <v>18</v>
      </c>
      <c r="F1854">
        <v>123</v>
      </c>
      <c r="G1854" t="s">
        <v>17</v>
      </c>
      <c r="H1854" t="s">
        <v>18</v>
      </c>
      <c r="I1854">
        <v>123</v>
      </c>
      <c r="J1854">
        <v>2</v>
      </c>
      <c r="K1854">
        <v>1</v>
      </c>
      <c r="L1854">
        <v>54</v>
      </c>
      <c r="M1854" t="s">
        <v>38</v>
      </c>
      <c r="N1854" t="s">
        <v>65</v>
      </c>
      <c r="O1854">
        <v>18886</v>
      </c>
      <c r="P1854">
        <v>165</v>
      </c>
      <c r="Q1854" t="s">
        <v>66</v>
      </c>
      <c r="R1854" t="str">
        <f t="shared" si="29"/>
        <v>No</v>
      </c>
    </row>
    <row r="1855" spans="1:18" x14ac:dyDescent="0.35">
      <c r="A1855" s="1">
        <v>40412</v>
      </c>
      <c r="B1855">
        <v>0</v>
      </c>
      <c r="C1855" t="s">
        <v>73</v>
      </c>
      <c r="D1855" t="s">
        <v>53</v>
      </c>
      <c r="E1855" t="s">
        <v>18</v>
      </c>
      <c r="F1855">
        <v>124</v>
      </c>
      <c r="G1855" t="s">
        <v>22</v>
      </c>
      <c r="H1855" t="s">
        <v>18</v>
      </c>
      <c r="I1855">
        <v>125</v>
      </c>
      <c r="J1855">
        <v>5</v>
      </c>
      <c r="K1855">
        <v>2</v>
      </c>
      <c r="L1855">
        <v>54</v>
      </c>
      <c r="M1855" t="s">
        <v>38</v>
      </c>
      <c r="N1855" t="s">
        <v>85</v>
      </c>
      <c r="O1855">
        <v>44788</v>
      </c>
      <c r="P1855">
        <v>185</v>
      </c>
      <c r="Q1855" t="s">
        <v>53</v>
      </c>
      <c r="R1855" t="str">
        <f t="shared" si="29"/>
        <v>No</v>
      </c>
    </row>
    <row r="1856" spans="1:18" x14ac:dyDescent="0.35">
      <c r="A1856" s="1">
        <v>40412</v>
      </c>
      <c r="B1856">
        <v>0</v>
      </c>
      <c r="C1856" t="s">
        <v>73</v>
      </c>
      <c r="D1856" t="s">
        <v>62</v>
      </c>
      <c r="E1856" t="s">
        <v>18</v>
      </c>
      <c r="F1856">
        <v>123</v>
      </c>
      <c r="G1856" t="s">
        <v>68</v>
      </c>
      <c r="H1856" t="s">
        <v>18</v>
      </c>
      <c r="I1856">
        <v>124</v>
      </c>
      <c r="J1856">
        <v>7</v>
      </c>
      <c r="K1856">
        <v>3</v>
      </c>
      <c r="L1856">
        <v>54</v>
      </c>
      <c r="M1856" t="s">
        <v>38</v>
      </c>
      <c r="N1856" t="s">
        <v>69</v>
      </c>
      <c r="O1856">
        <v>32126</v>
      </c>
      <c r="P1856">
        <v>186</v>
      </c>
      <c r="Q1856" t="s">
        <v>62</v>
      </c>
      <c r="R1856" t="str">
        <f t="shared" si="29"/>
        <v>No</v>
      </c>
    </row>
    <row r="1857" spans="1:18" x14ac:dyDescent="0.35">
      <c r="A1857" s="1">
        <v>40412</v>
      </c>
      <c r="B1857">
        <v>0</v>
      </c>
      <c r="C1857" t="s">
        <v>73</v>
      </c>
      <c r="D1857" t="s">
        <v>26</v>
      </c>
      <c r="E1857" t="s">
        <v>18</v>
      </c>
      <c r="F1857">
        <v>124</v>
      </c>
      <c r="G1857" t="s">
        <v>25</v>
      </c>
      <c r="H1857" t="s">
        <v>18</v>
      </c>
      <c r="I1857">
        <v>123</v>
      </c>
      <c r="J1857">
        <v>0</v>
      </c>
      <c r="K1857">
        <v>6</v>
      </c>
      <c r="L1857">
        <v>51</v>
      </c>
      <c r="M1857" t="s">
        <v>38</v>
      </c>
      <c r="N1857" t="s">
        <v>80</v>
      </c>
      <c r="O1857">
        <v>44539</v>
      </c>
      <c r="P1857">
        <v>175</v>
      </c>
      <c r="Q1857" t="s">
        <v>25</v>
      </c>
      <c r="R1857" t="str">
        <f t="shared" si="29"/>
        <v>Yes</v>
      </c>
    </row>
    <row r="1858" spans="1:18" x14ac:dyDescent="0.35">
      <c r="A1858" s="1">
        <v>40412</v>
      </c>
      <c r="B1858">
        <v>0</v>
      </c>
      <c r="C1858" t="s">
        <v>73</v>
      </c>
      <c r="D1858" t="s">
        <v>19</v>
      </c>
      <c r="E1858" t="s">
        <v>18</v>
      </c>
      <c r="F1858">
        <v>124</v>
      </c>
      <c r="G1858" t="s">
        <v>23</v>
      </c>
      <c r="H1858" t="s">
        <v>18</v>
      </c>
      <c r="I1858">
        <v>124</v>
      </c>
      <c r="J1858">
        <v>1</v>
      </c>
      <c r="K1858">
        <v>2</v>
      </c>
      <c r="L1858">
        <v>51</v>
      </c>
      <c r="M1858" t="s">
        <v>38</v>
      </c>
      <c r="N1858" t="s">
        <v>24</v>
      </c>
      <c r="O1858">
        <v>24730</v>
      </c>
      <c r="P1858">
        <v>138</v>
      </c>
      <c r="Q1858" t="s">
        <v>23</v>
      </c>
      <c r="R1858" t="str">
        <f t="shared" si="29"/>
        <v>Yes</v>
      </c>
    </row>
    <row r="1859" spans="1:18" x14ac:dyDescent="0.35">
      <c r="A1859" s="1">
        <v>40412</v>
      </c>
      <c r="B1859">
        <v>0</v>
      </c>
      <c r="C1859" t="s">
        <v>73</v>
      </c>
      <c r="D1859" t="s">
        <v>70</v>
      </c>
      <c r="E1859" t="s">
        <v>18</v>
      </c>
      <c r="F1859">
        <v>125</v>
      </c>
      <c r="G1859" t="s">
        <v>52</v>
      </c>
      <c r="H1859" t="s">
        <v>18</v>
      </c>
      <c r="I1859">
        <v>121</v>
      </c>
      <c r="J1859">
        <v>0</v>
      </c>
      <c r="K1859">
        <v>9</v>
      </c>
      <c r="L1859">
        <v>51</v>
      </c>
      <c r="M1859" t="s">
        <v>38</v>
      </c>
      <c r="N1859" t="s">
        <v>82</v>
      </c>
      <c r="O1859">
        <v>42638</v>
      </c>
      <c r="P1859">
        <v>161</v>
      </c>
      <c r="Q1859" t="s">
        <v>52</v>
      </c>
      <c r="R1859" t="str">
        <f t="shared" ref="R1859:R1922" si="30">IF(K1859&gt;J1859,"Yes","No")</f>
        <v>Yes</v>
      </c>
    </row>
    <row r="1860" spans="1:18" x14ac:dyDescent="0.35">
      <c r="A1860" s="1">
        <v>40413</v>
      </c>
      <c r="B1860">
        <v>0</v>
      </c>
      <c r="C1860" t="s">
        <v>74</v>
      </c>
      <c r="D1860" t="s">
        <v>44</v>
      </c>
      <c r="E1860" t="s">
        <v>30</v>
      </c>
      <c r="F1860">
        <v>125</v>
      </c>
      <c r="G1860" t="s">
        <v>31</v>
      </c>
      <c r="H1860" t="s">
        <v>30</v>
      </c>
      <c r="I1860">
        <v>126</v>
      </c>
      <c r="J1860">
        <v>4</v>
      </c>
      <c r="K1860">
        <v>3</v>
      </c>
      <c r="L1860">
        <v>54</v>
      </c>
      <c r="M1860" t="s">
        <v>20</v>
      </c>
      <c r="N1860" t="s">
        <v>32</v>
      </c>
      <c r="O1860">
        <v>39127</v>
      </c>
      <c r="P1860">
        <v>188</v>
      </c>
      <c r="Q1860" t="s">
        <v>44</v>
      </c>
      <c r="R1860" t="str">
        <f t="shared" si="30"/>
        <v>No</v>
      </c>
    </row>
    <row r="1861" spans="1:18" x14ac:dyDescent="0.35">
      <c r="A1861" s="1">
        <v>40413</v>
      </c>
      <c r="B1861">
        <v>0</v>
      </c>
      <c r="C1861" t="s">
        <v>74</v>
      </c>
      <c r="D1861" t="s">
        <v>40</v>
      </c>
      <c r="E1861" t="s">
        <v>30</v>
      </c>
      <c r="F1861">
        <v>125</v>
      </c>
      <c r="G1861" t="s">
        <v>58</v>
      </c>
      <c r="H1861" t="s">
        <v>30</v>
      </c>
      <c r="I1861">
        <v>126</v>
      </c>
      <c r="J1861">
        <v>3</v>
      </c>
      <c r="K1861">
        <v>6</v>
      </c>
      <c r="L1861">
        <v>51</v>
      </c>
      <c r="M1861" t="s">
        <v>20</v>
      </c>
      <c r="N1861" t="s">
        <v>86</v>
      </c>
      <c r="O1861">
        <v>37133</v>
      </c>
      <c r="P1861">
        <v>141</v>
      </c>
      <c r="Q1861" t="s">
        <v>58</v>
      </c>
      <c r="R1861" t="str">
        <f t="shared" si="30"/>
        <v>Yes</v>
      </c>
    </row>
    <row r="1862" spans="1:18" x14ac:dyDescent="0.35">
      <c r="A1862" s="1">
        <v>40413</v>
      </c>
      <c r="B1862">
        <v>0</v>
      </c>
      <c r="C1862" t="s">
        <v>74</v>
      </c>
      <c r="D1862" t="s">
        <v>37</v>
      </c>
      <c r="E1862" t="s">
        <v>30</v>
      </c>
      <c r="F1862">
        <v>125</v>
      </c>
      <c r="G1862" t="s">
        <v>36</v>
      </c>
      <c r="H1862" t="s">
        <v>30</v>
      </c>
      <c r="I1862">
        <v>125</v>
      </c>
      <c r="J1862">
        <v>3</v>
      </c>
      <c r="K1862">
        <v>12</v>
      </c>
      <c r="L1862">
        <v>51</v>
      </c>
      <c r="M1862" t="s">
        <v>20</v>
      </c>
      <c r="N1862" t="s">
        <v>57</v>
      </c>
      <c r="O1862">
        <v>30552</v>
      </c>
      <c r="P1862">
        <v>170</v>
      </c>
      <c r="Q1862" t="s">
        <v>36</v>
      </c>
      <c r="R1862" t="str">
        <f t="shared" si="30"/>
        <v>Yes</v>
      </c>
    </row>
    <row r="1863" spans="1:18" x14ac:dyDescent="0.35">
      <c r="A1863" s="1">
        <v>40413</v>
      </c>
      <c r="B1863">
        <v>0</v>
      </c>
      <c r="C1863" t="s">
        <v>74</v>
      </c>
      <c r="D1863" t="s">
        <v>29</v>
      </c>
      <c r="E1863" t="s">
        <v>30</v>
      </c>
      <c r="F1863">
        <v>125</v>
      </c>
      <c r="G1863" t="s">
        <v>47</v>
      </c>
      <c r="H1863" t="s">
        <v>30</v>
      </c>
      <c r="I1863">
        <v>124</v>
      </c>
      <c r="J1863">
        <v>0</v>
      </c>
      <c r="K1863">
        <v>4</v>
      </c>
      <c r="L1863">
        <v>51</v>
      </c>
      <c r="M1863" t="s">
        <v>20</v>
      </c>
      <c r="N1863" t="s">
        <v>48</v>
      </c>
      <c r="O1863">
        <v>22757</v>
      </c>
      <c r="P1863">
        <v>160</v>
      </c>
      <c r="Q1863" t="s">
        <v>47</v>
      </c>
      <c r="R1863" t="str">
        <f t="shared" si="30"/>
        <v>Yes</v>
      </c>
    </row>
    <row r="1864" spans="1:18" x14ac:dyDescent="0.35">
      <c r="A1864" s="1">
        <v>40413</v>
      </c>
      <c r="B1864">
        <v>0</v>
      </c>
      <c r="C1864" t="s">
        <v>74</v>
      </c>
      <c r="D1864" t="s">
        <v>59</v>
      </c>
      <c r="E1864" t="s">
        <v>30</v>
      </c>
      <c r="F1864">
        <v>125</v>
      </c>
      <c r="G1864" t="s">
        <v>46</v>
      </c>
      <c r="H1864" t="s">
        <v>30</v>
      </c>
      <c r="I1864">
        <v>124</v>
      </c>
      <c r="J1864">
        <v>2</v>
      </c>
      <c r="K1864">
        <v>3</v>
      </c>
      <c r="L1864">
        <v>51</v>
      </c>
      <c r="M1864" t="s">
        <v>20</v>
      </c>
      <c r="N1864" t="s">
        <v>78</v>
      </c>
      <c r="O1864">
        <v>29198</v>
      </c>
      <c r="P1864">
        <v>161</v>
      </c>
      <c r="Q1864" t="s">
        <v>46</v>
      </c>
      <c r="R1864" t="str">
        <f t="shared" si="30"/>
        <v>Yes</v>
      </c>
    </row>
    <row r="1865" spans="1:18" x14ac:dyDescent="0.35">
      <c r="A1865" s="1">
        <v>40413</v>
      </c>
      <c r="B1865">
        <v>0</v>
      </c>
      <c r="C1865" t="s">
        <v>74</v>
      </c>
      <c r="D1865" t="s">
        <v>50</v>
      </c>
      <c r="E1865" t="s">
        <v>18</v>
      </c>
      <c r="F1865">
        <v>125</v>
      </c>
      <c r="G1865" t="s">
        <v>63</v>
      </c>
      <c r="H1865" t="s">
        <v>18</v>
      </c>
      <c r="I1865">
        <v>124</v>
      </c>
      <c r="J1865">
        <v>4</v>
      </c>
      <c r="K1865">
        <v>5</v>
      </c>
      <c r="L1865">
        <v>51</v>
      </c>
      <c r="M1865" t="s">
        <v>20</v>
      </c>
      <c r="N1865" t="s">
        <v>64</v>
      </c>
      <c r="O1865">
        <v>34172</v>
      </c>
      <c r="P1865">
        <v>170</v>
      </c>
      <c r="Q1865" t="s">
        <v>63</v>
      </c>
      <c r="R1865" t="str">
        <f t="shared" si="30"/>
        <v>Yes</v>
      </c>
    </row>
    <row r="1866" spans="1:18" x14ac:dyDescent="0.35">
      <c r="A1866" s="1">
        <v>40413</v>
      </c>
      <c r="B1866">
        <v>0</v>
      </c>
      <c r="C1866" t="s">
        <v>74</v>
      </c>
      <c r="D1866" t="s">
        <v>66</v>
      </c>
      <c r="E1866" t="s">
        <v>18</v>
      </c>
      <c r="F1866">
        <v>124</v>
      </c>
      <c r="G1866" t="s">
        <v>25</v>
      </c>
      <c r="H1866" t="s">
        <v>18</v>
      </c>
      <c r="I1866">
        <v>124</v>
      </c>
      <c r="J1866">
        <v>3</v>
      </c>
      <c r="K1866">
        <v>2</v>
      </c>
      <c r="L1866">
        <v>54</v>
      </c>
      <c r="M1866" t="s">
        <v>20</v>
      </c>
      <c r="N1866" t="s">
        <v>80</v>
      </c>
      <c r="O1866">
        <v>44081</v>
      </c>
      <c r="P1866">
        <v>157</v>
      </c>
      <c r="Q1866" t="s">
        <v>66</v>
      </c>
      <c r="R1866" t="str">
        <f t="shared" si="30"/>
        <v>No</v>
      </c>
    </row>
    <row r="1867" spans="1:18" x14ac:dyDescent="0.35">
      <c r="A1867" s="1">
        <v>40413</v>
      </c>
      <c r="B1867">
        <v>0</v>
      </c>
      <c r="C1867" t="s">
        <v>74</v>
      </c>
      <c r="D1867" t="s">
        <v>52</v>
      </c>
      <c r="E1867" t="s">
        <v>18</v>
      </c>
      <c r="F1867">
        <v>122</v>
      </c>
      <c r="G1867" t="s">
        <v>23</v>
      </c>
      <c r="H1867" t="s">
        <v>18</v>
      </c>
      <c r="I1867">
        <v>125</v>
      </c>
      <c r="J1867">
        <v>10</v>
      </c>
      <c r="K1867">
        <v>2</v>
      </c>
      <c r="L1867">
        <v>54</v>
      </c>
      <c r="M1867" t="s">
        <v>20</v>
      </c>
      <c r="N1867" t="s">
        <v>24</v>
      </c>
      <c r="O1867">
        <v>12393</v>
      </c>
      <c r="P1867">
        <v>188</v>
      </c>
      <c r="Q1867" t="s">
        <v>52</v>
      </c>
      <c r="R1867" t="str">
        <f t="shared" si="30"/>
        <v>No</v>
      </c>
    </row>
    <row r="1868" spans="1:18" x14ac:dyDescent="0.35">
      <c r="A1868" s="1">
        <v>40413</v>
      </c>
      <c r="B1868">
        <v>0</v>
      </c>
      <c r="C1868" t="s">
        <v>74</v>
      </c>
      <c r="D1868" t="s">
        <v>53</v>
      </c>
      <c r="E1868" t="s">
        <v>18</v>
      </c>
      <c r="F1868">
        <v>125</v>
      </c>
      <c r="G1868" t="s">
        <v>70</v>
      </c>
      <c r="H1868" t="s">
        <v>18</v>
      </c>
      <c r="I1868">
        <v>126</v>
      </c>
      <c r="J1868">
        <v>2</v>
      </c>
      <c r="K1868">
        <v>11</v>
      </c>
      <c r="L1868">
        <v>51</v>
      </c>
      <c r="M1868" t="s">
        <v>20</v>
      </c>
      <c r="N1868" t="s">
        <v>71</v>
      </c>
      <c r="O1868">
        <v>32698</v>
      </c>
      <c r="P1868">
        <v>168</v>
      </c>
      <c r="Q1868" t="s">
        <v>70</v>
      </c>
      <c r="R1868" t="str">
        <f t="shared" si="30"/>
        <v>Yes</v>
      </c>
    </row>
    <row r="1869" spans="1:18" x14ac:dyDescent="0.35">
      <c r="A1869" s="1">
        <v>40413</v>
      </c>
      <c r="B1869">
        <v>0</v>
      </c>
      <c r="C1869" t="s">
        <v>74</v>
      </c>
      <c r="D1869" t="s">
        <v>49</v>
      </c>
      <c r="E1869" t="s">
        <v>18</v>
      </c>
      <c r="F1869">
        <v>126</v>
      </c>
      <c r="G1869" t="s">
        <v>26</v>
      </c>
      <c r="H1869" t="s">
        <v>18</v>
      </c>
      <c r="I1869">
        <v>125</v>
      </c>
      <c r="J1869">
        <v>9</v>
      </c>
      <c r="K1869">
        <v>1</v>
      </c>
      <c r="L1869">
        <v>54</v>
      </c>
      <c r="M1869" t="s">
        <v>20</v>
      </c>
      <c r="N1869" t="s">
        <v>27</v>
      </c>
      <c r="O1869">
        <v>17921</v>
      </c>
      <c r="P1869">
        <v>188</v>
      </c>
      <c r="Q1869" t="s">
        <v>49</v>
      </c>
      <c r="R1869" t="str">
        <f t="shared" si="30"/>
        <v>No</v>
      </c>
    </row>
    <row r="1870" spans="1:18" x14ac:dyDescent="0.35">
      <c r="A1870" s="1">
        <v>40414</v>
      </c>
      <c r="B1870">
        <v>0</v>
      </c>
      <c r="C1870" t="s">
        <v>83</v>
      </c>
      <c r="D1870" t="s">
        <v>44</v>
      </c>
      <c r="E1870" t="s">
        <v>30</v>
      </c>
      <c r="F1870">
        <v>126</v>
      </c>
      <c r="G1870" t="s">
        <v>31</v>
      </c>
      <c r="H1870" t="s">
        <v>30</v>
      </c>
      <c r="I1870">
        <v>127</v>
      </c>
      <c r="J1870">
        <v>10</v>
      </c>
      <c r="K1870">
        <v>3</v>
      </c>
      <c r="L1870">
        <v>54</v>
      </c>
      <c r="M1870" t="s">
        <v>20</v>
      </c>
      <c r="N1870" t="s">
        <v>32</v>
      </c>
      <c r="O1870">
        <v>43577</v>
      </c>
      <c r="P1870">
        <v>191</v>
      </c>
      <c r="Q1870" t="s">
        <v>44</v>
      </c>
      <c r="R1870" t="str">
        <f t="shared" si="30"/>
        <v>No</v>
      </c>
    </row>
    <row r="1871" spans="1:18" x14ac:dyDescent="0.35">
      <c r="A1871" s="1">
        <v>40414</v>
      </c>
      <c r="B1871">
        <v>0</v>
      </c>
      <c r="C1871" t="s">
        <v>83</v>
      </c>
      <c r="D1871" t="s">
        <v>43</v>
      </c>
      <c r="E1871" t="s">
        <v>30</v>
      </c>
      <c r="F1871">
        <v>126</v>
      </c>
      <c r="G1871" t="s">
        <v>34</v>
      </c>
      <c r="H1871" t="s">
        <v>30</v>
      </c>
      <c r="I1871">
        <v>125</v>
      </c>
      <c r="J1871">
        <v>5</v>
      </c>
      <c r="K1871">
        <v>7</v>
      </c>
      <c r="L1871">
        <v>51</v>
      </c>
      <c r="M1871" t="s">
        <v>20</v>
      </c>
      <c r="N1871" t="s">
        <v>35</v>
      </c>
      <c r="O1871">
        <v>26263</v>
      </c>
      <c r="P1871">
        <v>178</v>
      </c>
      <c r="Q1871" t="s">
        <v>34</v>
      </c>
      <c r="R1871" t="str">
        <f t="shared" si="30"/>
        <v>Yes</v>
      </c>
    </row>
    <row r="1872" spans="1:18" x14ac:dyDescent="0.35">
      <c r="A1872" s="1">
        <v>40414</v>
      </c>
      <c r="B1872">
        <v>0</v>
      </c>
      <c r="C1872" t="s">
        <v>83</v>
      </c>
      <c r="D1872" t="s">
        <v>41</v>
      </c>
      <c r="E1872" t="s">
        <v>30</v>
      </c>
      <c r="F1872">
        <v>124</v>
      </c>
      <c r="G1872" t="s">
        <v>33</v>
      </c>
      <c r="H1872" t="s">
        <v>30</v>
      </c>
      <c r="I1872">
        <v>125</v>
      </c>
      <c r="J1872">
        <v>5</v>
      </c>
      <c r="K1872">
        <v>0</v>
      </c>
      <c r="L1872">
        <v>54</v>
      </c>
      <c r="M1872" t="s">
        <v>20</v>
      </c>
      <c r="N1872" t="s">
        <v>75</v>
      </c>
      <c r="O1872">
        <v>11751</v>
      </c>
      <c r="P1872">
        <v>161</v>
      </c>
      <c r="Q1872" t="s">
        <v>41</v>
      </c>
      <c r="R1872" t="str">
        <f t="shared" si="30"/>
        <v>No</v>
      </c>
    </row>
    <row r="1873" spans="1:18" x14ac:dyDescent="0.35">
      <c r="A1873" s="1">
        <v>40414</v>
      </c>
      <c r="B1873">
        <v>0</v>
      </c>
      <c r="C1873" t="s">
        <v>83</v>
      </c>
      <c r="D1873" t="s">
        <v>37</v>
      </c>
      <c r="E1873" t="s">
        <v>30</v>
      </c>
      <c r="F1873">
        <v>126</v>
      </c>
      <c r="G1873" t="s">
        <v>36</v>
      </c>
      <c r="H1873" t="s">
        <v>30</v>
      </c>
      <c r="I1873">
        <v>126</v>
      </c>
      <c r="J1873">
        <v>1</v>
      </c>
      <c r="K1873">
        <v>9</v>
      </c>
      <c r="L1873">
        <v>51</v>
      </c>
      <c r="M1873" t="s">
        <v>20</v>
      </c>
      <c r="N1873" t="s">
        <v>57</v>
      </c>
      <c r="O1873">
        <v>29043</v>
      </c>
      <c r="P1873">
        <v>157</v>
      </c>
      <c r="Q1873" t="s">
        <v>36</v>
      </c>
      <c r="R1873" t="str">
        <f t="shared" si="30"/>
        <v>Yes</v>
      </c>
    </row>
    <row r="1874" spans="1:18" x14ac:dyDescent="0.35">
      <c r="A1874" s="1">
        <v>40414</v>
      </c>
      <c r="B1874">
        <v>0</v>
      </c>
      <c r="C1874" t="s">
        <v>83</v>
      </c>
      <c r="D1874" t="s">
        <v>29</v>
      </c>
      <c r="E1874" t="s">
        <v>30</v>
      </c>
      <c r="F1874">
        <v>126</v>
      </c>
      <c r="G1874" t="s">
        <v>47</v>
      </c>
      <c r="H1874" t="s">
        <v>30</v>
      </c>
      <c r="I1874">
        <v>125</v>
      </c>
      <c r="J1874">
        <v>3</v>
      </c>
      <c r="K1874">
        <v>4</v>
      </c>
      <c r="L1874">
        <v>51</v>
      </c>
      <c r="M1874" t="s">
        <v>20</v>
      </c>
      <c r="N1874" t="s">
        <v>48</v>
      </c>
      <c r="O1874">
        <v>20107</v>
      </c>
      <c r="P1874">
        <v>145</v>
      </c>
      <c r="Q1874" t="s">
        <v>47</v>
      </c>
      <c r="R1874" t="str">
        <f t="shared" si="30"/>
        <v>Yes</v>
      </c>
    </row>
    <row r="1875" spans="1:18" x14ac:dyDescent="0.35">
      <c r="A1875" s="1">
        <v>40414</v>
      </c>
      <c r="B1875">
        <v>0</v>
      </c>
      <c r="C1875" t="s">
        <v>83</v>
      </c>
      <c r="D1875" t="s">
        <v>59</v>
      </c>
      <c r="E1875" t="s">
        <v>30</v>
      </c>
      <c r="F1875">
        <v>126</v>
      </c>
      <c r="G1875" t="s">
        <v>46</v>
      </c>
      <c r="H1875" t="s">
        <v>30</v>
      </c>
      <c r="I1875">
        <v>125</v>
      </c>
      <c r="J1875">
        <v>11</v>
      </c>
      <c r="K1875">
        <v>5</v>
      </c>
      <c r="L1875">
        <v>54</v>
      </c>
      <c r="M1875" t="s">
        <v>20</v>
      </c>
      <c r="N1875" t="s">
        <v>78</v>
      </c>
      <c r="O1875">
        <v>30567</v>
      </c>
      <c r="P1875">
        <v>184</v>
      </c>
      <c r="Q1875" t="s">
        <v>59</v>
      </c>
      <c r="R1875" t="str">
        <f t="shared" si="30"/>
        <v>No</v>
      </c>
    </row>
    <row r="1876" spans="1:18" x14ac:dyDescent="0.35">
      <c r="A1876" s="1">
        <v>40414</v>
      </c>
      <c r="B1876">
        <v>0</v>
      </c>
      <c r="C1876" t="s">
        <v>83</v>
      </c>
      <c r="D1876" t="s">
        <v>50</v>
      </c>
      <c r="E1876" t="s">
        <v>18</v>
      </c>
      <c r="F1876">
        <v>126</v>
      </c>
      <c r="G1876" t="s">
        <v>63</v>
      </c>
      <c r="H1876" t="s">
        <v>18</v>
      </c>
      <c r="I1876">
        <v>125</v>
      </c>
      <c r="J1876">
        <v>2</v>
      </c>
      <c r="K1876">
        <v>5</v>
      </c>
      <c r="L1876">
        <v>51</v>
      </c>
      <c r="M1876" t="s">
        <v>20</v>
      </c>
      <c r="N1876" t="s">
        <v>64</v>
      </c>
      <c r="O1876">
        <v>34485</v>
      </c>
      <c r="P1876">
        <v>155</v>
      </c>
      <c r="Q1876" t="s">
        <v>63</v>
      </c>
      <c r="R1876" t="str">
        <f t="shared" si="30"/>
        <v>Yes</v>
      </c>
    </row>
    <row r="1877" spans="1:18" x14ac:dyDescent="0.35">
      <c r="A1877" s="1">
        <v>40414</v>
      </c>
      <c r="B1877">
        <v>0</v>
      </c>
      <c r="C1877" t="s">
        <v>83</v>
      </c>
      <c r="D1877" t="s">
        <v>22</v>
      </c>
      <c r="E1877" t="s">
        <v>18</v>
      </c>
      <c r="F1877">
        <v>126</v>
      </c>
      <c r="G1877" t="s">
        <v>68</v>
      </c>
      <c r="H1877" t="s">
        <v>18</v>
      </c>
      <c r="I1877">
        <v>125</v>
      </c>
      <c r="J1877">
        <v>5</v>
      </c>
      <c r="K1877">
        <v>3</v>
      </c>
      <c r="L1877">
        <v>54</v>
      </c>
      <c r="M1877" t="s">
        <v>20</v>
      </c>
      <c r="N1877" t="s">
        <v>69</v>
      </c>
      <c r="O1877">
        <v>39055</v>
      </c>
      <c r="P1877">
        <v>188</v>
      </c>
      <c r="Q1877" t="s">
        <v>22</v>
      </c>
      <c r="R1877" t="str">
        <f t="shared" si="30"/>
        <v>No</v>
      </c>
    </row>
    <row r="1878" spans="1:18" x14ac:dyDescent="0.35">
      <c r="A1878" s="1">
        <v>40414</v>
      </c>
      <c r="B1878">
        <v>0</v>
      </c>
      <c r="C1878" t="s">
        <v>83</v>
      </c>
      <c r="D1878" t="s">
        <v>17</v>
      </c>
      <c r="E1878" t="s">
        <v>18</v>
      </c>
      <c r="F1878">
        <v>124</v>
      </c>
      <c r="G1878" t="s">
        <v>19</v>
      </c>
      <c r="H1878" t="s">
        <v>18</v>
      </c>
      <c r="I1878">
        <v>125</v>
      </c>
      <c r="J1878">
        <v>5</v>
      </c>
      <c r="K1878">
        <v>6</v>
      </c>
      <c r="L1878">
        <v>53</v>
      </c>
      <c r="M1878" t="s">
        <v>20</v>
      </c>
      <c r="N1878" t="s">
        <v>21</v>
      </c>
      <c r="O1878">
        <v>27136</v>
      </c>
      <c r="P1878">
        <v>183</v>
      </c>
      <c r="Q1878" t="s">
        <v>19</v>
      </c>
      <c r="R1878" t="str">
        <f t="shared" si="30"/>
        <v>Yes</v>
      </c>
    </row>
    <row r="1879" spans="1:18" x14ac:dyDescent="0.35">
      <c r="A1879" s="1">
        <v>40414</v>
      </c>
      <c r="B1879">
        <v>0</v>
      </c>
      <c r="C1879" t="s">
        <v>83</v>
      </c>
      <c r="D1879" t="s">
        <v>66</v>
      </c>
      <c r="E1879" t="s">
        <v>18</v>
      </c>
      <c r="F1879">
        <v>125</v>
      </c>
      <c r="G1879" t="s">
        <v>25</v>
      </c>
      <c r="H1879" t="s">
        <v>18</v>
      </c>
      <c r="I1879">
        <v>125</v>
      </c>
      <c r="J1879">
        <v>4</v>
      </c>
      <c r="K1879">
        <v>2</v>
      </c>
      <c r="L1879">
        <v>96</v>
      </c>
      <c r="M1879" t="s">
        <v>20</v>
      </c>
      <c r="N1879" t="s">
        <v>80</v>
      </c>
      <c r="O1879">
        <v>45494</v>
      </c>
      <c r="P1879">
        <v>320</v>
      </c>
      <c r="Q1879" t="s">
        <v>66</v>
      </c>
      <c r="R1879" t="str">
        <f t="shared" si="30"/>
        <v>No</v>
      </c>
    </row>
    <row r="1880" spans="1:18" x14ac:dyDescent="0.35">
      <c r="A1880" s="1">
        <v>40414</v>
      </c>
      <c r="B1880">
        <v>0</v>
      </c>
      <c r="C1880" t="s">
        <v>83</v>
      </c>
      <c r="D1880" t="s">
        <v>52</v>
      </c>
      <c r="E1880" t="s">
        <v>18</v>
      </c>
      <c r="F1880">
        <v>123</v>
      </c>
      <c r="G1880" t="s">
        <v>23</v>
      </c>
      <c r="H1880" t="s">
        <v>18</v>
      </c>
      <c r="I1880">
        <v>126</v>
      </c>
      <c r="J1880">
        <v>3</v>
      </c>
      <c r="K1880">
        <v>4</v>
      </c>
      <c r="L1880">
        <v>51</v>
      </c>
      <c r="M1880" t="s">
        <v>20</v>
      </c>
      <c r="N1880" t="s">
        <v>24</v>
      </c>
      <c r="O1880">
        <v>13302</v>
      </c>
      <c r="P1880">
        <v>169</v>
      </c>
      <c r="Q1880" t="s">
        <v>23</v>
      </c>
      <c r="R1880" t="str">
        <f t="shared" si="30"/>
        <v>Yes</v>
      </c>
    </row>
    <row r="1881" spans="1:18" x14ac:dyDescent="0.35">
      <c r="A1881" s="1">
        <v>40414</v>
      </c>
      <c r="B1881">
        <v>0</v>
      </c>
      <c r="C1881" t="s">
        <v>83</v>
      </c>
      <c r="D1881" t="s">
        <v>60</v>
      </c>
      <c r="E1881" t="s">
        <v>18</v>
      </c>
      <c r="F1881">
        <v>126</v>
      </c>
      <c r="G1881" t="s">
        <v>62</v>
      </c>
      <c r="H1881" t="s">
        <v>18</v>
      </c>
      <c r="I1881">
        <v>124</v>
      </c>
      <c r="J1881">
        <v>0</v>
      </c>
      <c r="K1881">
        <v>5</v>
      </c>
      <c r="L1881">
        <v>51</v>
      </c>
      <c r="M1881" t="s">
        <v>20</v>
      </c>
      <c r="N1881" t="s">
        <v>81</v>
      </c>
      <c r="O1881">
        <v>20075</v>
      </c>
      <c r="P1881">
        <v>165</v>
      </c>
      <c r="Q1881" t="s">
        <v>62</v>
      </c>
      <c r="R1881" t="str">
        <f t="shared" si="30"/>
        <v>Yes</v>
      </c>
    </row>
    <row r="1882" spans="1:18" x14ac:dyDescent="0.35">
      <c r="A1882" s="1">
        <v>40414</v>
      </c>
      <c r="B1882">
        <v>0</v>
      </c>
      <c r="C1882" t="s">
        <v>83</v>
      </c>
      <c r="D1882" t="s">
        <v>53</v>
      </c>
      <c r="E1882" t="s">
        <v>18</v>
      </c>
      <c r="F1882">
        <v>126</v>
      </c>
      <c r="G1882" t="s">
        <v>70</v>
      </c>
      <c r="H1882" t="s">
        <v>18</v>
      </c>
      <c r="I1882">
        <v>127</v>
      </c>
      <c r="J1882">
        <v>5</v>
      </c>
      <c r="K1882">
        <v>16</v>
      </c>
      <c r="L1882">
        <v>51</v>
      </c>
      <c r="M1882" t="s">
        <v>20</v>
      </c>
      <c r="N1882" t="s">
        <v>71</v>
      </c>
      <c r="O1882">
        <v>36104</v>
      </c>
      <c r="P1882">
        <v>184</v>
      </c>
      <c r="Q1882" t="s">
        <v>70</v>
      </c>
      <c r="R1882" t="str">
        <f t="shared" si="30"/>
        <v>Yes</v>
      </c>
    </row>
    <row r="1883" spans="1:18" x14ac:dyDescent="0.35">
      <c r="A1883" s="1">
        <v>40414</v>
      </c>
      <c r="B1883">
        <v>0</v>
      </c>
      <c r="C1883" t="s">
        <v>83</v>
      </c>
      <c r="D1883" t="s">
        <v>49</v>
      </c>
      <c r="E1883" t="s">
        <v>18</v>
      </c>
      <c r="F1883">
        <v>127</v>
      </c>
      <c r="G1883" t="s">
        <v>26</v>
      </c>
      <c r="H1883" t="s">
        <v>18</v>
      </c>
      <c r="I1883">
        <v>126</v>
      </c>
      <c r="J1883">
        <v>5</v>
      </c>
      <c r="K1883">
        <v>4</v>
      </c>
      <c r="L1883">
        <v>54</v>
      </c>
      <c r="M1883" t="s">
        <v>20</v>
      </c>
      <c r="N1883" t="s">
        <v>27</v>
      </c>
      <c r="O1883">
        <v>18250</v>
      </c>
      <c r="P1883">
        <v>158</v>
      </c>
      <c r="Q1883" t="s">
        <v>49</v>
      </c>
      <c r="R1883" t="str">
        <f t="shared" si="30"/>
        <v>No</v>
      </c>
    </row>
    <row r="1884" spans="1:18" x14ac:dyDescent="0.35">
      <c r="A1884" s="1">
        <v>40415</v>
      </c>
      <c r="B1884">
        <v>0</v>
      </c>
      <c r="C1884" t="s">
        <v>16</v>
      </c>
      <c r="D1884" t="s">
        <v>44</v>
      </c>
      <c r="E1884" t="s">
        <v>30</v>
      </c>
      <c r="F1884">
        <v>127</v>
      </c>
      <c r="G1884" t="s">
        <v>31</v>
      </c>
      <c r="H1884" t="s">
        <v>30</v>
      </c>
      <c r="I1884">
        <v>128</v>
      </c>
      <c r="J1884">
        <v>3</v>
      </c>
      <c r="K1884">
        <v>12</v>
      </c>
      <c r="L1884">
        <v>51</v>
      </c>
      <c r="M1884" t="s">
        <v>38</v>
      </c>
      <c r="N1884" t="s">
        <v>32</v>
      </c>
      <c r="O1884">
        <v>37009</v>
      </c>
      <c r="P1884">
        <v>199</v>
      </c>
      <c r="Q1884" t="s">
        <v>31</v>
      </c>
      <c r="R1884" t="str">
        <f t="shared" si="30"/>
        <v>Yes</v>
      </c>
    </row>
    <row r="1885" spans="1:18" x14ac:dyDescent="0.35">
      <c r="A1885" s="1">
        <v>40415</v>
      </c>
      <c r="B1885">
        <v>1</v>
      </c>
      <c r="C1885" t="s">
        <v>16</v>
      </c>
      <c r="D1885" t="s">
        <v>40</v>
      </c>
      <c r="E1885" t="s">
        <v>30</v>
      </c>
      <c r="F1885">
        <v>126</v>
      </c>
      <c r="G1885" t="s">
        <v>58</v>
      </c>
      <c r="H1885" t="s">
        <v>30</v>
      </c>
      <c r="I1885">
        <v>127</v>
      </c>
      <c r="J1885">
        <v>3</v>
      </c>
      <c r="K1885">
        <v>5</v>
      </c>
      <c r="L1885">
        <v>51</v>
      </c>
      <c r="M1885" t="s">
        <v>38</v>
      </c>
      <c r="N1885" t="s">
        <v>86</v>
      </c>
      <c r="O1885">
        <v>37183</v>
      </c>
      <c r="P1885">
        <v>164</v>
      </c>
      <c r="Q1885" t="s">
        <v>58</v>
      </c>
      <c r="R1885" t="str">
        <f t="shared" si="30"/>
        <v>Yes</v>
      </c>
    </row>
    <row r="1886" spans="1:18" x14ac:dyDescent="0.35">
      <c r="A1886" s="1">
        <v>40415</v>
      </c>
      <c r="B1886">
        <v>2</v>
      </c>
      <c r="C1886" t="s">
        <v>16</v>
      </c>
      <c r="D1886" t="s">
        <v>40</v>
      </c>
      <c r="E1886" t="s">
        <v>30</v>
      </c>
      <c r="F1886">
        <v>127</v>
      </c>
      <c r="G1886" t="s">
        <v>58</v>
      </c>
      <c r="H1886" t="s">
        <v>30</v>
      </c>
      <c r="I1886">
        <v>128</v>
      </c>
      <c r="J1886">
        <v>4</v>
      </c>
      <c r="K1886">
        <v>2</v>
      </c>
      <c r="L1886">
        <v>54</v>
      </c>
      <c r="M1886" t="s">
        <v>20</v>
      </c>
      <c r="N1886" t="s">
        <v>86</v>
      </c>
      <c r="O1886">
        <v>37451</v>
      </c>
      <c r="P1886">
        <v>161</v>
      </c>
      <c r="Q1886" t="s">
        <v>40</v>
      </c>
      <c r="R1886" t="str">
        <f t="shared" si="30"/>
        <v>No</v>
      </c>
    </row>
    <row r="1887" spans="1:18" x14ac:dyDescent="0.35">
      <c r="A1887" s="1">
        <v>40415</v>
      </c>
      <c r="B1887">
        <v>0</v>
      </c>
      <c r="C1887" t="s">
        <v>16</v>
      </c>
      <c r="D1887" t="s">
        <v>43</v>
      </c>
      <c r="E1887" t="s">
        <v>30</v>
      </c>
      <c r="F1887">
        <v>127</v>
      </c>
      <c r="G1887" t="s">
        <v>34</v>
      </c>
      <c r="H1887" t="s">
        <v>30</v>
      </c>
      <c r="I1887">
        <v>126</v>
      </c>
      <c r="J1887">
        <v>4</v>
      </c>
      <c r="K1887">
        <v>2</v>
      </c>
      <c r="L1887">
        <v>54</v>
      </c>
      <c r="M1887" t="s">
        <v>20</v>
      </c>
      <c r="N1887" t="s">
        <v>35</v>
      </c>
      <c r="O1887">
        <v>23733</v>
      </c>
      <c r="P1887">
        <v>142</v>
      </c>
      <c r="Q1887" t="s">
        <v>43</v>
      </c>
      <c r="R1887" t="str">
        <f t="shared" si="30"/>
        <v>No</v>
      </c>
    </row>
    <row r="1888" spans="1:18" x14ac:dyDescent="0.35">
      <c r="A1888" s="1">
        <v>40415</v>
      </c>
      <c r="B1888">
        <v>0</v>
      </c>
      <c r="C1888" t="s">
        <v>16</v>
      </c>
      <c r="D1888" t="s">
        <v>41</v>
      </c>
      <c r="E1888" t="s">
        <v>30</v>
      </c>
      <c r="F1888">
        <v>125</v>
      </c>
      <c r="G1888" t="s">
        <v>33</v>
      </c>
      <c r="H1888" t="s">
        <v>30</v>
      </c>
      <c r="I1888">
        <v>126</v>
      </c>
      <c r="J1888">
        <v>6</v>
      </c>
      <c r="K1888">
        <v>1</v>
      </c>
      <c r="L1888">
        <v>54</v>
      </c>
      <c r="M1888" t="s">
        <v>20</v>
      </c>
      <c r="N1888" t="s">
        <v>75</v>
      </c>
      <c r="O1888">
        <v>10514</v>
      </c>
      <c r="P1888">
        <v>163</v>
      </c>
      <c r="Q1888" t="s">
        <v>41</v>
      </c>
      <c r="R1888" t="str">
        <f t="shared" si="30"/>
        <v>No</v>
      </c>
    </row>
    <row r="1889" spans="1:18" x14ac:dyDescent="0.35">
      <c r="A1889" s="1">
        <v>40415</v>
      </c>
      <c r="B1889">
        <v>0</v>
      </c>
      <c r="C1889" t="s">
        <v>16</v>
      </c>
      <c r="D1889" t="s">
        <v>37</v>
      </c>
      <c r="E1889" t="s">
        <v>30</v>
      </c>
      <c r="F1889">
        <v>127</v>
      </c>
      <c r="G1889" t="s">
        <v>36</v>
      </c>
      <c r="H1889" t="s">
        <v>30</v>
      </c>
      <c r="I1889">
        <v>127</v>
      </c>
      <c r="J1889">
        <v>4</v>
      </c>
      <c r="K1889">
        <v>3</v>
      </c>
      <c r="L1889">
        <v>72</v>
      </c>
      <c r="M1889" t="s">
        <v>38</v>
      </c>
      <c r="N1889" t="s">
        <v>57</v>
      </c>
      <c r="O1889">
        <v>31231</v>
      </c>
      <c r="P1889">
        <v>232</v>
      </c>
      <c r="Q1889" t="s">
        <v>37</v>
      </c>
      <c r="R1889" t="str">
        <f t="shared" si="30"/>
        <v>No</v>
      </c>
    </row>
    <row r="1890" spans="1:18" x14ac:dyDescent="0.35">
      <c r="A1890" s="1">
        <v>40415</v>
      </c>
      <c r="B1890">
        <v>0</v>
      </c>
      <c r="C1890" t="s">
        <v>16</v>
      </c>
      <c r="D1890" t="s">
        <v>29</v>
      </c>
      <c r="E1890" t="s">
        <v>30</v>
      </c>
      <c r="F1890">
        <v>127</v>
      </c>
      <c r="G1890" t="s">
        <v>47</v>
      </c>
      <c r="H1890" t="s">
        <v>30</v>
      </c>
      <c r="I1890">
        <v>126</v>
      </c>
      <c r="J1890">
        <v>3</v>
      </c>
      <c r="K1890">
        <v>4</v>
      </c>
      <c r="L1890">
        <v>51</v>
      </c>
      <c r="M1890" t="s">
        <v>20</v>
      </c>
      <c r="N1890" t="s">
        <v>48</v>
      </c>
      <c r="O1890">
        <v>29926</v>
      </c>
      <c r="P1890">
        <v>182</v>
      </c>
      <c r="Q1890" t="s">
        <v>47</v>
      </c>
      <c r="R1890" t="str">
        <f t="shared" si="30"/>
        <v>Yes</v>
      </c>
    </row>
    <row r="1891" spans="1:18" x14ac:dyDescent="0.35">
      <c r="A1891" s="1">
        <v>40415</v>
      </c>
      <c r="B1891">
        <v>0</v>
      </c>
      <c r="C1891" t="s">
        <v>16</v>
      </c>
      <c r="D1891" t="s">
        <v>59</v>
      </c>
      <c r="E1891" t="s">
        <v>30</v>
      </c>
      <c r="F1891">
        <v>127</v>
      </c>
      <c r="G1891" t="s">
        <v>46</v>
      </c>
      <c r="H1891" t="s">
        <v>30</v>
      </c>
      <c r="I1891">
        <v>126</v>
      </c>
      <c r="J1891">
        <v>3</v>
      </c>
      <c r="K1891">
        <v>6</v>
      </c>
      <c r="L1891">
        <v>51</v>
      </c>
      <c r="M1891" t="s">
        <v>20</v>
      </c>
      <c r="N1891" t="s">
        <v>78</v>
      </c>
      <c r="O1891">
        <v>31449</v>
      </c>
      <c r="P1891">
        <v>169</v>
      </c>
      <c r="Q1891" t="s">
        <v>46</v>
      </c>
      <c r="R1891" t="str">
        <f t="shared" si="30"/>
        <v>Yes</v>
      </c>
    </row>
    <row r="1892" spans="1:18" x14ac:dyDescent="0.35">
      <c r="A1892" s="1">
        <v>40415</v>
      </c>
      <c r="B1892">
        <v>0</v>
      </c>
      <c r="C1892" t="s">
        <v>16</v>
      </c>
      <c r="D1892" t="s">
        <v>50</v>
      </c>
      <c r="E1892" t="s">
        <v>18</v>
      </c>
      <c r="F1892">
        <v>127</v>
      </c>
      <c r="G1892" t="s">
        <v>63</v>
      </c>
      <c r="H1892" t="s">
        <v>18</v>
      </c>
      <c r="I1892">
        <v>126</v>
      </c>
      <c r="J1892">
        <v>10</v>
      </c>
      <c r="K1892">
        <v>12</v>
      </c>
      <c r="L1892">
        <v>51</v>
      </c>
      <c r="M1892" t="s">
        <v>38</v>
      </c>
      <c r="N1892" t="s">
        <v>64</v>
      </c>
      <c r="O1892">
        <v>27675</v>
      </c>
      <c r="P1892">
        <v>202</v>
      </c>
      <c r="Q1892" t="s">
        <v>63</v>
      </c>
      <c r="R1892" t="str">
        <f t="shared" si="30"/>
        <v>Yes</v>
      </c>
    </row>
    <row r="1893" spans="1:18" x14ac:dyDescent="0.35">
      <c r="A1893" s="1">
        <v>40415</v>
      </c>
      <c r="B1893">
        <v>0</v>
      </c>
      <c r="C1893" t="s">
        <v>16</v>
      </c>
      <c r="D1893" t="s">
        <v>22</v>
      </c>
      <c r="E1893" t="s">
        <v>18</v>
      </c>
      <c r="F1893">
        <v>127</v>
      </c>
      <c r="G1893" t="s">
        <v>68</v>
      </c>
      <c r="H1893" t="s">
        <v>18</v>
      </c>
      <c r="I1893">
        <v>126</v>
      </c>
      <c r="J1893">
        <v>5</v>
      </c>
      <c r="K1893">
        <v>4</v>
      </c>
      <c r="L1893">
        <v>54</v>
      </c>
      <c r="M1893" t="s">
        <v>20</v>
      </c>
      <c r="N1893" t="s">
        <v>69</v>
      </c>
      <c r="O1893">
        <v>30545</v>
      </c>
      <c r="P1893">
        <v>178</v>
      </c>
      <c r="Q1893" t="s">
        <v>22</v>
      </c>
      <c r="R1893" t="str">
        <f t="shared" si="30"/>
        <v>No</v>
      </c>
    </row>
    <row r="1894" spans="1:18" x14ac:dyDescent="0.35">
      <c r="A1894" s="1">
        <v>40415</v>
      </c>
      <c r="B1894">
        <v>0</v>
      </c>
      <c r="C1894" t="s">
        <v>16</v>
      </c>
      <c r="D1894" t="s">
        <v>17</v>
      </c>
      <c r="E1894" t="s">
        <v>18</v>
      </c>
      <c r="F1894">
        <v>125</v>
      </c>
      <c r="G1894" t="s">
        <v>19</v>
      </c>
      <c r="H1894" t="s">
        <v>18</v>
      </c>
      <c r="I1894">
        <v>126</v>
      </c>
      <c r="J1894">
        <v>5</v>
      </c>
      <c r="K1894">
        <v>4</v>
      </c>
      <c r="L1894">
        <v>54</v>
      </c>
      <c r="M1894" t="s">
        <v>20</v>
      </c>
      <c r="N1894" t="s">
        <v>21</v>
      </c>
      <c r="O1894">
        <v>27096</v>
      </c>
      <c r="P1894">
        <v>166</v>
      </c>
      <c r="Q1894" t="s">
        <v>17</v>
      </c>
      <c r="R1894" t="str">
        <f t="shared" si="30"/>
        <v>No</v>
      </c>
    </row>
    <row r="1895" spans="1:18" x14ac:dyDescent="0.35">
      <c r="A1895" s="1">
        <v>40415</v>
      </c>
      <c r="B1895">
        <v>0</v>
      </c>
      <c r="C1895" t="s">
        <v>16</v>
      </c>
      <c r="D1895" t="s">
        <v>66</v>
      </c>
      <c r="E1895" t="s">
        <v>18</v>
      </c>
      <c r="F1895">
        <v>126</v>
      </c>
      <c r="G1895" t="s">
        <v>25</v>
      </c>
      <c r="H1895" t="s">
        <v>18</v>
      </c>
      <c r="I1895">
        <v>126</v>
      </c>
      <c r="J1895">
        <v>3</v>
      </c>
      <c r="K1895">
        <v>2</v>
      </c>
      <c r="L1895">
        <v>54</v>
      </c>
      <c r="M1895" t="s">
        <v>20</v>
      </c>
      <c r="N1895" t="s">
        <v>80</v>
      </c>
      <c r="O1895">
        <v>44657</v>
      </c>
      <c r="P1895">
        <v>147</v>
      </c>
      <c r="Q1895" t="s">
        <v>66</v>
      </c>
      <c r="R1895" t="str">
        <f t="shared" si="30"/>
        <v>No</v>
      </c>
    </row>
    <row r="1896" spans="1:18" x14ac:dyDescent="0.35">
      <c r="A1896" s="1">
        <v>40415</v>
      </c>
      <c r="B1896">
        <v>0</v>
      </c>
      <c r="C1896" t="s">
        <v>16</v>
      </c>
      <c r="D1896" t="s">
        <v>52</v>
      </c>
      <c r="E1896" t="s">
        <v>18</v>
      </c>
      <c r="F1896">
        <v>124</v>
      </c>
      <c r="G1896" t="s">
        <v>23</v>
      </c>
      <c r="H1896" t="s">
        <v>18</v>
      </c>
      <c r="I1896">
        <v>127</v>
      </c>
      <c r="J1896">
        <v>2</v>
      </c>
      <c r="K1896">
        <v>5</v>
      </c>
      <c r="L1896">
        <v>51</v>
      </c>
      <c r="M1896" t="s">
        <v>20</v>
      </c>
      <c r="N1896" t="s">
        <v>24</v>
      </c>
      <c r="O1896">
        <v>12686</v>
      </c>
      <c r="P1896">
        <v>153</v>
      </c>
      <c r="Q1896" t="s">
        <v>23</v>
      </c>
      <c r="R1896" t="str">
        <f t="shared" si="30"/>
        <v>Yes</v>
      </c>
    </row>
    <row r="1897" spans="1:18" x14ac:dyDescent="0.35">
      <c r="A1897" s="1">
        <v>40415</v>
      </c>
      <c r="B1897">
        <v>0</v>
      </c>
      <c r="C1897" t="s">
        <v>16</v>
      </c>
      <c r="D1897" t="s">
        <v>60</v>
      </c>
      <c r="E1897" t="s">
        <v>18</v>
      </c>
      <c r="F1897">
        <v>127</v>
      </c>
      <c r="G1897" t="s">
        <v>62</v>
      </c>
      <c r="H1897" t="s">
        <v>18</v>
      </c>
      <c r="I1897">
        <v>125</v>
      </c>
      <c r="J1897">
        <v>3</v>
      </c>
      <c r="K1897">
        <v>9</v>
      </c>
      <c r="L1897">
        <v>51</v>
      </c>
      <c r="M1897" t="s">
        <v>20</v>
      </c>
      <c r="N1897" t="s">
        <v>81</v>
      </c>
      <c r="O1897">
        <v>21966</v>
      </c>
      <c r="P1897">
        <v>152</v>
      </c>
      <c r="Q1897" t="s">
        <v>62</v>
      </c>
      <c r="R1897" t="str">
        <f t="shared" si="30"/>
        <v>Yes</v>
      </c>
    </row>
    <row r="1898" spans="1:18" x14ac:dyDescent="0.35">
      <c r="A1898" s="1">
        <v>40415</v>
      </c>
      <c r="B1898">
        <v>0</v>
      </c>
      <c r="C1898" t="s">
        <v>16</v>
      </c>
      <c r="D1898" t="s">
        <v>53</v>
      </c>
      <c r="E1898" t="s">
        <v>18</v>
      </c>
      <c r="F1898">
        <v>127</v>
      </c>
      <c r="G1898" t="s">
        <v>70</v>
      </c>
      <c r="H1898" t="s">
        <v>18</v>
      </c>
      <c r="I1898">
        <v>128</v>
      </c>
      <c r="J1898">
        <v>12</v>
      </c>
      <c r="K1898">
        <v>11</v>
      </c>
      <c r="L1898">
        <v>72</v>
      </c>
      <c r="M1898" t="s">
        <v>38</v>
      </c>
      <c r="N1898" t="s">
        <v>71</v>
      </c>
      <c r="O1898">
        <v>36310</v>
      </c>
      <c r="P1898">
        <v>265</v>
      </c>
      <c r="Q1898" t="s">
        <v>53</v>
      </c>
      <c r="R1898" t="str">
        <f t="shared" si="30"/>
        <v>No</v>
      </c>
    </row>
    <row r="1899" spans="1:18" x14ac:dyDescent="0.35">
      <c r="A1899" s="1">
        <v>40415</v>
      </c>
      <c r="B1899">
        <v>0</v>
      </c>
      <c r="C1899" t="s">
        <v>16</v>
      </c>
      <c r="D1899" t="s">
        <v>49</v>
      </c>
      <c r="E1899" t="s">
        <v>18</v>
      </c>
      <c r="F1899">
        <v>128</v>
      </c>
      <c r="G1899" t="s">
        <v>26</v>
      </c>
      <c r="H1899" t="s">
        <v>18</v>
      </c>
      <c r="I1899">
        <v>127</v>
      </c>
      <c r="J1899">
        <v>4</v>
      </c>
      <c r="K1899">
        <v>0</v>
      </c>
      <c r="L1899">
        <v>54</v>
      </c>
      <c r="M1899" t="s">
        <v>20</v>
      </c>
      <c r="N1899" t="s">
        <v>27</v>
      </c>
      <c r="O1899">
        <v>18344</v>
      </c>
      <c r="P1899">
        <v>151</v>
      </c>
      <c r="Q1899" t="s">
        <v>49</v>
      </c>
      <c r="R1899" t="str">
        <f t="shared" si="30"/>
        <v>No</v>
      </c>
    </row>
    <row r="1900" spans="1:18" x14ac:dyDescent="0.35">
      <c r="A1900" s="1">
        <v>40416</v>
      </c>
      <c r="B1900">
        <v>0</v>
      </c>
      <c r="C1900" t="s">
        <v>28</v>
      </c>
      <c r="D1900" t="s">
        <v>43</v>
      </c>
      <c r="E1900" t="s">
        <v>30</v>
      </c>
      <c r="F1900">
        <v>128</v>
      </c>
      <c r="G1900" t="s">
        <v>34</v>
      </c>
      <c r="H1900" t="s">
        <v>30</v>
      </c>
      <c r="I1900">
        <v>127</v>
      </c>
      <c r="J1900">
        <v>0</v>
      </c>
      <c r="K1900">
        <v>8</v>
      </c>
      <c r="L1900">
        <v>51</v>
      </c>
      <c r="M1900" t="s">
        <v>20</v>
      </c>
      <c r="N1900" t="s">
        <v>35</v>
      </c>
      <c r="O1900">
        <v>23898</v>
      </c>
      <c r="P1900">
        <v>162</v>
      </c>
      <c r="Q1900" t="s">
        <v>34</v>
      </c>
      <c r="R1900" t="str">
        <f t="shared" si="30"/>
        <v>Yes</v>
      </c>
    </row>
    <row r="1901" spans="1:18" x14ac:dyDescent="0.35">
      <c r="A1901" s="1">
        <v>40416</v>
      </c>
      <c r="B1901">
        <v>0</v>
      </c>
      <c r="C1901" t="s">
        <v>28</v>
      </c>
      <c r="D1901" t="s">
        <v>41</v>
      </c>
      <c r="E1901" t="s">
        <v>30</v>
      </c>
      <c r="F1901">
        <v>126</v>
      </c>
      <c r="G1901" t="s">
        <v>33</v>
      </c>
      <c r="H1901" t="s">
        <v>30</v>
      </c>
      <c r="I1901">
        <v>127</v>
      </c>
      <c r="J1901">
        <v>2</v>
      </c>
      <c r="K1901">
        <v>3</v>
      </c>
      <c r="L1901">
        <v>51</v>
      </c>
      <c r="M1901" t="s">
        <v>20</v>
      </c>
      <c r="N1901" t="s">
        <v>75</v>
      </c>
      <c r="O1901">
        <v>11826</v>
      </c>
      <c r="P1901">
        <v>159</v>
      </c>
      <c r="Q1901" t="s">
        <v>33</v>
      </c>
      <c r="R1901" t="str">
        <f t="shared" si="30"/>
        <v>Yes</v>
      </c>
    </row>
    <row r="1902" spans="1:18" x14ac:dyDescent="0.35">
      <c r="A1902" s="1">
        <v>40416</v>
      </c>
      <c r="B1902">
        <v>0</v>
      </c>
      <c r="C1902" t="s">
        <v>28</v>
      </c>
      <c r="D1902" t="s">
        <v>29</v>
      </c>
      <c r="E1902" t="s">
        <v>30</v>
      </c>
      <c r="F1902">
        <v>128</v>
      </c>
      <c r="G1902" t="s">
        <v>47</v>
      </c>
      <c r="H1902" t="s">
        <v>30</v>
      </c>
      <c r="I1902">
        <v>127</v>
      </c>
      <c r="J1902">
        <v>6</v>
      </c>
      <c r="K1902">
        <v>4</v>
      </c>
      <c r="L1902">
        <v>54</v>
      </c>
      <c r="M1902" t="s">
        <v>20</v>
      </c>
      <c r="N1902" t="s">
        <v>48</v>
      </c>
      <c r="O1902">
        <v>24738</v>
      </c>
      <c r="P1902">
        <v>181</v>
      </c>
      <c r="Q1902" t="s">
        <v>29</v>
      </c>
      <c r="R1902" t="str">
        <f t="shared" si="30"/>
        <v>No</v>
      </c>
    </row>
    <row r="1903" spans="1:18" x14ac:dyDescent="0.35">
      <c r="A1903" s="1">
        <v>40416</v>
      </c>
      <c r="B1903">
        <v>0</v>
      </c>
      <c r="C1903" t="s">
        <v>28</v>
      </c>
      <c r="D1903" t="s">
        <v>36</v>
      </c>
      <c r="E1903" t="s">
        <v>30</v>
      </c>
      <c r="F1903">
        <v>128</v>
      </c>
      <c r="G1903" t="s">
        <v>46</v>
      </c>
      <c r="H1903" t="s">
        <v>30</v>
      </c>
      <c r="I1903">
        <v>127</v>
      </c>
      <c r="J1903">
        <v>7</v>
      </c>
      <c r="K1903">
        <v>1</v>
      </c>
      <c r="L1903">
        <v>54</v>
      </c>
      <c r="M1903" t="s">
        <v>20</v>
      </c>
      <c r="N1903" t="s">
        <v>78</v>
      </c>
      <c r="O1903">
        <v>16088</v>
      </c>
      <c r="P1903">
        <v>146</v>
      </c>
      <c r="Q1903" t="s">
        <v>36</v>
      </c>
      <c r="R1903" t="str">
        <f t="shared" si="30"/>
        <v>No</v>
      </c>
    </row>
    <row r="1904" spans="1:18" x14ac:dyDescent="0.35">
      <c r="A1904" s="1">
        <v>40416</v>
      </c>
      <c r="B1904">
        <v>0</v>
      </c>
      <c r="C1904" t="s">
        <v>28</v>
      </c>
      <c r="D1904" t="s">
        <v>22</v>
      </c>
      <c r="E1904" t="s">
        <v>18</v>
      </c>
      <c r="F1904">
        <v>128</v>
      </c>
      <c r="G1904" t="s">
        <v>68</v>
      </c>
      <c r="H1904" t="s">
        <v>18</v>
      </c>
      <c r="I1904">
        <v>127</v>
      </c>
      <c r="J1904">
        <v>7</v>
      </c>
      <c r="K1904">
        <v>1</v>
      </c>
      <c r="L1904">
        <v>54</v>
      </c>
      <c r="M1904" t="s">
        <v>38</v>
      </c>
      <c r="N1904" t="s">
        <v>69</v>
      </c>
      <c r="O1904">
        <v>32333</v>
      </c>
      <c r="P1904">
        <v>188</v>
      </c>
      <c r="Q1904" t="s">
        <v>22</v>
      </c>
      <c r="R1904" t="str">
        <f t="shared" si="30"/>
        <v>No</v>
      </c>
    </row>
    <row r="1905" spans="1:18" x14ac:dyDescent="0.35">
      <c r="A1905" s="1">
        <v>40416</v>
      </c>
      <c r="B1905">
        <v>0</v>
      </c>
      <c r="C1905" t="s">
        <v>28</v>
      </c>
      <c r="D1905" t="s">
        <v>17</v>
      </c>
      <c r="E1905" t="s">
        <v>18</v>
      </c>
      <c r="F1905">
        <v>126</v>
      </c>
      <c r="G1905" t="s">
        <v>19</v>
      </c>
      <c r="H1905" t="s">
        <v>18</v>
      </c>
      <c r="I1905">
        <v>127</v>
      </c>
      <c r="J1905">
        <v>11</v>
      </c>
      <c r="K1905">
        <v>4</v>
      </c>
      <c r="L1905">
        <v>54</v>
      </c>
      <c r="M1905" t="s">
        <v>20</v>
      </c>
      <c r="N1905" t="s">
        <v>21</v>
      </c>
      <c r="O1905">
        <v>28640</v>
      </c>
      <c r="P1905">
        <v>185</v>
      </c>
      <c r="Q1905" t="s">
        <v>17</v>
      </c>
      <c r="R1905" t="str">
        <f t="shared" si="30"/>
        <v>No</v>
      </c>
    </row>
    <row r="1906" spans="1:18" x14ac:dyDescent="0.35">
      <c r="A1906" s="1">
        <v>40416</v>
      </c>
      <c r="B1906">
        <v>0</v>
      </c>
      <c r="C1906" t="s">
        <v>28</v>
      </c>
      <c r="D1906" t="s">
        <v>66</v>
      </c>
      <c r="E1906" t="s">
        <v>18</v>
      </c>
      <c r="F1906">
        <v>127</v>
      </c>
      <c r="G1906" t="s">
        <v>25</v>
      </c>
      <c r="H1906" t="s">
        <v>18</v>
      </c>
      <c r="I1906">
        <v>127</v>
      </c>
      <c r="J1906">
        <v>5</v>
      </c>
      <c r="K1906">
        <v>1</v>
      </c>
      <c r="L1906">
        <v>54</v>
      </c>
      <c r="M1906" t="s">
        <v>38</v>
      </c>
      <c r="N1906" t="s">
        <v>80</v>
      </c>
      <c r="O1906">
        <v>44958</v>
      </c>
      <c r="P1906">
        <v>164</v>
      </c>
      <c r="Q1906" t="s">
        <v>66</v>
      </c>
      <c r="R1906" t="str">
        <f t="shared" si="30"/>
        <v>No</v>
      </c>
    </row>
    <row r="1907" spans="1:18" x14ac:dyDescent="0.35">
      <c r="A1907" s="1">
        <v>40416</v>
      </c>
      <c r="B1907">
        <v>0</v>
      </c>
      <c r="C1907" t="s">
        <v>28</v>
      </c>
      <c r="D1907" t="s">
        <v>60</v>
      </c>
      <c r="E1907" t="s">
        <v>18</v>
      </c>
      <c r="F1907">
        <v>128</v>
      </c>
      <c r="G1907" t="s">
        <v>62</v>
      </c>
      <c r="H1907" t="s">
        <v>18</v>
      </c>
      <c r="I1907">
        <v>126</v>
      </c>
      <c r="J1907">
        <v>11</v>
      </c>
      <c r="K1907">
        <v>5</v>
      </c>
      <c r="L1907">
        <v>54</v>
      </c>
      <c r="M1907" t="s">
        <v>38</v>
      </c>
      <c r="N1907" t="s">
        <v>81</v>
      </c>
      <c r="O1907">
        <v>20983</v>
      </c>
      <c r="P1907">
        <v>182</v>
      </c>
      <c r="Q1907" t="s">
        <v>60</v>
      </c>
      <c r="R1907" t="str">
        <f t="shared" si="30"/>
        <v>No</v>
      </c>
    </row>
    <row r="1908" spans="1:18" x14ac:dyDescent="0.35">
      <c r="A1908" s="1">
        <v>40416</v>
      </c>
      <c r="B1908">
        <v>0</v>
      </c>
      <c r="C1908" t="s">
        <v>28</v>
      </c>
      <c r="D1908" t="s">
        <v>52</v>
      </c>
      <c r="E1908" t="s">
        <v>18</v>
      </c>
      <c r="F1908">
        <v>125</v>
      </c>
      <c r="G1908" t="s">
        <v>26</v>
      </c>
      <c r="H1908" t="s">
        <v>18</v>
      </c>
      <c r="I1908">
        <v>128</v>
      </c>
      <c r="J1908">
        <v>10</v>
      </c>
      <c r="K1908">
        <v>11</v>
      </c>
      <c r="L1908">
        <v>76</v>
      </c>
      <c r="M1908" t="s">
        <v>20</v>
      </c>
      <c r="N1908" t="s">
        <v>27</v>
      </c>
      <c r="O1908">
        <v>22317</v>
      </c>
      <c r="P1908">
        <v>275</v>
      </c>
      <c r="Q1908" t="s">
        <v>26</v>
      </c>
      <c r="R1908" t="str">
        <f t="shared" si="30"/>
        <v>Yes</v>
      </c>
    </row>
    <row r="1909" spans="1:18" x14ac:dyDescent="0.35">
      <c r="A1909" s="1">
        <v>40417</v>
      </c>
      <c r="B1909">
        <v>0</v>
      </c>
      <c r="C1909" t="s">
        <v>55</v>
      </c>
      <c r="D1909" t="s">
        <v>43</v>
      </c>
      <c r="E1909" t="s">
        <v>30</v>
      </c>
      <c r="F1909">
        <v>129</v>
      </c>
      <c r="G1909" t="s">
        <v>31</v>
      </c>
      <c r="H1909" t="s">
        <v>30</v>
      </c>
      <c r="I1909">
        <v>129</v>
      </c>
      <c r="J1909">
        <v>3</v>
      </c>
      <c r="K1909">
        <v>1</v>
      </c>
      <c r="L1909">
        <v>54</v>
      </c>
      <c r="M1909" t="s">
        <v>20</v>
      </c>
      <c r="N1909" t="s">
        <v>32</v>
      </c>
      <c r="O1909">
        <v>41037</v>
      </c>
      <c r="P1909">
        <v>132</v>
      </c>
      <c r="Q1909" t="s">
        <v>43</v>
      </c>
      <c r="R1909" t="str">
        <f t="shared" si="30"/>
        <v>No</v>
      </c>
    </row>
    <row r="1910" spans="1:18" x14ac:dyDescent="0.35">
      <c r="A1910" s="1">
        <v>40417</v>
      </c>
      <c r="B1910">
        <v>0</v>
      </c>
      <c r="C1910" t="s">
        <v>55</v>
      </c>
      <c r="D1910" t="s">
        <v>59</v>
      </c>
      <c r="E1910" t="s">
        <v>30</v>
      </c>
      <c r="F1910">
        <v>128</v>
      </c>
      <c r="G1910" t="s">
        <v>34</v>
      </c>
      <c r="H1910" t="s">
        <v>30</v>
      </c>
      <c r="I1910">
        <v>128</v>
      </c>
      <c r="J1910">
        <v>4</v>
      </c>
      <c r="K1910">
        <v>9</v>
      </c>
      <c r="L1910">
        <v>51</v>
      </c>
      <c r="M1910" t="s">
        <v>20</v>
      </c>
      <c r="N1910" t="s">
        <v>35</v>
      </c>
      <c r="O1910">
        <v>38596</v>
      </c>
      <c r="P1910">
        <v>171</v>
      </c>
      <c r="Q1910" t="s">
        <v>34</v>
      </c>
      <c r="R1910" t="str">
        <f t="shared" si="30"/>
        <v>Yes</v>
      </c>
    </row>
    <row r="1911" spans="1:18" x14ac:dyDescent="0.35">
      <c r="A1911" s="1">
        <v>40417</v>
      </c>
      <c r="B1911">
        <v>0</v>
      </c>
      <c r="C1911" t="s">
        <v>55</v>
      </c>
      <c r="D1911" t="s">
        <v>37</v>
      </c>
      <c r="E1911" t="s">
        <v>30</v>
      </c>
      <c r="F1911">
        <v>128</v>
      </c>
      <c r="G1911" t="s">
        <v>33</v>
      </c>
      <c r="H1911" t="s">
        <v>30</v>
      </c>
      <c r="I1911">
        <v>128</v>
      </c>
      <c r="J1911">
        <v>4</v>
      </c>
      <c r="K1911">
        <v>15</v>
      </c>
      <c r="L1911">
        <v>51</v>
      </c>
      <c r="M1911" t="s">
        <v>20</v>
      </c>
      <c r="N1911" t="s">
        <v>75</v>
      </c>
      <c r="O1911">
        <v>17631</v>
      </c>
      <c r="P1911">
        <v>197</v>
      </c>
      <c r="Q1911" t="s">
        <v>33</v>
      </c>
      <c r="R1911" t="str">
        <f t="shared" si="30"/>
        <v>Yes</v>
      </c>
    </row>
    <row r="1912" spans="1:18" x14ac:dyDescent="0.35">
      <c r="A1912" s="1">
        <v>40417</v>
      </c>
      <c r="B1912">
        <v>0</v>
      </c>
      <c r="C1912" t="s">
        <v>55</v>
      </c>
      <c r="D1912" t="s">
        <v>29</v>
      </c>
      <c r="E1912" t="s">
        <v>30</v>
      </c>
      <c r="F1912">
        <v>129</v>
      </c>
      <c r="G1912" t="s">
        <v>40</v>
      </c>
      <c r="H1912" t="s">
        <v>30</v>
      </c>
      <c r="I1912">
        <v>128</v>
      </c>
      <c r="J1912">
        <v>6</v>
      </c>
      <c r="K1912">
        <v>3</v>
      </c>
      <c r="L1912">
        <v>54</v>
      </c>
      <c r="M1912" t="s">
        <v>20</v>
      </c>
      <c r="N1912" t="s">
        <v>77</v>
      </c>
      <c r="O1912">
        <v>37798</v>
      </c>
      <c r="P1912">
        <v>176</v>
      </c>
      <c r="Q1912" t="s">
        <v>29</v>
      </c>
      <c r="R1912" t="str">
        <f t="shared" si="30"/>
        <v>No</v>
      </c>
    </row>
    <row r="1913" spans="1:18" x14ac:dyDescent="0.35">
      <c r="A1913" s="1">
        <v>40417</v>
      </c>
      <c r="B1913">
        <v>0</v>
      </c>
      <c r="C1913" t="s">
        <v>55</v>
      </c>
      <c r="D1913" t="s">
        <v>58</v>
      </c>
      <c r="E1913" t="s">
        <v>30</v>
      </c>
      <c r="F1913">
        <v>129</v>
      </c>
      <c r="G1913" t="s">
        <v>44</v>
      </c>
      <c r="H1913" t="s">
        <v>30</v>
      </c>
      <c r="I1913">
        <v>128</v>
      </c>
      <c r="J1913">
        <v>3</v>
      </c>
      <c r="K1913">
        <v>1</v>
      </c>
      <c r="L1913">
        <v>54</v>
      </c>
      <c r="M1913" t="s">
        <v>20</v>
      </c>
      <c r="N1913" t="s">
        <v>45</v>
      </c>
      <c r="O1913">
        <v>29461</v>
      </c>
      <c r="P1913">
        <v>175</v>
      </c>
      <c r="Q1913" t="s">
        <v>58</v>
      </c>
      <c r="R1913" t="str">
        <f t="shared" si="30"/>
        <v>No</v>
      </c>
    </row>
    <row r="1914" spans="1:18" x14ac:dyDescent="0.35">
      <c r="A1914" s="1">
        <v>40417</v>
      </c>
      <c r="B1914">
        <v>0</v>
      </c>
      <c r="C1914" t="s">
        <v>55</v>
      </c>
      <c r="D1914" t="s">
        <v>41</v>
      </c>
      <c r="E1914" t="s">
        <v>30</v>
      </c>
      <c r="F1914">
        <v>127</v>
      </c>
      <c r="G1914" t="s">
        <v>47</v>
      </c>
      <c r="H1914" t="s">
        <v>30</v>
      </c>
      <c r="I1914">
        <v>128</v>
      </c>
      <c r="J1914">
        <v>3</v>
      </c>
      <c r="K1914">
        <v>7</v>
      </c>
      <c r="L1914">
        <v>51</v>
      </c>
      <c r="M1914" t="s">
        <v>20</v>
      </c>
      <c r="N1914" t="s">
        <v>48</v>
      </c>
      <c r="O1914">
        <v>34962</v>
      </c>
      <c r="P1914">
        <v>170</v>
      </c>
      <c r="Q1914" t="s">
        <v>47</v>
      </c>
      <c r="R1914" t="str">
        <f t="shared" si="30"/>
        <v>Yes</v>
      </c>
    </row>
    <row r="1915" spans="1:18" x14ac:dyDescent="0.35">
      <c r="A1915" s="1">
        <v>40417</v>
      </c>
      <c r="B1915">
        <v>0</v>
      </c>
      <c r="C1915" t="s">
        <v>55</v>
      </c>
      <c r="D1915" t="s">
        <v>36</v>
      </c>
      <c r="E1915" t="s">
        <v>30</v>
      </c>
      <c r="F1915">
        <v>129</v>
      </c>
      <c r="G1915" t="s">
        <v>46</v>
      </c>
      <c r="H1915" t="s">
        <v>30</v>
      </c>
      <c r="I1915">
        <v>128</v>
      </c>
      <c r="J1915">
        <v>2</v>
      </c>
      <c r="K1915">
        <v>3</v>
      </c>
      <c r="L1915">
        <v>64</v>
      </c>
      <c r="M1915" t="s">
        <v>20</v>
      </c>
      <c r="N1915" t="s">
        <v>78</v>
      </c>
      <c r="O1915">
        <v>20298</v>
      </c>
      <c r="P1915">
        <v>212</v>
      </c>
      <c r="Q1915" t="s">
        <v>46</v>
      </c>
      <c r="R1915" t="str">
        <f t="shared" si="30"/>
        <v>Yes</v>
      </c>
    </row>
    <row r="1916" spans="1:18" x14ac:dyDescent="0.35">
      <c r="A1916" s="1">
        <v>40417</v>
      </c>
      <c r="B1916">
        <v>0</v>
      </c>
      <c r="C1916" t="s">
        <v>55</v>
      </c>
      <c r="D1916" t="s">
        <v>17</v>
      </c>
      <c r="E1916" t="s">
        <v>18</v>
      </c>
      <c r="F1916">
        <v>127</v>
      </c>
      <c r="G1916" t="s">
        <v>50</v>
      </c>
      <c r="H1916" t="s">
        <v>18</v>
      </c>
      <c r="I1916">
        <v>128</v>
      </c>
      <c r="J1916">
        <v>7</v>
      </c>
      <c r="K1916">
        <v>1</v>
      </c>
      <c r="L1916">
        <v>54</v>
      </c>
      <c r="M1916" t="s">
        <v>20</v>
      </c>
      <c r="N1916" t="s">
        <v>51</v>
      </c>
      <c r="O1916">
        <v>29722</v>
      </c>
      <c r="P1916">
        <v>151</v>
      </c>
      <c r="Q1916" t="s">
        <v>17</v>
      </c>
      <c r="R1916" t="str">
        <f t="shared" si="30"/>
        <v>No</v>
      </c>
    </row>
    <row r="1917" spans="1:18" x14ac:dyDescent="0.35">
      <c r="A1917" s="1">
        <v>40417</v>
      </c>
      <c r="B1917">
        <v>0</v>
      </c>
      <c r="C1917" t="s">
        <v>55</v>
      </c>
      <c r="D1917" t="s">
        <v>49</v>
      </c>
      <c r="E1917" t="s">
        <v>18</v>
      </c>
      <c r="F1917">
        <v>129</v>
      </c>
      <c r="G1917" t="s">
        <v>53</v>
      </c>
      <c r="H1917" t="s">
        <v>18</v>
      </c>
      <c r="I1917">
        <v>128</v>
      </c>
      <c r="J1917">
        <v>1</v>
      </c>
      <c r="K1917">
        <v>7</v>
      </c>
      <c r="L1917">
        <v>51</v>
      </c>
      <c r="M1917" t="s">
        <v>20</v>
      </c>
      <c r="N1917" t="s">
        <v>54</v>
      </c>
      <c r="O1917">
        <v>36219</v>
      </c>
      <c r="P1917">
        <v>134</v>
      </c>
      <c r="Q1917" t="s">
        <v>53</v>
      </c>
      <c r="R1917" t="str">
        <f t="shared" si="30"/>
        <v>Yes</v>
      </c>
    </row>
    <row r="1918" spans="1:18" x14ac:dyDescent="0.35">
      <c r="A1918" s="1">
        <v>40417</v>
      </c>
      <c r="B1918">
        <v>0</v>
      </c>
      <c r="C1918" t="s">
        <v>55</v>
      </c>
      <c r="D1918" t="s">
        <v>22</v>
      </c>
      <c r="E1918" t="s">
        <v>18</v>
      </c>
      <c r="F1918">
        <v>129</v>
      </c>
      <c r="G1918" t="s">
        <v>63</v>
      </c>
      <c r="H1918" t="s">
        <v>18</v>
      </c>
      <c r="I1918">
        <v>127</v>
      </c>
      <c r="J1918">
        <v>6</v>
      </c>
      <c r="K1918">
        <v>2</v>
      </c>
      <c r="L1918">
        <v>54</v>
      </c>
      <c r="M1918" t="s">
        <v>20</v>
      </c>
      <c r="N1918" t="s">
        <v>64</v>
      </c>
      <c r="O1918">
        <v>41964</v>
      </c>
      <c r="P1918">
        <v>199</v>
      </c>
      <c r="Q1918" t="s">
        <v>22</v>
      </c>
      <c r="R1918" t="str">
        <f t="shared" si="30"/>
        <v>No</v>
      </c>
    </row>
    <row r="1919" spans="1:18" x14ac:dyDescent="0.35">
      <c r="A1919" s="1">
        <v>40417</v>
      </c>
      <c r="B1919">
        <v>0</v>
      </c>
      <c r="C1919" t="s">
        <v>55</v>
      </c>
      <c r="D1919" t="s">
        <v>23</v>
      </c>
      <c r="E1919" t="s">
        <v>18</v>
      </c>
      <c r="F1919">
        <v>128</v>
      </c>
      <c r="G1919" t="s">
        <v>68</v>
      </c>
      <c r="H1919" t="s">
        <v>18</v>
      </c>
      <c r="I1919">
        <v>128</v>
      </c>
      <c r="J1919">
        <v>2</v>
      </c>
      <c r="K1919">
        <v>7</v>
      </c>
      <c r="L1919">
        <v>51</v>
      </c>
      <c r="M1919" t="s">
        <v>20</v>
      </c>
      <c r="N1919" t="s">
        <v>69</v>
      </c>
      <c r="O1919">
        <v>32130</v>
      </c>
      <c r="P1919">
        <v>170</v>
      </c>
      <c r="Q1919" t="s">
        <v>68</v>
      </c>
      <c r="R1919" t="str">
        <f t="shared" si="30"/>
        <v>Yes</v>
      </c>
    </row>
    <row r="1920" spans="1:18" x14ac:dyDescent="0.35">
      <c r="A1920" s="1">
        <v>40417</v>
      </c>
      <c r="B1920">
        <v>0</v>
      </c>
      <c r="C1920" t="s">
        <v>55</v>
      </c>
      <c r="D1920" t="s">
        <v>66</v>
      </c>
      <c r="E1920" t="s">
        <v>18</v>
      </c>
      <c r="F1920">
        <v>128</v>
      </c>
      <c r="G1920" t="s">
        <v>19</v>
      </c>
      <c r="H1920" t="s">
        <v>18</v>
      </c>
      <c r="I1920">
        <v>128</v>
      </c>
      <c r="J1920">
        <v>1</v>
      </c>
      <c r="K1920">
        <v>2</v>
      </c>
      <c r="L1920">
        <v>51</v>
      </c>
      <c r="M1920" t="s">
        <v>20</v>
      </c>
      <c r="N1920" t="s">
        <v>21</v>
      </c>
      <c r="O1920">
        <v>30178</v>
      </c>
      <c r="P1920">
        <v>161</v>
      </c>
      <c r="Q1920" t="s">
        <v>19</v>
      </c>
      <c r="R1920" t="str">
        <f t="shared" si="30"/>
        <v>Yes</v>
      </c>
    </row>
    <row r="1921" spans="1:18" x14ac:dyDescent="0.35">
      <c r="A1921" s="1">
        <v>40417</v>
      </c>
      <c r="B1921">
        <v>0</v>
      </c>
      <c r="C1921" t="s">
        <v>55</v>
      </c>
      <c r="D1921" t="s">
        <v>25</v>
      </c>
      <c r="E1921" t="s">
        <v>18</v>
      </c>
      <c r="F1921">
        <v>128</v>
      </c>
      <c r="G1921" t="s">
        <v>62</v>
      </c>
      <c r="H1921" t="s">
        <v>18</v>
      </c>
      <c r="I1921">
        <v>127</v>
      </c>
      <c r="J1921">
        <v>3</v>
      </c>
      <c r="K1921">
        <v>2</v>
      </c>
      <c r="L1921">
        <v>72</v>
      </c>
      <c r="M1921" t="s">
        <v>20</v>
      </c>
      <c r="N1921" t="s">
        <v>81</v>
      </c>
      <c r="O1921">
        <v>34233</v>
      </c>
      <c r="P1921">
        <v>224</v>
      </c>
      <c r="Q1921" t="s">
        <v>25</v>
      </c>
      <c r="R1921" t="str">
        <f t="shared" si="30"/>
        <v>No</v>
      </c>
    </row>
    <row r="1922" spans="1:18" x14ac:dyDescent="0.35">
      <c r="A1922" s="1">
        <v>40417</v>
      </c>
      <c r="B1922">
        <v>0</v>
      </c>
      <c r="C1922" t="s">
        <v>55</v>
      </c>
      <c r="D1922" t="s">
        <v>60</v>
      </c>
      <c r="E1922" t="s">
        <v>18</v>
      </c>
      <c r="F1922">
        <v>129</v>
      </c>
      <c r="G1922" t="s">
        <v>70</v>
      </c>
      <c r="H1922" t="s">
        <v>18</v>
      </c>
      <c r="I1922">
        <v>129</v>
      </c>
      <c r="J1922">
        <v>6</v>
      </c>
      <c r="K1922">
        <v>0</v>
      </c>
      <c r="L1922">
        <v>54</v>
      </c>
      <c r="M1922" t="s">
        <v>20</v>
      </c>
      <c r="N1922" t="s">
        <v>71</v>
      </c>
      <c r="O1922">
        <v>38013</v>
      </c>
      <c r="P1922">
        <v>165</v>
      </c>
      <c r="Q1922" t="s">
        <v>60</v>
      </c>
      <c r="R1922" t="str">
        <f t="shared" si="30"/>
        <v>No</v>
      </c>
    </row>
    <row r="1923" spans="1:18" x14ac:dyDescent="0.35">
      <c r="A1923" s="1">
        <v>40417</v>
      </c>
      <c r="B1923">
        <v>0</v>
      </c>
      <c r="C1923" t="s">
        <v>55</v>
      </c>
      <c r="D1923" t="s">
        <v>52</v>
      </c>
      <c r="E1923" t="s">
        <v>18</v>
      </c>
      <c r="F1923">
        <v>126</v>
      </c>
      <c r="G1923" t="s">
        <v>26</v>
      </c>
      <c r="H1923" t="s">
        <v>18</v>
      </c>
      <c r="I1923">
        <v>129</v>
      </c>
      <c r="J1923">
        <v>4</v>
      </c>
      <c r="K1923">
        <v>2</v>
      </c>
      <c r="L1923">
        <v>54</v>
      </c>
      <c r="M1923" t="s">
        <v>20</v>
      </c>
      <c r="N1923" t="s">
        <v>27</v>
      </c>
      <c r="O1923">
        <v>22871</v>
      </c>
      <c r="P1923">
        <v>186</v>
      </c>
      <c r="Q1923" t="s">
        <v>52</v>
      </c>
      <c r="R1923" t="str">
        <f t="shared" ref="R1923:R1986" si="31">IF(K1923&gt;J1923,"Yes","No")</f>
        <v>No</v>
      </c>
    </row>
    <row r="1924" spans="1:18" x14ac:dyDescent="0.35">
      <c r="A1924" s="1">
        <v>40418</v>
      </c>
      <c r="B1924">
        <v>0</v>
      </c>
      <c r="C1924" t="s">
        <v>72</v>
      </c>
      <c r="D1924" t="s">
        <v>43</v>
      </c>
      <c r="E1924" t="s">
        <v>30</v>
      </c>
      <c r="F1924">
        <v>130</v>
      </c>
      <c r="G1924" t="s">
        <v>31</v>
      </c>
      <c r="H1924" t="s">
        <v>30</v>
      </c>
      <c r="I1924">
        <v>130</v>
      </c>
      <c r="J1924">
        <v>5</v>
      </c>
      <c r="K1924">
        <v>0</v>
      </c>
      <c r="L1924">
        <v>54</v>
      </c>
      <c r="M1924" t="s">
        <v>20</v>
      </c>
      <c r="N1924" t="s">
        <v>32</v>
      </c>
      <c r="O1924">
        <v>43127</v>
      </c>
      <c r="P1924">
        <v>161</v>
      </c>
      <c r="Q1924" t="s">
        <v>43</v>
      </c>
      <c r="R1924" t="str">
        <f t="shared" si="31"/>
        <v>No</v>
      </c>
    </row>
    <row r="1925" spans="1:18" x14ac:dyDescent="0.35">
      <c r="A1925" s="1">
        <v>40418</v>
      </c>
      <c r="B1925">
        <v>0</v>
      </c>
      <c r="C1925" t="s">
        <v>72</v>
      </c>
      <c r="D1925" t="s">
        <v>59</v>
      </c>
      <c r="E1925" t="s">
        <v>30</v>
      </c>
      <c r="F1925">
        <v>129</v>
      </c>
      <c r="G1925" t="s">
        <v>34</v>
      </c>
      <c r="H1925" t="s">
        <v>30</v>
      </c>
      <c r="I1925">
        <v>129</v>
      </c>
      <c r="J1925">
        <v>12</v>
      </c>
      <c r="K1925">
        <v>9</v>
      </c>
      <c r="L1925">
        <v>54</v>
      </c>
      <c r="M1925" t="s">
        <v>20</v>
      </c>
      <c r="N1925" t="s">
        <v>35</v>
      </c>
      <c r="O1925">
        <v>38811</v>
      </c>
      <c r="P1925">
        <v>211</v>
      </c>
      <c r="Q1925" t="s">
        <v>59</v>
      </c>
      <c r="R1925" t="str">
        <f t="shared" si="31"/>
        <v>No</v>
      </c>
    </row>
    <row r="1926" spans="1:18" x14ac:dyDescent="0.35">
      <c r="A1926" s="1">
        <v>40418</v>
      </c>
      <c r="B1926">
        <v>0</v>
      </c>
      <c r="C1926" t="s">
        <v>72</v>
      </c>
      <c r="D1926" t="s">
        <v>37</v>
      </c>
      <c r="E1926" t="s">
        <v>30</v>
      </c>
      <c r="F1926">
        <v>129</v>
      </c>
      <c r="G1926" t="s">
        <v>33</v>
      </c>
      <c r="H1926" t="s">
        <v>30</v>
      </c>
      <c r="I1926">
        <v>129</v>
      </c>
      <c r="J1926">
        <v>3</v>
      </c>
      <c r="K1926">
        <v>4</v>
      </c>
      <c r="L1926">
        <v>57</v>
      </c>
      <c r="M1926" t="s">
        <v>20</v>
      </c>
      <c r="N1926" t="s">
        <v>75</v>
      </c>
      <c r="O1926">
        <v>16372</v>
      </c>
      <c r="P1926">
        <v>188</v>
      </c>
      <c r="Q1926" t="s">
        <v>33</v>
      </c>
      <c r="R1926" t="str">
        <f t="shared" si="31"/>
        <v>Yes</v>
      </c>
    </row>
    <row r="1927" spans="1:18" x14ac:dyDescent="0.35">
      <c r="A1927" s="1">
        <v>40418</v>
      </c>
      <c r="B1927">
        <v>0</v>
      </c>
      <c r="C1927" t="s">
        <v>72</v>
      </c>
      <c r="D1927" t="s">
        <v>29</v>
      </c>
      <c r="E1927" t="s">
        <v>30</v>
      </c>
      <c r="F1927">
        <v>130</v>
      </c>
      <c r="G1927" t="s">
        <v>40</v>
      </c>
      <c r="H1927" t="s">
        <v>30</v>
      </c>
      <c r="I1927">
        <v>129</v>
      </c>
      <c r="J1927">
        <v>1</v>
      </c>
      <c r="K1927">
        <v>0</v>
      </c>
      <c r="L1927">
        <v>54</v>
      </c>
      <c r="M1927" t="s">
        <v>38</v>
      </c>
      <c r="N1927" t="s">
        <v>77</v>
      </c>
      <c r="O1927">
        <v>29892</v>
      </c>
      <c r="P1927">
        <v>133</v>
      </c>
      <c r="Q1927" t="s">
        <v>29</v>
      </c>
      <c r="R1927" t="str">
        <f t="shared" si="31"/>
        <v>No</v>
      </c>
    </row>
    <row r="1928" spans="1:18" x14ac:dyDescent="0.35">
      <c r="A1928" s="1">
        <v>40418</v>
      </c>
      <c r="B1928">
        <v>0</v>
      </c>
      <c r="C1928" t="s">
        <v>72</v>
      </c>
      <c r="D1928" t="s">
        <v>58</v>
      </c>
      <c r="E1928" t="s">
        <v>30</v>
      </c>
      <c r="F1928">
        <v>130</v>
      </c>
      <c r="G1928" t="s">
        <v>44</v>
      </c>
      <c r="H1928" t="s">
        <v>30</v>
      </c>
      <c r="I1928">
        <v>129</v>
      </c>
      <c r="J1928">
        <v>2</v>
      </c>
      <c r="K1928">
        <v>3</v>
      </c>
      <c r="L1928">
        <v>57</v>
      </c>
      <c r="M1928" t="s">
        <v>20</v>
      </c>
      <c r="N1928" t="s">
        <v>45</v>
      </c>
      <c r="O1928">
        <v>36973</v>
      </c>
      <c r="P1928">
        <v>197</v>
      </c>
      <c r="Q1928" t="s">
        <v>44</v>
      </c>
      <c r="R1928" t="str">
        <f t="shared" si="31"/>
        <v>Yes</v>
      </c>
    </row>
    <row r="1929" spans="1:18" x14ac:dyDescent="0.35">
      <c r="A1929" s="1">
        <v>40418</v>
      </c>
      <c r="B1929">
        <v>0</v>
      </c>
      <c r="C1929" t="s">
        <v>72</v>
      </c>
      <c r="D1929" t="s">
        <v>41</v>
      </c>
      <c r="E1929" t="s">
        <v>30</v>
      </c>
      <c r="F1929">
        <v>128</v>
      </c>
      <c r="G1929" t="s">
        <v>47</v>
      </c>
      <c r="H1929" t="s">
        <v>30</v>
      </c>
      <c r="I1929">
        <v>129</v>
      </c>
      <c r="J1929">
        <v>5</v>
      </c>
      <c r="K1929">
        <v>0</v>
      </c>
      <c r="L1929">
        <v>54</v>
      </c>
      <c r="M1929" t="s">
        <v>20</v>
      </c>
      <c r="N1929" t="s">
        <v>48</v>
      </c>
      <c r="O1929">
        <v>47411</v>
      </c>
      <c r="P1929">
        <v>148</v>
      </c>
      <c r="Q1929" t="s">
        <v>41</v>
      </c>
      <c r="R1929" t="str">
        <f t="shared" si="31"/>
        <v>No</v>
      </c>
    </row>
    <row r="1930" spans="1:18" x14ac:dyDescent="0.35">
      <c r="A1930" s="1">
        <v>40418</v>
      </c>
      <c r="B1930">
        <v>0</v>
      </c>
      <c r="C1930" t="s">
        <v>72</v>
      </c>
      <c r="D1930" t="s">
        <v>36</v>
      </c>
      <c r="E1930" t="s">
        <v>30</v>
      </c>
      <c r="F1930">
        <v>130</v>
      </c>
      <c r="G1930" t="s">
        <v>46</v>
      </c>
      <c r="H1930" t="s">
        <v>30</v>
      </c>
      <c r="I1930">
        <v>129</v>
      </c>
      <c r="J1930">
        <v>4</v>
      </c>
      <c r="K1930">
        <v>5</v>
      </c>
      <c r="L1930">
        <v>51</v>
      </c>
      <c r="M1930" t="s">
        <v>38</v>
      </c>
      <c r="N1930" t="s">
        <v>78</v>
      </c>
      <c r="O1930">
        <v>27119</v>
      </c>
      <c r="P1930">
        <v>171</v>
      </c>
      <c r="Q1930" t="s">
        <v>46</v>
      </c>
      <c r="R1930" t="str">
        <f t="shared" si="31"/>
        <v>Yes</v>
      </c>
    </row>
    <row r="1931" spans="1:18" x14ac:dyDescent="0.35">
      <c r="A1931" s="1">
        <v>40418</v>
      </c>
      <c r="B1931">
        <v>0</v>
      </c>
      <c r="C1931" t="s">
        <v>72</v>
      </c>
      <c r="D1931" t="s">
        <v>17</v>
      </c>
      <c r="E1931" t="s">
        <v>18</v>
      </c>
      <c r="F1931">
        <v>128</v>
      </c>
      <c r="G1931" t="s">
        <v>50</v>
      </c>
      <c r="H1931" t="s">
        <v>18</v>
      </c>
      <c r="I1931">
        <v>129</v>
      </c>
      <c r="J1931">
        <v>3</v>
      </c>
      <c r="K1931">
        <v>12</v>
      </c>
      <c r="L1931">
        <v>51</v>
      </c>
      <c r="M1931" t="s">
        <v>20</v>
      </c>
      <c r="N1931" t="s">
        <v>51</v>
      </c>
      <c r="O1931">
        <v>43846</v>
      </c>
      <c r="P1931">
        <v>171</v>
      </c>
      <c r="Q1931" t="s">
        <v>50</v>
      </c>
      <c r="R1931" t="str">
        <f t="shared" si="31"/>
        <v>Yes</v>
      </c>
    </row>
    <row r="1932" spans="1:18" x14ac:dyDescent="0.35">
      <c r="A1932" s="1">
        <v>40418</v>
      </c>
      <c r="B1932">
        <v>0</v>
      </c>
      <c r="C1932" t="s">
        <v>72</v>
      </c>
      <c r="D1932" t="s">
        <v>49</v>
      </c>
      <c r="E1932" t="s">
        <v>18</v>
      </c>
      <c r="F1932">
        <v>130</v>
      </c>
      <c r="G1932" t="s">
        <v>53</v>
      </c>
      <c r="H1932" t="s">
        <v>18</v>
      </c>
      <c r="I1932">
        <v>129</v>
      </c>
      <c r="J1932">
        <v>3</v>
      </c>
      <c r="K1932">
        <v>2</v>
      </c>
      <c r="L1932">
        <v>54</v>
      </c>
      <c r="M1932" t="s">
        <v>20</v>
      </c>
      <c r="N1932" t="s">
        <v>54</v>
      </c>
      <c r="O1932">
        <v>41292</v>
      </c>
      <c r="P1932">
        <v>150</v>
      </c>
      <c r="Q1932" t="s">
        <v>49</v>
      </c>
      <c r="R1932" t="str">
        <f t="shared" si="31"/>
        <v>No</v>
      </c>
    </row>
    <row r="1933" spans="1:18" x14ac:dyDescent="0.35">
      <c r="A1933" s="1">
        <v>40418</v>
      </c>
      <c r="B1933">
        <v>0</v>
      </c>
      <c r="C1933" t="s">
        <v>72</v>
      </c>
      <c r="D1933" t="s">
        <v>22</v>
      </c>
      <c r="E1933" t="s">
        <v>18</v>
      </c>
      <c r="F1933">
        <v>130</v>
      </c>
      <c r="G1933" t="s">
        <v>63</v>
      </c>
      <c r="H1933" t="s">
        <v>18</v>
      </c>
      <c r="I1933">
        <v>128</v>
      </c>
      <c r="J1933">
        <v>3</v>
      </c>
      <c r="K1933">
        <v>5</v>
      </c>
      <c r="L1933">
        <v>51</v>
      </c>
      <c r="M1933" t="s">
        <v>20</v>
      </c>
      <c r="N1933" t="s">
        <v>64</v>
      </c>
      <c r="O1933">
        <v>45322</v>
      </c>
      <c r="P1933">
        <v>169</v>
      </c>
      <c r="Q1933" t="s">
        <v>63</v>
      </c>
      <c r="R1933" t="str">
        <f t="shared" si="31"/>
        <v>Yes</v>
      </c>
    </row>
    <row r="1934" spans="1:18" x14ac:dyDescent="0.35">
      <c r="A1934" s="1">
        <v>40418</v>
      </c>
      <c r="B1934">
        <v>0</v>
      </c>
      <c r="C1934" t="s">
        <v>72</v>
      </c>
      <c r="D1934" t="s">
        <v>23</v>
      </c>
      <c r="E1934" t="s">
        <v>18</v>
      </c>
      <c r="F1934">
        <v>129</v>
      </c>
      <c r="G1934" t="s">
        <v>68</v>
      </c>
      <c r="H1934" t="s">
        <v>18</v>
      </c>
      <c r="I1934">
        <v>129</v>
      </c>
      <c r="J1934">
        <v>7</v>
      </c>
      <c r="K1934">
        <v>8</v>
      </c>
      <c r="L1934">
        <v>64</v>
      </c>
      <c r="M1934" t="s">
        <v>20</v>
      </c>
      <c r="N1934" t="s">
        <v>69</v>
      </c>
      <c r="O1934">
        <v>37782</v>
      </c>
      <c r="P1934">
        <v>256</v>
      </c>
      <c r="Q1934" t="s">
        <v>68</v>
      </c>
      <c r="R1934" t="str">
        <f t="shared" si="31"/>
        <v>Yes</v>
      </c>
    </row>
    <row r="1935" spans="1:18" x14ac:dyDescent="0.35">
      <c r="A1935" s="1">
        <v>40418</v>
      </c>
      <c r="B1935">
        <v>0</v>
      </c>
      <c r="C1935" t="s">
        <v>72</v>
      </c>
      <c r="D1935" t="s">
        <v>66</v>
      </c>
      <c r="E1935" t="s">
        <v>18</v>
      </c>
      <c r="F1935">
        <v>129</v>
      </c>
      <c r="G1935" t="s">
        <v>19</v>
      </c>
      <c r="H1935" t="s">
        <v>18</v>
      </c>
      <c r="I1935">
        <v>129</v>
      </c>
      <c r="J1935">
        <v>4</v>
      </c>
      <c r="K1935">
        <v>1</v>
      </c>
      <c r="L1935">
        <v>54</v>
      </c>
      <c r="M1935" t="s">
        <v>20</v>
      </c>
      <c r="N1935" t="s">
        <v>21</v>
      </c>
      <c r="O1935">
        <v>33024</v>
      </c>
      <c r="P1935">
        <v>156</v>
      </c>
      <c r="Q1935" t="s">
        <v>66</v>
      </c>
      <c r="R1935" t="str">
        <f t="shared" si="31"/>
        <v>No</v>
      </c>
    </row>
    <row r="1936" spans="1:18" x14ac:dyDescent="0.35">
      <c r="A1936" s="1">
        <v>40418</v>
      </c>
      <c r="B1936">
        <v>0</v>
      </c>
      <c r="C1936" t="s">
        <v>72</v>
      </c>
      <c r="D1936" t="s">
        <v>25</v>
      </c>
      <c r="E1936" t="s">
        <v>18</v>
      </c>
      <c r="F1936">
        <v>129</v>
      </c>
      <c r="G1936" t="s">
        <v>62</v>
      </c>
      <c r="H1936" t="s">
        <v>18</v>
      </c>
      <c r="I1936">
        <v>128</v>
      </c>
      <c r="J1936">
        <v>3</v>
      </c>
      <c r="K1936">
        <v>1</v>
      </c>
      <c r="L1936">
        <v>54</v>
      </c>
      <c r="M1936" t="s">
        <v>38</v>
      </c>
      <c r="N1936" t="s">
        <v>81</v>
      </c>
      <c r="O1936">
        <v>37424</v>
      </c>
      <c r="P1936">
        <v>162</v>
      </c>
      <c r="Q1936" t="s">
        <v>25</v>
      </c>
      <c r="R1936" t="str">
        <f t="shared" si="31"/>
        <v>No</v>
      </c>
    </row>
    <row r="1937" spans="1:18" x14ac:dyDescent="0.35">
      <c r="A1937" s="1">
        <v>40418</v>
      </c>
      <c r="B1937">
        <v>0</v>
      </c>
      <c r="C1937" t="s">
        <v>72</v>
      </c>
      <c r="D1937" t="s">
        <v>60</v>
      </c>
      <c r="E1937" t="s">
        <v>18</v>
      </c>
      <c r="F1937">
        <v>130</v>
      </c>
      <c r="G1937" t="s">
        <v>70</v>
      </c>
      <c r="H1937" t="s">
        <v>18</v>
      </c>
      <c r="I1937">
        <v>130</v>
      </c>
      <c r="J1937">
        <v>11</v>
      </c>
      <c r="K1937">
        <v>3</v>
      </c>
      <c r="L1937">
        <v>54</v>
      </c>
      <c r="M1937" t="s">
        <v>20</v>
      </c>
      <c r="N1937" t="s">
        <v>71</v>
      </c>
      <c r="O1937">
        <v>41250</v>
      </c>
      <c r="P1937">
        <v>168</v>
      </c>
      <c r="Q1937" t="s">
        <v>60</v>
      </c>
      <c r="R1937" t="str">
        <f t="shared" si="31"/>
        <v>No</v>
      </c>
    </row>
    <row r="1938" spans="1:18" x14ac:dyDescent="0.35">
      <c r="A1938" s="1">
        <v>40418</v>
      </c>
      <c r="B1938">
        <v>0</v>
      </c>
      <c r="C1938" t="s">
        <v>72</v>
      </c>
      <c r="D1938" t="s">
        <v>52</v>
      </c>
      <c r="E1938" t="s">
        <v>18</v>
      </c>
      <c r="F1938">
        <v>127</v>
      </c>
      <c r="G1938" t="s">
        <v>26</v>
      </c>
      <c r="H1938" t="s">
        <v>18</v>
      </c>
      <c r="I1938">
        <v>130</v>
      </c>
      <c r="J1938">
        <v>5</v>
      </c>
      <c r="K1938">
        <v>14</v>
      </c>
      <c r="L1938">
        <v>51</v>
      </c>
      <c r="M1938" t="s">
        <v>20</v>
      </c>
      <c r="N1938" t="s">
        <v>27</v>
      </c>
      <c r="O1938">
        <v>30688</v>
      </c>
      <c r="P1938">
        <v>167</v>
      </c>
      <c r="Q1938" t="s">
        <v>26</v>
      </c>
      <c r="R1938" t="str">
        <f t="shared" si="31"/>
        <v>Yes</v>
      </c>
    </row>
    <row r="1939" spans="1:18" x14ac:dyDescent="0.35">
      <c r="A1939" s="1">
        <v>40419</v>
      </c>
      <c r="B1939">
        <v>0</v>
      </c>
      <c r="C1939" t="s">
        <v>73</v>
      </c>
      <c r="D1939" t="s">
        <v>43</v>
      </c>
      <c r="E1939" t="s">
        <v>30</v>
      </c>
      <c r="F1939">
        <v>131</v>
      </c>
      <c r="G1939" t="s">
        <v>31</v>
      </c>
      <c r="H1939" t="s">
        <v>30</v>
      </c>
      <c r="I1939">
        <v>131</v>
      </c>
      <c r="J1939">
        <v>1</v>
      </c>
      <c r="K1939">
        <v>0</v>
      </c>
      <c r="L1939">
        <v>54</v>
      </c>
      <c r="M1939" t="s">
        <v>38</v>
      </c>
      <c r="N1939" t="s">
        <v>32</v>
      </c>
      <c r="O1939">
        <v>38232</v>
      </c>
      <c r="P1939">
        <v>145</v>
      </c>
      <c r="Q1939" t="s">
        <v>43</v>
      </c>
      <c r="R1939" t="str">
        <f t="shared" si="31"/>
        <v>No</v>
      </c>
    </row>
    <row r="1940" spans="1:18" x14ac:dyDescent="0.35">
      <c r="A1940" s="1">
        <v>40419</v>
      </c>
      <c r="B1940">
        <v>0</v>
      </c>
      <c r="C1940" t="s">
        <v>73</v>
      </c>
      <c r="D1940" t="s">
        <v>59</v>
      </c>
      <c r="E1940" t="s">
        <v>30</v>
      </c>
      <c r="F1940">
        <v>130</v>
      </c>
      <c r="G1940" t="s">
        <v>34</v>
      </c>
      <c r="H1940" t="s">
        <v>30</v>
      </c>
      <c r="I1940">
        <v>130</v>
      </c>
      <c r="J1940">
        <v>2</v>
      </c>
      <c r="K1940">
        <v>1</v>
      </c>
      <c r="L1940">
        <v>54</v>
      </c>
      <c r="M1940" t="s">
        <v>38</v>
      </c>
      <c r="N1940" t="s">
        <v>35</v>
      </c>
      <c r="O1940">
        <v>39433</v>
      </c>
      <c r="P1940">
        <v>205</v>
      </c>
      <c r="Q1940" t="s">
        <v>59</v>
      </c>
      <c r="R1940" t="str">
        <f t="shared" si="31"/>
        <v>No</v>
      </c>
    </row>
    <row r="1941" spans="1:18" x14ac:dyDescent="0.35">
      <c r="A1941" s="1">
        <v>40419</v>
      </c>
      <c r="B1941">
        <v>0</v>
      </c>
      <c r="C1941" t="s">
        <v>73</v>
      </c>
      <c r="D1941" t="s">
        <v>37</v>
      </c>
      <c r="E1941" t="s">
        <v>30</v>
      </c>
      <c r="F1941">
        <v>130</v>
      </c>
      <c r="G1941" t="s">
        <v>33</v>
      </c>
      <c r="H1941" t="s">
        <v>30</v>
      </c>
      <c r="I1941">
        <v>130</v>
      </c>
      <c r="J1941">
        <v>6</v>
      </c>
      <c r="K1941">
        <v>2</v>
      </c>
      <c r="L1941">
        <v>54</v>
      </c>
      <c r="M1941" t="s">
        <v>38</v>
      </c>
      <c r="N1941" t="s">
        <v>75</v>
      </c>
      <c r="O1941">
        <v>19725</v>
      </c>
      <c r="P1941">
        <v>186</v>
      </c>
      <c r="Q1941" t="s">
        <v>37</v>
      </c>
      <c r="R1941" t="str">
        <f t="shared" si="31"/>
        <v>No</v>
      </c>
    </row>
    <row r="1942" spans="1:18" x14ac:dyDescent="0.35">
      <c r="A1942" s="1">
        <v>40419</v>
      </c>
      <c r="B1942">
        <v>0</v>
      </c>
      <c r="C1942" t="s">
        <v>73</v>
      </c>
      <c r="D1942" t="s">
        <v>29</v>
      </c>
      <c r="E1942" t="s">
        <v>30</v>
      </c>
      <c r="F1942">
        <v>131</v>
      </c>
      <c r="G1942" t="s">
        <v>40</v>
      </c>
      <c r="H1942" t="s">
        <v>30</v>
      </c>
      <c r="I1942">
        <v>130</v>
      </c>
      <c r="J1942">
        <v>1</v>
      </c>
      <c r="K1942">
        <v>2</v>
      </c>
      <c r="L1942">
        <v>51</v>
      </c>
      <c r="M1942" t="s">
        <v>38</v>
      </c>
      <c r="N1942" t="s">
        <v>77</v>
      </c>
      <c r="O1942">
        <v>28923</v>
      </c>
      <c r="P1942">
        <v>126</v>
      </c>
      <c r="Q1942" t="s">
        <v>40</v>
      </c>
      <c r="R1942" t="str">
        <f t="shared" si="31"/>
        <v>Yes</v>
      </c>
    </row>
    <row r="1943" spans="1:18" x14ac:dyDescent="0.35">
      <c r="A1943" s="1">
        <v>40419</v>
      </c>
      <c r="B1943">
        <v>0</v>
      </c>
      <c r="C1943" t="s">
        <v>73</v>
      </c>
      <c r="D1943" t="s">
        <v>58</v>
      </c>
      <c r="E1943" t="s">
        <v>30</v>
      </c>
      <c r="F1943">
        <v>131</v>
      </c>
      <c r="G1943" t="s">
        <v>44</v>
      </c>
      <c r="H1943" t="s">
        <v>30</v>
      </c>
      <c r="I1943">
        <v>130</v>
      </c>
      <c r="J1943">
        <v>3</v>
      </c>
      <c r="K1943">
        <v>5</v>
      </c>
      <c r="L1943">
        <v>51</v>
      </c>
      <c r="M1943" t="s">
        <v>20</v>
      </c>
      <c r="N1943" t="s">
        <v>45</v>
      </c>
      <c r="O1943">
        <v>23438</v>
      </c>
      <c r="P1943">
        <v>172</v>
      </c>
      <c r="Q1943" t="s">
        <v>44</v>
      </c>
      <c r="R1943" t="str">
        <f t="shared" si="31"/>
        <v>Yes</v>
      </c>
    </row>
    <row r="1944" spans="1:18" x14ac:dyDescent="0.35">
      <c r="A1944" s="1">
        <v>40419</v>
      </c>
      <c r="B1944">
        <v>0</v>
      </c>
      <c r="C1944" t="s">
        <v>73</v>
      </c>
      <c r="D1944" t="s">
        <v>41</v>
      </c>
      <c r="E1944" t="s">
        <v>30</v>
      </c>
      <c r="F1944">
        <v>129</v>
      </c>
      <c r="G1944" t="s">
        <v>47</v>
      </c>
      <c r="H1944" t="s">
        <v>30</v>
      </c>
      <c r="I1944">
        <v>130</v>
      </c>
      <c r="J1944">
        <v>8</v>
      </c>
      <c r="K1944">
        <v>2</v>
      </c>
      <c r="L1944">
        <v>54</v>
      </c>
      <c r="M1944" t="s">
        <v>38</v>
      </c>
      <c r="N1944" t="s">
        <v>48</v>
      </c>
      <c r="O1944">
        <v>37188</v>
      </c>
      <c r="P1944">
        <v>166</v>
      </c>
      <c r="Q1944" t="s">
        <v>41</v>
      </c>
      <c r="R1944" t="str">
        <f t="shared" si="31"/>
        <v>No</v>
      </c>
    </row>
    <row r="1945" spans="1:18" x14ac:dyDescent="0.35">
      <c r="A1945" s="1">
        <v>40419</v>
      </c>
      <c r="B1945">
        <v>0</v>
      </c>
      <c r="C1945" t="s">
        <v>73</v>
      </c>
      <c r="D1945" t="s">
        <v>36</v>
      </c>
      <c r="E1945" t="s">
        <v>30</v>
      </c>
      <c r="F1945">
        <v>131</v>
      </c>
      <c r="G1945" t="s">
        <v>46</v>
      </c>
      <c r="H1945" t="s">
        <v>30</v>
      </c>
      <c r="I1945">
        <v>130</v>
      </c>
      <c r="J1945">
        <v>10</v>
      </c>
      <c r="K1945">
        <v>4</v>
      </c>
      <c r="L1945">
        <v>54</v>
      </c>
      <c r="M1945" t="s">
        <v>38</v>
      </c>
      <c r="N1945" t="s">
        <v>78</v>
      </c>
      <c r="O1945">
        <v>26624</v>
      </c>
      <c r="P1945">
        <v>159</v>
      </c>
      <c r="Q1945" t="s">
        <v>36</v>
      </c>
      <c r="R1945" t="str">
        <f t="shared" si="31"/>
        <v>No</v>
      </c>
    </row>
    <row r="1946" spans="1:18" x14ac:dyDescent="0.35">
      <c r="A1946" s="1">
        <v>40419</v>
      </c>
      <c r="B1946">
        <v>0</v>
      </c>
      <c r="C1946" t="s">
        <v>73</v>
      </c>
      <c r="D1946" t="s">
        <v>17</v>
      </c>
      <c r="E1946" t="s">
        <v>18</v>
      </c>
      <c r="F1946">
        <v>129</v>
      </c>
      <c r="G1946" t="s">
        <v>50</v>
      </c>
      <c r="H1946" t="s">
        <v>18</v>
      </c>
      <c r="I1946">
        <v>130</v>
      </c>
      <c r="J1946">
        <v>6</v>
      </c>
      <c r="K1946">
        <v>7</v>
      </c>
      <c r="L1946">
        <v>53</v>
      </c>
      <c r="M1946" t="s">
        <v>38</v>
      </c>
      <c r="N1946" t="s">
        <v>51</v>
      </c>
      <c r="O1946">
        <v>38170</v>
      </c>
      <c r="P1946">
        <v>195</v>
      </c>
      <c r="Q1946" t="s">
        <v>50</v>
      </c>
      <c r="R1946" t="str">
        <f t="shared" si="31"/>
        <v>Yes</v>
      </c>
    </row>
    <row r="1947" spans="1:18" x14ac:dyDescent="0.35">
      <c r="A1947" s="1">
        <v>40419</v>
      </c>
      <c r="B1947">
        <v>0</v>
      </c>
      <c r="C1947" t="s">
        <v>73</v>
      </c>
      <c r="D1947" t="s">
        <v>49</v>
      </c>
      <c r="E1947" t="s">
        <v>18</v>
      </c>
      <c r="F1947">
        <v>131</v>
      </c>
      <c r="G1947" t="s">
        <v>53</v>
      </c>
      <c r="H1947" t="s">
        <v>18</v>
      </c>
      <c r="I1947">
        <v>130</v>
      </c>
      <c r="J1947">
        <v>5</v>
      </c>
      <c r="K1947">
        <v>7</v>
      </c>
      <c r="L1947">
        <v>51</v>
      </c>
      <c r="M1947" t="s">
        <v>38</v>
      </c>
      <c r="N1947" t="s">
        <v>54</v>
      </c>
      <c r="O1947">
        <v>30809</v>
      </c>
      <c r="P1947">
        <v>170</v>
      </c>
      <c r="Q1947" t="s">
        <v>53</v>
      </c>
      <c r="R1947" t="str">
        <f t="shared" si="31"/>
        <v>Yes</v>
      </c>
    </row>
    <row r="1948" spans="1:18" x14ac:dyDescent="0.35">
      <c r="A1948" s="1">
        <v>40419</v>
      </c>
      <c r="B1948">
        <v>0</v>
      </c>
      <c r="C1948" t="s">
        <v>73</v>
      </c>
      <c r="D1948" t="s">
        <v>22</v>
      </c>
      <c r="E1948" t="s">
        <v>18</v>
      </c>
      <c r="F1948">
        <v>131</v>
      </c>
      <c r="G1948" t="s">
        <v>63</v>
      </c>
      <c r="H1948" t="s">
        <v>18</v>
      </c>
      <c r="I1948">
        <v>129</v>
      </c>
      <c r="J1948">
        <v>5</v>
      </c>
      <c r="K1948">
        <v>10</v>
      </c>
      <c r="L1948">
        <v>51</v>
      </c>
      <c r="M1948" t="s">
        <v>38</v>
      </c>
      <c r="N1948" t="s">
        <v>64</v>
      </c>
      <c r="O1948">
        <v>38343</v>
      </c>
      <c r="P1948">
        <v>209</v>
      </c>
      <c r="Q1948" t="s">
        <v>63</v>
      </c>
      <c r="R1948" t="str">
        <f t="shared" si="31"/>
        <v>Yes</v>
      </c>
    </row>
    <row r="1949" spans="1:18" x14ac:dyDescent="0.35">
      <c r="A1949" s="1">
        <v>40419</v>
      </c>
      <c r="B1949">
        <v>0</v>
      </c>
      <c r="C1949" t="s">
        <v>73</v>
      </c>
      <c r="D1949" t="s">
        <v>23</v>
      </c>
      <c r="E1949" t="s">
        <v>18</v>
      </c>
      <c r="F1949">
        <v>130</v>
      </c>
      <c r="G1949" t="s">
        <v>68</v>
      </c>
      <c r="H1949" t="s">
        <v>18</v>
      </c>
      <c r="I1949">
        <v>130</v>
      </c>
      <c r="J1949">
        <v>4</v>
      </c>
      <c r="K1949">
        <v>8</v>
      </c>
      <c r="L1949">
        <v>51</v>
      </c>
      <c r="M1949" t="s">
        <v>38</v>
      </c>
      <c r="N1949" t="s">
        <v>69</v>
      </c>
      <c r="O1949">
        <v>35733</v>
      </c>
      <c r="P1949">
        <v>191</v>
      </c>
      <c r="Q1949" t="s">
        <v>68</v>
      </c>
      <c r="R1949" t="str">
        <f t="shared" si="31"/>
        <v>Yes</v>
      </c>
    </row>
    <row r="1950" spans="1:18" x14ac:dyDescent="0.35">
      <c r="A1950" s="1">
        <v>40419</v>
      </c>
      <c r="B1950">
        <v>0</v>
      </c>
      <c r="C1950" t="s">
        <v>73</v>
      </c>
      <c r="D1950" t="s">
        <v>66</v>
      </c>
      <c r="E1950" t="s">
        <v>18</v>
      </c>
      <c r="F1950">
        <v>130</v>
      </c>
      <c r="G1950" t="s">
        <v>19</v>
      </c>
      <c r="H1950" t="s">
        <v>18</v>
      </c>
      <c r="I1950">
        <v>130</v>
      </c>
      <c r="J1950">
        <v>1</v>
      </c>
      <c r="K1950">
        <v>5</v>
      </c>
      <c r="L1950">
        <v>51</v>
      </c>
      <c r="M1950" t="s">
        <v>38</v>
      </c>
      <c r="N1950" t="s">
        <v>21</v>
      </c>
      <c r="O1950">
        <v>32779</v>
      </c>
      <c r="P1950">
        <v>162</v>
      </c>
      <c r="Q1950" t="s">
        <v>19</v>
      </c>
      <c r="R1950" t="str">
        <f t="shared" si="31"/>
        <v>Yes</v>
      </c>
    </row>
    <row r="1951" spans="1:18" x14ac:dyDescent="0.35">
      <c r="A1951" s="1">
        <v>40419</v>
      </c>
      <c r="B1951">
        <v>0</v>
      </c>
      <c r="C1951" t="s">
        <v>73</v>
      </c>
      <c r="D1951" t="s">
        <v>25</v>
      </c>
      <c r="E1951" t="s">
        <v>18</v>
      </c>
      <c r="F1951">
        <v>130</v>
      </c>
      <c r="G1951" t="s">
        <v>62</v>
      </c>
      <c r="H1951" t="s">
        <v>18</v>
      </c>
      <c r="I1951">
        <v>129</v>
      </c>
      <c r="J1951">
        <v>5</v>
      </c>
      <c r="K1951">
        <v>0</v>
      </c>
      <c r="L1951">
        <v>54</v>
      </c>
      <c r="M1951" t="s">
        <v>38</v>
      </c>
      <c r="N1951" t="s">
        <v>81</v>
      </c>
      <c r="O1951">
        <v>30528</v>
      </c>
      <c r="P1951">
        <v>139</v>
      </c>
      <c r="Q1951" t="s">
        <v>25</v>
      </c>
      <c r="R1951" t="str">
        <f t="shared" si="31"/>
        <v>No</v>
      </c>
    </row>
    <row r="1952" spans="1:18" x14ac:dyDescent="0.35">
      <c r="A1952" s="1">
        <v>40419</v>
      </c>
      <c r="B1952">
        <v>0</v>
      </c>
      <c r="C1952" t="s">
        <v>73</v>
      </c>
      <c r="D1952" t="s">
        <v>60</v>
      </c>
      <c r="E1952" t="s">
        <v>18</v>
      </c>
      <c r="F1952">
        <v>131</v>
      </c>
      <c r="G1952" t="s">
        <v>70</v>
      </c>
      <c r="H1952" t="s">
        <v>18</v>
      </c>
      <c r="I1952">
        <v>131</v>
      </c>
      <c r="J1952">
        <v>7</v>
      </c>
      <c r="K1952">
        <v>9</v>
      </c>
      <c r="L1952">
        <v>51</v>
      </c>
      <c r="M1952" t="s">
        <v>38</v>
      </c>
      <c r="N1952" t="s">
        <v>71</v>
      </c>
      <c r="O1952">
        <v>38735</v>
      </c>
      <c r="P1952">
        <v>183</v>
      </c>
      <c r="Q1952" t="s">
        <v>70</v>
      </c>
      <c r="R1952" t="str">
        <f t="shared" si="31"/>
        <v>Yes</v>
      </c>
    </row>
    <row r="1953" spans="1:18" x14ac:dyDescent="0.35">
      <c r="A1953" s="1">
        <v>40419</v>
      </c>
      <c r="B1953">
        <v>0</v>
      </c>
      <c r="C1953" t="s">
        <v>73</v>
      </c>
      <c r="D1953" t="s">
        <v>52</v>
      </c>
      <c r="E1953" t="s">
        <v>18</v>
      </c>
      <c r="F1953">
        <v>128</v>
      </c>
      <c r="G1953" t="s">
        <v>26</v>
      </c>
      <c r="H1953" t="s">
        <v>18</v>
      </c>
      <c r="I1953">
        <v>131</v>
      </c>
      <c r="J1953">
        <v>2</v>
      </c>
      <c r="K1953">
        <v>4</v>
      </c>
      <c r="L1953">
        <v>51</v>
      </c>
      <c r="M1953" t="s">
        <v>38</v>
      </c>
      <c r="N1953" t="s">
        <v>27</v>
      </c>
      <c r="O1953">
        <v>24782</v>
      </c>
      <c r="P1953">
        <v>158</v>
      </c>
      <c r="Q1953" t="s">
        <v>26</v>
      </c>
      <c r="R1953" t="str">
        <f t="shared" si="31"/>
        <v>Yes</v>
      </c>
    </row>
    <row r="1954" spans="1:18" x14ac:dyDescent="0.35">
      <c r="A1954" s="1">
        <v>40420</v>
      </c>
      <c r="B1954">
        <v>0</v>
      </c>
      <c r="C1954" t="s">
        <v>74</v>
      </c>
      <c r="D1954" t="s">
        <v>34</v>
      </c>
      <c r="E1954" t="s">
        <v>30</v>
      </c>
      <c r="F1954">
        <v>131</v>
      </c>
      <c r="G1954" t="s">
        <v>33</v>
      </c>
      <c r="H1954" t="s">
        <v>30</v>
      </c>
      <c r="I1954">
        <v>131</v>
      </c>
      <c r="J1954">
        <v>10</v>
      </c>
      <c r="K1954">
        <v>6</v>
      </c>
      <c r="L1954">
        <v>66</v>
      </c>
      <c r="M1954" t="s">
        <v>20</v>
      </c>
      <c r="N1954" t="s">
        <v>75</v>
      </c>
      <c r="O1954">
        <v>10663</v>
      </c>
      <c r="P1954">
        <v>251</v>
      </c>
      <c r="Q1954" t="s">
        <v>34</v>
      </c>
      <c r="R1954" t="str">
        <f t="shared" si="31"/>
        <v>No</v>
      </c>
    </row>
    <row r="1955" spans="1:18" x14ac:dyDescent="0.35">
      <c r="A1955" s="1">
        <v>40420</v>
      </c>
      <c r="B1955">
        <v>0</v>
      </c>
      <c r="C1955" t="s">
        <v>74</v>
      </c>
      <c r="D1955" t="s">
        <v>47</v>
      </c>
      <c r="E1955" t="s">
        <v>30</v>
      </c>
      <c r="F1955">
        <v>131</v>
      </c>
      <c r="G1955" t="s">
        <v>37</v>
      </c>
      <c r="H1955" t="s">
        <v>30</v>
      </c>
      <c r="I1955">
        <v>131</v>
      </c>
      <c r="J1955">
        <v>3</v>
      </c>
      <c r="K1955">
        <v>0</v>
      </c>
      <c r="L1955">
        <v>54</v>
      </c>
      <c r="M1955" t="s">
        <v>20</v>
      </c>
      <c r="N1955" t="s">
        <v>39</v>
      </c>
      <c r="O1955">
        <v>15881</v>
      </c>
      <c r="P1955">
        <v>148</v>
      </c>
      <c r="Q1955" t="s">
        <v>47</v>
      </c>
      <c r="R1955" t="str">
        <f t="shared" si="31"/>
        <v>No</v>
      </c>
    </row>
    <row r="1956" spans="1:18" x14ac:dyDescent="0.35">
      <c r="A1956" s="1">
        <v>40420</v>
      </c>
      <c r="B1956">
        <v>0</v>
      </c>
      <c r="C1956" t="s">
        <v>74</v>
      </c>
      <c r="D1956" t="s">
        <v>41</v>
      </c>
      <c r="E1956" t="s">
        <v>30</v>
      </c>
      <c r="F1956">
        <v>130</v>
      </c>
      <c r="G1956" t="s">
        <v>59</v>
      </c>
      <c r="H1956" t="s">
        <v>30</v>
      </c>
      <c r="I1956">
        <v>131</v>
      </c>
      <c r="J1956">
        <v>5</v>
      </c>
      <c r="K1956">
        <v>11</v>
      </c>
      <c r="L1956">
        <v>51</v>
      </c>
      <c r="M1956" t="s">
        <v>20</v>
      </c>
      <c r="N1956" t="s">
        <v>84</v>
      </c>
      <c r="O1956">
        <v>46356</v>
      </c>
      <c r="P1956">
        <v>189</v>
      </c>
      <c r="Q1956" t="s">
        <v>59</v>
      </c>
      <c r="R1956" t="str">
        <f t="shared" si="31"/>
        <v>Yes</v>
      </c>
    </row>
    <row r="1957" spans="1:18" x14ac:dyDescent="0.35">
      <c r="A1957" s="1">
        <v>40420</v>
      </c>
      <c r="B1957">
        <v>0</v>
      </c>
      <c r="C1957" t="s">
        <v>74</v>
      </c>
      <c r="D1957" t="s">
        <v>31</v>
      </c>
      <c r="E1957" t="s">
        <v>30</v>
      </c>
      <c r="F1957">
        <v>132</v>
      </c>
      <c r="G1957" t="s">
        <v>40</v>
      </c>
      <c r="H1957" t="s">
        <v>30</v>
      </c>
      <c r="I1957">
        <v>131</v>
      </c>
      <c r="J1957">
        <v>5</v>
      </c>
      <c r="K1957">
        <v>3</v>
      </c>
      <c r="L1957">
        <v>54</v>
      </c>
      <c r="M1957" t="s">
        <v>20</v>
      </c>
      <c r="N1957" t="s">
        <v>77</v>
      </c>
      <c r="O1957">
        <v>20545</v>
      </c>
      <c r="P1957">
        <v>166</v>
      </c>
      <c r="Q1957" t="s">
        <v>31</v>
      </c>
      <c r="R1957" t="str">
        <f t="shared" si="31"/>
        <v>No</v>
      </c>
    </row>
    <row r="1958" spans="1:18" x14ac:dyDescent="0.35">
      <c r="A1958" s="1">
        <v>40420</v>
      </c>
      <c r="B1958">
        <v>0</v>
      </c>
      <c r="C1958" t="s">
        <v>74</v>
      </c>
      <c r="D1958" t="s">
        <v>46</v>
      </c>
      <c r="E1958" t="s">
        <v>30</v>
      </c>
      <c r="F1958">
        <v>131</v>
      </c>
      <c r="G1958" t="s">
        <v>44</v>
      </c>
      <c r="H1958" t="s">
        <v>30</v>
      </c>
      <c r="I1958">
        <v>131</v>
      </c>
      <c r="J1958">
        <v>2</v>
      </c>
      <c r="K1958">
        <v>6</v>
      </c>
      <c r="L1958">
        <v>51</v>
      </c>
      <c r="M1958" t="s">
        <v>20</v>
      </c>
      <c r="N1958" t="s">
        <v>45</v>
      </c>
      <c r="O1958">
        <v>11968</v>
      </c>
      <c r="P1958">
        <v>134</v>
      </c>
      <c r="Q1958" t="s">
        <v>44</v>
      </c>
      <c r="R1958" t="str">
        <f t="shared" si="31"/>
        <v>Yes</v>
      </c>
    </row>
    <row r="1959" spans="1:18" x14ac:dyDescent="0.35">
      <c r="A1959" s="1">
        <v>40420</v>
      </c>
      <c r="B1959">
        <v>0</v>
      </c>
      <c r="C1959" t="s">
        <v>74</v>
      </c>
      <c r="D1959" t="s">
        <v>62</v>
      </c>
      <c r="E1959" t="s">
        <v>18</v>
      </c>
      <c r="F1959">
        <v>130</v>
      </c>
      <c r="G1959" t="s">
        <v>60</v>
      </c>
      <c r="H1959" t="s">
        <v>18</v>
      </c>
      <c r="I1959">
        <v>132</v>
      </c>
      <c r="J1959">
        <v>2</v>
      </c>
      <c r="K1959">
        <v>7</v>
      </c>
      <c r="L1959">
        <v>51</v>
      </c>
      <c r="M1959" t="s">
        <v>20</v>
      </c>
      <c r="N1959" t="s">
        <v>61</v>
      </c>
      <c r="O1959">
        <v>17829</v>
      </c>
      <c r="P1959">
        <v>142</v>
      </c>
      <c r="Q1959" t="s">
        <v>60</v>
      </c>
      <c r="R1959" t="str">
        <f t="shared" si="31"/>
        <v>Yes</v>
      </c>
    </row>
    <row r="1960" spans="1:18" x14ac:dyDescent="0.35">
      <c r="A1960" s="1">
        <v>40420</v>
      </c>
      <c r="B1960">
        <v>0</v>
      </c>
      <c r="C1960" t="s">
        <v>74</v>
      </c>
      <c r="D1960" t="s">
        <v>19</v>
      </c>
      <c r="E1960" t="s">
        <v>18</v>
      </c>
      <c r="F1960">
        <v>131</v>
      </c>
      <c r="G1960" t="s">
        <v>50</v>
      </c>
      <c r="H1960" t="s">
        <v>18</v>
      </c>
      <c r="I1960">
        <v>131</v>
      </c>
      <c r="J1960">
        <v>3</v>
      </c>
      <c r="K1960">
        <v>9</v>
      </c>
      <c r="L1960">
        <v>51</v>
      </c>
      <c r="M1960" t="s">
        <v>20</v>
      </c>
      <c r="N1960" t="s">
        <v>51</v>
      </c>
      <c r="O1960">
        <v>18842</v>
      </c>
      <c r="P1960">
        <v>192</v>
      </c>
      <c r="Q1960" t="s">
        <v>50</v>
      </c>
      <c r="R1960" t="str">
        <f t="shared" si="31"/>
        <v>Yes</v>
      </c>
    </row>
    <row r="1961" spans="1:18" x14ac:dyDescent="0.35">
      <c r="A1961" s="1">
        <v>40420</v>
      </c>
      <c r="B1961">
        <v>0</v>
      </c>
      <c r="C1961" t="s">
        <v>74</v>
      </c>
      <c r="D1961" t="s">
        <v>23</v>
      </c>
      <c r="E1961" t="s">
        <v>18</v>
      </c>
      <c r="F1961">
        <v>131</v>
      </c>
      <c r="G1961" t="s">
        <v>49</v>
      </c>
      <c r="H1961" t="s">
        <v>18</v>
      </c>
      <c r="I1961">
        <v>132</v>
      </c>
      <c r="J1961">
        <v>2</v>
      </c>
      <c r="K1961">
        <v>14</v>
      </c>
      <c r="L1961">
        <v>51</v>
      </c>
      <c r="M1961" t="s">
        <v>20</v>
      </c>
      <c r="N1961" t="s">
        <v>79</v>
      </c>
      <c r="O1961">
        <v>29538</v>
      </c>
      <c r="P1961">
        <v>190</v>
      </c>
      <c r="Q1961" t="s">
        <v>49</v>
      </c>
      <c r="R1961" t="str">
        <f t="shared" si="31"/>
        <v>Yes</v>
      </c>
    </row>
    <row r="1962" spans="1:18" x14ac:dyDescent="0.35">
      <c r="A1962" s="1">
        <v>40420</v>
      </c>
      <c r="B1962">
        <v>0</v>
      </c>
      <c r="C1962" t="s">
        <v>74</v>
      </c>
      <c r="D1962" t="s">
        <v>68</v>
      </c>
      <c r="E1962" t="s">
        <v>18</v>
      </c>
      <c r="F1962">
        <v>131</v>
      </c>
      <c r="G1962" t="s">
        <v>53</v>
      </c>
      <c r="H1962" t="s">
        <v>18</v>
      </c>
      <c r="I1962">
        <v>131</v>
      </c>
      <c r="J1962">
        <v>4</v>
      </c>
      <c r="K1962">
        <v>5</v>
      </c>
      <c r="L1962">
        <v>59</v>
      </c>
      <c r="M1962" t="s">
        <v>20</v>
      </c>
      <c r="N1962" t="s">
        <v>54</v>
      </c>
      <c r="O1962">
        <v>14589</v>
      </c>
      <c r="P1962">
        <v>217</v>
      </c>
      <c r="Q1962" t="s">
        <v>53</v>
      </c>
      <c r="R1962" t="str">
        <f t="shared" si="31"/>
        <v>Yes</v>
      </c>
    </row>
    <row r="1963" spans="1:18" x14ac:dyDescent="0.35">
      <c r="A1963" s="1">
        <v>40420</v>
      </c>
      <c r="B1963">
        <v>0</v>
      </c>
      <c r="C1963" t="s">
        <v>74</v>
      </c>
      <c r="D1963" t="s">
        <v>26</v>
      </c>
      <c r="E1963" t="s">
        <v>18</v>
      </c>
      <c r="F1963">
        <v>132</v>
      </c>
      <c r="G1963" t="s">
        <v>17</v>
      </c>
      <c r="H1963" t="s">
        <v>18</v>
      </c>
      <c r="I1963">
        <v>130</v>
      </c>
      <c r="J1963">
        <v>9</v>
      </c>
      <c r="K1963">
        <v>3</v>
      </c>
      <c r="L1963">
        <v>54</v>
      </c>
      <c r="M1963" t="s">
        <v>20</v>
      </c>
      <c r="N1963" t="s">
        <v>65</v>
      </c>
      <c r="O1963">
        <v>18326</v>
      </c>
      <c r="P1963">
        <v>185</v>
      </c>
      <c r="Q1963" t="s">
        <v>26</v>
      </c>
      <c r="R1963" t="str">
        <f t="shared" si="31"/>
        <v>No</v>
      </c>
    </row>
    <row r="1964" spans="1:18" x14ac:dyDescent="0.35">
      <c r="A1964" s="1">
        <v>40420</v>
      </c>
      <c r="B1964">
        <v>0</v>
      </c>
      <c r="C1964" t="s">
        <v>74</v>
      </c>
      <c r="D1964" t="s">
        <v>52</v>
      </c>
      <c r="E1964" t="s">
        <v>18</v>
      </c>
      <c r="F1964">
        <v>129</v>
      </c>
      <c r="G1964" t="s">
        <v>66</v>
      </c>
      <c r="H1964" t="s">
        <v>18</v>
      </c>
      <c r="I1964">
        <v>131</v>
      </c>
      <c r="J1964">
        <v>0</v>
      </c>
      <c r="K1964">
        <v>3</v>
      </c>
      <c r="L1964">
        <v>51</v>
      </c>
      <c r="M1964" t="s">
        <v>20</v>
      </c>
      <c r="N1964" t="s">
        <v>67</v>
      </c>
      <c r="O1964">
        <v>23140</v>
      </c>
      <c r="P1964">
        <v>120</v>
      </c>
      <c r="Q1964" t="s">
        <v>66</v>
      </c>
      <c r="R1964" t="str">
        <f t="shared" si="31"/>
        <v>Yes</v>
      </c>
    </row>
    <row r="1965" spans="1:18" x14ac:dyDescent="0.35">
      <c r="A1965" s="1">
        <v>40420</v>
      </c>
      <c r="B1965">
        <v>0</v>
      </c>
      <c r="C1965" t="s">
        <v>74</v>
      </c>
      <c r="D1965" t="s">
        <v>25</v>
      </c>
      <c r="E1965" t="s">
        <v>18</v>
      </c>
      <c r="F1965">
        <v>131</v>
      </c>
      <c r="G1965" t="s">
        <v>22</v>
      </c>
      <c r="H1965" t="s">
        <v>18</v>
      </c>
      <c r="I1965">
        <v>132</v>
      </c>
      <c r="J1965">
        <v>0</v>
      </c>
      <c r="K1965">
        <v>3</v>
      </c>
      <c r="L1965">
        <v>51</v>
      </c>
      <c r="M1965" t="s">
        <v>20</v>
      </c>
      <c r="N1965" t="s">
        <v>85</v>
      </c>
      <c r="O1965">
        <v>44896</v>
      </c>
      <c r="P1965">
        <v>147</v>
      </c>
      <c r="Q1965" t="s">
        <v>22</v>
      </c>
      <c r="R1965" t="str">
        <f t="shared" si="31"/>
        <v>Yes</v>
      </c>
    </row>
    <row r="1966" spans="1:18" x14ac:dyDescent="0.35">
      <c r="A1966" s="1">
        <v>40420</v>
      </c>
      <c r="B1966">
        <v>0</v>
      </c>
      <c r="C1966" t="s">
        <v>74</v>
      </c>
      <c r="D1966" t="s">
        <v>63</v>
      </c>
      <c r="E1966" t="s">
        <v>18</v>
      </c>
      <c r="F1966">
        <v>130</v>
      </c>
      <c r="G1966" t="s">
        <v>70</v>
      </c>
      <c r="H1966" t="s">
        <v>18</v>
      </c>
      <c r="I1966">
        <v>132</v>
      </c>
      <c r="J1966">
        <v>2</v>
      </c>
      <c r="K1966">
        <v>1</v>
      </c>
      <c r="L1966">
        <v>54</v>
      </c>
      <c r="M1966" t="s">
        <v>20</v>
      </c>
      <c r="N1966" t="s">
        <v>71</v>
      </c>
      <c r="O1966">
        <v>30224</v>
      </c>
      <c r="P1966">
        <v>161</v>
      </c>
      <c r="Q1966" t="s">
        <v>63</v>
      </c>
      <c r="R1966" t="str">
        <f t="shared" si="31"/>
        <v>No</v>
      </c>
    </row>
    <row r="1967" spans="1:18" x14ac:dyDescent="0.35">
      <c r="A1967" s="1">
        <v>40421</v>
      </c>
      <c r="B1967">
        <v>0</v>
      </c>
      <c r="C1967" t="s">
        <v>83</v>
      </c>
      <c r="D1967" t="s">
        <v>58</v>
      </c>
      <c r="E1967" t="s">
        <v>30</v>
      </c>
      <c r="F1967">
        <v>132</v>
      </c>
      <c r="G1967" t="s">
        <v>43</v>
      </c>
      <c r="H1967" t="s">
        <v>30</v>
      </c>
      <c r="I1967">
        <v>132</v>
      </c>
      <c r="J1967">
        <v>2</v>
      </c>
      <c r="K1967">
        <v>5</v>
      </c>
      <c r="L1967">
        <v>51</v>
      </c>
      <c r="M1967" t="s">
        <v>20</v>
      </c>
      <c r="N1967" t="s">
        <v>56</v>
      </c>
      <c r="O1967">
        <v>18247</v>
      </c>
      <c r="P1967">
        <v>178</v>
      </c>
      <c r="Q1967" t="s">
        <v>43</v>
      </c>
      <c r="R1967" t="str">
        <f t="shared" si="31"/>
        <v>Yes</v>
      </c>
    </row>
    <row r="1968" spans="1:18" x14ac:dyDescent="0.35">
      <c r="A1968" s="1">
        <v>40421</v>
      </c>
      <c r="B1968">
        <v>0</v>
      </c>
      <c r="C1968" t="s">
        <v>83</v>
      </c>
      <c r="D1968" t="s">
        <v>34</v>
      </c>
      <c r="E1968" t="s">
        <v>30</v>
      </c>
      <c r="F1968">
        <v>132</v>
      </c>
      <c r="G1968" t="s">
        <v>33</v>
      </c>
      <c r="H1968" t="s">
        <v>30</v>
      </c>
      <c r="I1968">
        <v>132</v>
      </c>
      <c r="J1968">
        <v>4</v>
      </c>
      <c r="K1968">
        <v>3</v>
      </c>
      <c r="L1968">
        <v>54</v>
      </c>
      <c r="M1968" t="s">
        <v>20</v>
      </c>
      <c r="N1968" t="s">
        <v>75</v>
      </c>
      <c r="O1968">
        <v>12006</v>
      </c>
      <c r="P1968">
        <v>164</v>
      </c>
      <c r="Q1968" t="s">
        <v>34</v>
      </c>
      <c r="R1968" t="str">
        <f t="shared" si="31"/>
        <v>No</v>
      </c>
    </row>
    <row r="1969" spans="1:18" x14ac:dyDescent="0.35">
      <c r="A1969" s="1">
        <v>40421</v>
      </c>
      <c r="B1969">
        <v>0</v>
      </c>
      <c r="C1969" t="s">
        <v>83</v>
      </c>
      <c r="D1969" t="s">
        <v>47</v>
      </c>
      <c r="E1969" t="s">
        <v>30</v>
      </c>
      <c r="F1969">
        <v>132</v>
      </c>
      <c r="G1969" t="s">
        <v>37</v>
      </c>
      <c r="H1969" t="s">
        <v>30</v>
      </c>
      <c r="I1969">
        <v>132</v>
      </c>
      <c r="J1969">
        <v>9</v>
      </c>
      <c r="K1969">
        <v>10</v>
      </c>
      <c r="L1969">
        <v>53</v>
      </c>
      <c r="M1969" t="s">
        <v>20</v>
      </c>
      <c r="N1969" t="s">
        <v>39</v>
      </c>
      <c r="O1969">
        <v>10295</v>
      </c>
      <c r="P1969">
        <v>205</v>
      </c>
      <c r="Q1969" t="s">
        <v>37</v>
      </c>
      <c r="R1969" t="str">
        <f t="shared" si="31"/>
        <v>Yes</v>
      </c>
    </row>
    <row r="1970" spans="1:18" x14ac:dyDescent="0.35">
      <c r="A1970" s="1">
        <v>40421</v>
      </c>
      <c r="B1970">
        <v>0</v>
      </c>
      <c r="C1970" t="s">
        <v>83</v>
      </c>
      <c r="D1970" t="s">
        <v>36</v>
      </c>
      <c r="E1970" t="s">
        <v>30</v>
      </c>
      <c r="F1970">
        <v>132</v>
      </c>
      <c r="G1970" t="s">
        <v>29</v>
      </c>
      <c r="H1970" t="s">
        <v>30</v>
      </c>
      <c r="I1970">
        <v>132</v>
      </c>
      <c r="J1970">
        <v>3</v>
      </c>
      <c r="K1970">
        <v>4</v>
      </c>
      <c r="L1970">
        <v>51</v>
      </c>
      <c r="M1970" t="s">
        <v>20</v>
      </c>
      <c r="N1970" t="s">
        <v>76</v>
      </c>
      <c r="O1970">
        <v>40186</v>
      </c>
      <c r="P1970">
        <v>183</v>
      </c>
      <c r="Q1970" t="s">
        <v>29</v>
      </c>
      <c r="R1970" t="str">
        <f t="shared" si="31"/>
        <v>Yes</v>
      </c>
    </row>
    <row r="1971" spans="1:18" x14ac:dyDescent="0.35">
      <c r="A1971" s="1">
        <v>40421</v>
      </c>
      <c r="B1971">
        <v>0</v>
      </c>
      <c r="C1971" t="s">
        <v>83</v>
      </c>
      <c r="D1971" t="s">
        <v>41</v>
      </c>
      <c r="E1971" t="s">
        <v>30</v>
      </c>
      <c r="F1971">
        <v>131</v>
      </c>
      <c r="G1971" t="s">
        <v>59</v>
      </c>
      <c r="H1971" t="s">
        <v>30</v>
      </c>
      <c r="I1971">
        <v>132</v>
      </c>
      <c r="J1971">
        <v>3</v>
      </c>
      <c r="K1971">
        <v>9</v>
      </c>
      <c r="L1971">
        <v>51</v>
      </c>
      <c r="M1971" t="s">
        <v>20</v>
      </c>
      <c r="N1971" t="s">
        <v>84</v>
      </c>
      <c r="O1971">
        <v>44575</v>
      </c>
      <c r="P1971">
        <v>176</v>
      </c>
      <c r="Q1971" t="s">
        <v>59</v>
      </c>
      <c r="R1971" t="str">
        <f t="shared" si="31"/>
        <v>Yes</v>
      </c>
    </row>
    <row r="1972" spans="1:18" x14ac:dyDescent="0.35">
      <c r="A1972" s="1">
        <v>40421</v>
      </c>
      <c r="B1972">
        <v>0</v>
      </c>
      <c r="C1972" t="s">
        <v>83</v>
      </c>
      <c r="D1972" t="s">
        <v>31</v>
      </c>
      <c r="E1972" t="s">
        <v>30</v>
      </c>
      <c r="F1972">
        <v>133</v>
      </c>
      <c r="G1972" t="s">
        <v>40</v>
      </c>
      <c r="H1972" t="s">
        <v>30</v>
      </c>
      <c r="I1972">
        <v>132</v>
      </c>
      <c r="J1972">
        <v>1</v>
      </c>
      <c r="K1972">
        <v>3</v>
      </c>
      <c r="L1972">
        <v>51</v>
      </c>
      <c r="M1972" t="s">
        <v>20</v>
      </c>
      <c r="N1972" t="s">
        <v>77</v>
      </c>
      <c r="O1972">
        <v>18737</v>
      </c>
      <c r="P1972">
        <v>154</v>
      </c>
      <c r="Q1972" t="s">
        <v>40</v>
      </c>
      <c r="R1972" t="str">
        <f t="shared" si="31"/>
        <v>Yes</v>
      </c>
    </row>
    <row r="1973" spans="1:18" x14ac:dyDescent="0.35">
      <c r="A1973" s="1">
        <v>40421</v>
      </c>
      <c r="B1973">
        <v>0</v>
      </c>
      <c r="C1973" t="s">
        <v>83</v>
      </c>
      <c r="D1973" t="s">
        <v>46</v>
      </c>
      <c r="E1973" t="s">
        <v>30</v>
      </c>
      <c r="F1973">
        <v>132</v>
      </c>
      <c r="G1973" t="s">
        <v>44</v>
      </c>
      <c r="H1973" t="s">
        <v>30</v>
      </c>
      <c r="I1973">
        <v>132</v>
      </c>
      <c r="J1973">
        <v>13</v>
      </c>
      <c r="K1973">
        <v>5</v>
      </c>
      <c r="L1973">
        <v>54</v>
      </c>
      <c r="M1973" t="s">
        <v>20</v>
      </c>
      <c r="N1973" t="s">
        <v>45</v>
      </c>
      <c r="O1973">
        <v>12972</v>
      </c>
      <c r="P1973">
        <v>177</v>
      </c>
      <c r="Q1973" t="s">
        <v>46</v>
      </c>
      <c r="R1973" t="str">
        <f t="shared" si="31"/>
        <v>No</v>
      </c>
    </row>
    <row r="1974" spans="1:18" x14ac:dyDescent="0.35">
      <c r="A1974" s="1">
        <v>40421</v>
      </c>
      <c r="B1974">
        <v>0</v>
      </c>
      <c r="C1974" t="s">
        <v>83</v>
      </c>
      <c r="D1974" t="s">
        <v>62</v>
      </c>
      <c r="E1974" t="s">
        <v>18</v>
      </c>
      <c r="F1974">
        <v>131</v>
      </c>
      <c r="G1974" t="s">
        <v>60</v>
      </c>
      <c r="H1974" t="s">
        <v>18</v>
      </c>
      <c r="I1974">
        <v>133</v>
      </c>
      <c r="J1974">
        <v>4</v>
      </c>
      <c r="K1974">
        <v>7</v>
      </c>
      <c r="L1974">
        <v>51</v>
      </c>
      <c r="M1974" t="s">
        <v>20</v>
      </c>
      <c r="N1974" t="s">
        <v>61</v>
      </c>
      <c r="O1974">
        <v>16250</v>
      </c>
      <c r="P1974">
        <v>172</v>
      </c>
      <c r="Q1974" t="s">
        <v>60</v>
      </c>
      <c r="R1974" t="str">
        <f t="shared" si="31"/>
        <v>Yes</v>
      </c>
    </row>
    <row r="1975" spans="1:18" x14ac:dyDescent="0.35">
      <c r="A1975" s="1">
        <v>40421</v>
      </c>
      <c r="B1975">
        <v>0</v>
      </c>
      <c r="C1975" t="s">
        <v>83</v>
      </c>
      <c r="D1975" t="s">
        <v>19</v>
      </c>
      <c r="E1975" t="s">
        <v>18</v>
      </c>
      <c r="F1975">
        <v>132</v>
      </c>
      <c r="G1975" t="s">
        <v>50</v>
      </c>
      <c r="H1975" t="s">
        <v>18</v>
      </c>
      <c r="I1975">
        <v>132</v>
      </c>
      <c r="J1975">
        <v>2</v>
      </c>
      <c r="K1975">
        <v>9</v>
      </c>
      <c r="L1975">
        <v>51</v>
      </c>
      <c r="M1975" t="s">
        <v>20</v>
      </c>
      <c r="N1975" t="s">
        <v>51</v>
      </c>
      <c r="O1975">
        <v>18430</v>
      </c>
      <c r="P1975">
        <v>167</v>
      </c>
      <c r="Q1975" t="s">
        <v>50</v>
      </c>
      <c r="R1975" t="str">
        <f t="shared" si="31"/>
        <v>Yes</v>
      </c>
    </row>
    <row r="1976" spans="1:18" x14ac:dyDescent="0.35">
      <c r="A1976" s="1">
        <v>40421</v>
      </c>
      <c r="B1976">
        <v>0</v>
      </c>
      <c r="C1976" t="s">
        <v>83</v>
      </c>
      <c r="D1976" t="s">
        <v>23</v>
      </c>
      <c r="E1976" t="s">
        <v>18</v>
      </c>
      <c r="F1976">
        <v>132</v>
      </c>
      <c r="G1976" t="s">
        <v>49</v>
      </c>
      <c r="H1976" t="s">
        <v>18</v>
      </c>
      <c r="I1976">
        <v>133</v>
      </c>
      <c r="J1976">
        <v>14</v>
      </c>
      <c r="K1976">
        <v>7</v>
      </c>
      <c r="L1976">
        <v>54</v>
      </c>
      <c r="M1976" t="s">
        <v>20</v>
      </c>
      <c r="N1976" t="s">
        <v>79</v>
      </c>
      <c r="O1976">
        <v>31369</v>
      </c>
      <c r="P1976">
        <v>174</v>
      </c>
      <c r="Q1976" t="s">
        <v>23</v>
      </c>
      <c r="R1976" t="str">
        <f t="shared" si="31"/>
        <v>No</v>
      </c>
    </row>
    <row r="1977" spans="1:18" x14ac:dyDescent="0.35">
      <c r="A1977" s="1">
        <v>40421</v>
      </c>
      <c r="B1977">
        <v>0</v>
      </c>
      <c r="C1977" t="s">
        <v>83</v>
      </c>
      <c r="D1977" t="s">
        <v>68</v>
      </c>
      <c r="E1977" t="s">
        <v>18</v>
      </c>
      <c r="F1977">
        <v>132</v>
      </c>
      <c r="G1977" t="s">
        <v>53</v>
      </c>
      <c r="H1977" t="s">
        <v>18</v>
      </c>
      <c r="I1977">
        <v>132</v>
      </c>
      <c r="J1977">
        <v>4</v>
      </c>
      <c r="K1977">
        <v>8</v>
      </c>
      <c r="L1977">
        <v>51</v>
      </c>
      <c r="M1977" t="s">
        <v>20</v>
      </c>
      <c r="N1977" t="s">
        <v>54</v>
      </c>
      <c r="O1977">
        <v>19218</v>
      </c>
      <c r="P1977">
        <v>198</v>
      </c>
      <c r="Q1977" t="s">
        <v>53</v>
      </c>
      <c r="R1977" t="str">
        <f t="shared" si="31"/>
        <v>Yes</v>
      </c>
    </row>
    <row r="1978" spans="1:18" x14ac:dyDescent="0.35">
      <c r="A1978" s="1">
        <v>40421</v>
      </c>
      <c r="B1978">
        <v>0</v>
      </c>
      <c r="C1978" t="s">
        <v>83</v>
      </c>
      <c r="D1978" t="s">
        <v>26</v>
      </c>
      <c r="E1978" t="s">
        <v>18</v>
      </c>
      <c r="F1978">
        <v>133</v>
      </c>
      <c r="G1978" t="s">
        <v>17</v>
      </c>
      <c r="H1978" t="s">
        <v>18</v>
      </c>
      <c r="I1978">
        <v>131</v>
      </c>
      <c r="J1978">
        <v>0</v>
      </c>
      <c r="K1978">
        <v>1</v>
      </c>
      <c r="L1978">
        <v>58</v>
      </c>
      <c r="M1978" t="s">
        <v>20</v>
      </c>
      <c r="N1978" t="s">
        <v>65</v>
      </c>
      <c r="O1978">
        <v>18506</v>
      </c>
      <c r="P1978">
        <v>181</v>
      </c>
      <c r="Q1978" t="s">
        <v>17</v>
      </c>
      <c r="R1978" t="str">
        <f t="shared" si="31"/>
        <v>Yes</v>
      </c>
    </row>
    <row r="1979" spans="1:18" x14ac:dyDescent="0.35">
      <c r="A1979" s="1">
        <v>40421</v>
      </c>
      <c r="B1979">
        <v>0</v>
      </c>
      <c r="C1979" t="s">
        <v>83</v>
      </c>
      <c r="D1979" t="s">
        <v>52</v>
      </c>
      <c r="E1979" t="s">
        <v>18</v>
      </c>
      <c r="F1979">
        <v>130</v>
      </c>
      <c r="G1979" t="s">
        <v>66</v>
      </c>
      <c r="H1979" t="s">
        <v>18</v>
      </c>
      <c r="I1979">
        <v>132</v>
      </c>
      <c r="J1979">
        <v>0</v>
      </c>
      <c r="K1979">
        <v>3</v>
      </c>
      <c r="L1979">
        <v>51</v>
      </c>
      <c r="M1979" t="s">
        <v>20</v>
      </c>
      <c r="N1979" t="s">
        <v>67</v>
      </c>
      <c r="O1979">
        <v>29307</v>
      </c>
      <c r="P1979">
        <v>141</v>
      </c>
      <c r="Q1979" t="s">
        <v>66</v>
      </c>
      <c r="R1979" t="str">
        <f t="shared" si="31"/>
        <v>Yes</v>
      </c>
    </row>
    <row r="1980" spans="1:18" x14ac:dyDescent="0.35">
      <c r="A1980" s="1">
        <v>40421</v>
      </c>
      <c r="B1980">
        <v>0</v>
      </c>
      <c r="C1980" t="s">
        <v>83</v>
      </c>
      <c r="D1980" t="s">
        <v>25</v>
      </c>
      <c r="E1980" t="s">
        <v>18</v>
      </c>
      <c r="F1980">
        <v>132</v>
      </c>
      <c r="G1980" t="s">
        <v>22</v>
      </c>
      <c r="H1980" t="s">
        <v>18</v>
      </c>
      <c r="I1980">
        <v>133</v>
      </c>
      <c r="J1980">
        <v>8</v>
      </c>
      <c r="K1980">
        <v>4</v>
      </c>
      <c r="L1980">
        <v>54</v>
      </c>
      <c r="M1980" t="s">
        <v>20</v>
      </c>
      <c r="N1980" t="s">
        <v>85</v>
      </c>
      <c r="O1980">
        <v>45164</v>
      </c>
      <c r="P1980">
        <v>193</v>
      </c>
      <c r="Q1980" t="s">
        <v>25</v>
      </c>
      <c r="R1980" t="str">
        <f t="shared" si="31"/>
        <v>No</v>
      </c>
    </row>
    <row r="1981" spans="1:18" x14ac:dyDescent="0.35">
      <c r="A1981" s="1">
        <v>40421</v>
      </c>
      <c r="B1981">
        <v>0</v>
      </c>
      <c r="C1981" t="s">
        <v>83</v>
      </c>
      <c r="D1981" t="s">
        <v>63</v>
      </c>
      <c r="E1981" t="s">
        <v>18</v>
      </c>
      <c r="F1981">
        <v>131</v>
      </c>
      <c r="G1981" t="s">
        <v>70</v>
      </c>
      <c r="H1981" t="s">
        <v>18</v>
      </c>
      <c r="I1981">
        <v>133</v>
      </c>
      <c r="J1981">
        <v>2</v>
      </c>
      <c r="K1981">
        <v>5</v>
      </c>
      <c r="L1981">
        <v>51</v>
      </c>
      <c r="M1981" t="s">
        <v>20</v>
      </c>
      <c r="N1981" t="s">
        <v>71</v>
      </c>
      <c r="O1981">
        <v>31099</v>
      </c>
      <c r="P1981">
        <v>157</v>
      </c>
      <c r="Q1981" t="s">
        <v>70</v>
      </c>
      <c r="R1981" t="str">
        <f t="shared" si="31"/>
        <v>Yes</v>
      </c>
    </row>
    <row r="1982" spans="1:18" x14ac:dyDescent="0.35">
      <c r="A1982" s="1">
        <v>40422</v>
      </c>
      <c r="B1982">
        <v>0</v>
      </c>
      <c r="C1982" t="s">
        <v>16</v>
      </c>
      <c r="D1982" t="s">
        <v>58</v>
      </c>
      <c r="E1982" t="s">
        <v>30</v>
      </c>
      <c r="F1982">
        <v>133</v>
      </c>
      <c r="G1982" t="s">
        <v>43</v>
      </c>
      <c r="H1982" t="s">
        <v>30</v>
      </c>
      <c r="I1982">
        <v>133</v>
      </c>
      <c r="J1982">
        <v>9</v>
      </c>
      <c r="K1982">
        <v>6</v>
      </c>
      <c r="L1982">
        <v>54</v>
      </c>
      <c r="M1982" t="s">
        <v>20</v>
      </c>
      <c r="N1982" t="s">
        <v>56</v>
      </c>
      <c r="O1982">
        <v>16210</v>
      </c>
      <c r="P1982">
        <v>217</v>
      </c>
      <c r="Q1982" t="s">
        <v>58</v>
      </c>
      <c r="R1982" t="str">
        <f t="shared" si="31"/>
        <v>No</v>
      </c>
    </row>
    <row r="1983" spans="1:18" x14ac:dyDescent="0.35">
      <c r="A1983" s="1">
        <v>40422</v>
      </c>
      <c r="B1983">
        <v>0</v>
      </c>
      <c r="C1983" t="s">
        <v>16</v>
      </c>
      <c r="D1983" t="s">
        <v>34</v>
      </c>
      <c r="E1983" t="s">
        <v>30</v>
      </c>
      <c r="F1983">
        <v>133</v>
      </c>
      <c r="G1983" t="s">
        <v>33</v>
      </c>
      <c r="H1983" t="s">
        <v>30</v>
      </c>
      <c r="I1983">
        <v>133</v>
      </c>
      <c r="J1983">
        <v>6</v>
      </c>
      <c r="K1983">
        <v>4</v>
      </c>
      <c r="L1983">
        <v>54</v>
      </c>
      <c r="M1983" t="s">
        <v>38</v>
      </c>
      <c r="N1983" t="s">
        <v>75</v>
      </c>
      <c r="O1983">
        <v>12563</v>
      </c>
      <c r="P1983">
        <v>169</v>
      </c>
      <c r="Q1983" t="s">
        <v>34</v>
      </c>
      <c r="R1983" t="str">
        <f t="shared" si="31"/>
        <v>No</v>
      </c>
    </row>
    <row r="1984" spans="1:18" x14ac:dyDescent="0.35">
      <c r="A1984" s="1">
        <v>40422</v>
      </c>
      <c r="B1984">
        <v>0</v>
      </c>
      <c r="C1984" t="s">
        <v>16</v>
      </c>
      <c r="D1984" t="s">
        <v>47</v>
      </c>
      <c r="E1984" t="s">
        <v>30</v>
      </c>
      <c r="F1984">
        <v>133</v>
      </c>
      <c r="G1984" t="s">
        <v>37</v>
      </c>
      <c r="H1984" t="s">
        <v>30</v>
      </c>
      <c r="I1984">
        <v>133</v>
      </c>
      <c r="J1984">
        <v>4</v>
      </c>
      <c r="K1984">
        <v>3</v>
      </c>
      <c r="L1984">
        <v>54</v>
      </c>
      <c r="M1984" t="s">
        <v>20</v>
      </c>
      <c r="N1984" t="s">
        <v>39</v>
      </c>
      <c r="O1984">
        <v>10811</v>
      </c>
      <c r="P1984">
        <v>172</v>
      </c>
      <c r="Q1984" t="s">
        <v>47</v>
      </c>
      <c r="R1984" t="str">
        <f t="shared" si="31"/>
        <v>No</v>
      </c>
    </row>
    <row r="1985" spans="1:18" x14ac:dyDescent="0.35">
      <c r="A1985" s="1">
        <v>40422</v>
      </c>
      <c r="B1985">
        <v>0</v>
      </c>
      <c r="C1985" t="s">
        <v>16</v>
      </c>
      <c r="D1985" t="s">
        <v>36</v>
      </c>
      <c r="E1985" t="s">
        <v>30</v>
      </c>
      <c r="F1985">
        <v>133</v>
      </c>
      <c r="G1985" t="s">
        <v>29</v>
      </c>
      <c r="H1985" t="s">
        <v>30</v>
      </c>
      <c r="I1985">
        <v>133</v>
      </c>
      <c r="J1985">
        <v>1</v>
      </c>
      <c r="K1985">
        <v>2</v>
      </c>
      <c r="L1985">
        <v>58</v>
      </c>
      <c r="M1985" t="s">
        <v>20</v>
      </c>
      <c r="N1985" t="s">
        <v>76</v>
      </c>
      <c r="O1985">
        <v>39438</v>
      </c>
      <c r="P1985">
        <v>170</v>
      </c>
      <c r="Q1985" t="s">
        <v>29</v>
      </c>
      <c r="R1985" t="str">
        <f t="shared" si="31"/>
        <v>Yes</v>
      </c>
    </row>
    <row r="1986" spans="1:18" x14ac:dyDescent="0.35">
      <c r="A1986" s="1">
        <v>40422</v>
      </c>
      <c r="B1986">
        <v>0</v>
      </c>
      <c r="C1986" t="s">
        <v>16</v>
      </c>
      <c r="D1986" t="s">
        <v>41</v>
      </c>
      <c r="E1986" t="s">
        <v>30</v>
      </c>
      <c r="F1986">
        <v>132</v>
      </c>
      <c r="G1986" t="s">
        <v>59</v>
      </c>
      <c r="H1986" t="s">
        <v>30</v>
      </c>
      <c r="I1986">
        <v>133</v>
      </c>
      <c r="J1986">
        <v>3</v>
      </c>
      <c r="K1986">
        <v>4</v>
      </c>
      <c r="L1986">
        <v>51</v>
      </c>
      <c r="M1986" t="s">
        <v>20</v>
      </c>
      <c r="N1986" t="s">
        <v>84</v>
      </c>
      <c r="O1986">
        <v>45222</v>
      </c>
      <c r="P1986">
        <v>175</v>
      </c>
      <c r="Q1986" t="s">
        <v>59</v>
      </c>
      <c r="R1986" t="str">
        <f t="shared" si="31"/>
        <v>Yes</v>
      </c>
    </row>
    <row r="1987" spans="1:18" x14ac:dyDescent="0.35">
      <c r="A1987" s="1">
        <v>40422</v>
      </c>
      <c r="B1987">
        <v>0</v>
      </c>
      <c r="C1987" t="s">
        <v>16</v>
      </c>
      <c r="D1987" t="s">
        <v>31</v>
      </c>
      <c r="E1987" t="s">
        <v>30</v>
      </c>
      <c r="F1987">
        <v>134</v>
      </c>
      <c r="G1987" t="s">
        <v>40</v>
      </c>
      <c r="H1987" t="s">
        <v>30</v>
      </c>
      <c r="I1987">
        <v>133</v>
      </c>
      <c r="J1987">
        <v>4</v>
      </c>
      <c r="K1987">
        <v>2</v>
      </c>
      <c r="L1987">
        <v>54</v>
      </c>
      <c r="M1987" t="s">
        <v>20</v>
      </c>
      <c r="N1987" t="s">
        <v>77</v>
      </c>
      <c r="O1987">
        <v>17515</v>
      </c>
      <c r="P1987">
        <v>159</v>
      </c>
      <c r="Q1987" t="s">
        <v>31</v>
      </c>
      <c r="R1987" t="str">
        <f t="shared" ref="R1987:R2050" si="32">IF(K1987&gt;J1987,"Yes","No")</f>
        <v>No</v>
      </c>
    </row>
    <row r="1988" spans="1:18" x14ac:dyDescent="0.35">
      <c r="A1988" s="1">
        <v>40422</v>
      </c>
      <c r="B1988">
        <v>0</v>
      </c>
      <c r="C1988" t="s">
        <v>16</v>
      </c>
      <c r="D1988" t="s">
        <v>46</v>
      </c>
      <c r="E1988" t="s">
        <v>30</v>
      </c>
      <c r="F1988">
        <v>133</v>
      </c>
      <c r="G1988" t="s">
        <v>44</v>
      </c>
      <c r="H1988" t="s">
        <v>30</v>
      </c>
      <c r="I1988">
        <v>133</v>
      </c>
      <c r="J1988">
        <v>1</v>
      </c>
      <c r="K1988">
        <v>2</v>
      </c>
      <c r="L1988">
        <v>51</v>
      </c>
      <c r="M1988" t="s">
        <v>20</v>
      </c>
      <c r="N1988" t="s">
        <v>45</v>
      </c>
      <c r="O1988">
        <v>14859</v>
      </c>
      <c r="P1988">
        <v>174</v>
      </c>
      <c r="Q1988" t="s">
        <v>44</v>
      </c>
      <c r="R1988" t="str">
        <f t="shared" si="32"/>
        <v>Yes</v>
      </c>
    </row>
    <row r="1989" spans="1:18" x14ac:dyDescent="0.35">
      <c r="A1989" s="1">
        <v>40422</v>
      </c>
      <c r="B1989">
        <v>0</v>
      </c>
      <c r="C1989" t="s">
        <v>16</v>
      </c>
      <c r="D1989" t="s">
        <v>62</v>
      </c>
      <c r="E1989" t="s">
        <v>18</v>
      </c>
      <c r="F1989">
        <v>132</v>
      </c>
      <c r="G1989" t="s">
        <v>60</v>
      </c>
      <c r="H1989" t="s">
        <v>18</v>
      </c>
      <c r="I1989">
        <v>134</v>
      </c>
      <c r="J1989">
        <v>2</v>
      </c>
      <c r="K1989">
        <v>5</v>
      </c>
      <c r="L1989">
        <v>51</v>
      </c>
      <c r="M1989" t="s">
        <v>38</v>
      </c>
      <c r="N1989" t="s">
        <v>61</v>
      </c>
      <c r="O1989">
        <v>17599</v>
      </c>
      <c r="P1989">
        <v>151</v>
      </c>
      <c r="Q1989" t="s">
        <v>60</v>
      </c>
      <c r="R1989" t="str">
        <f t="shared" si="32"/>
        <v>Yes</v>
      </c>
    </row>
    <row r="1990" spans="1:18" x14ac:dyDescent="0.35">
      <c r="A1990" s="1">
        <v>40422</v>
      </c>
      <c r="B1990">
        <v>0</v>
      </c>
      <c r="C1990" t="s">
        <v>16</v>
      </c>
      <c r="D1990" t="s">
        <v>19</v>
      </c>
      <c r="E1990" t="s">
        <v>18</v>
      </c>
      <c r="F1990">
        <v>133</v>
      </c>
      <c r="G1990" t="s">
        <v>50</v>
      </c>
      <c r="H1990" t="s">
        <v>18</v>
      </c>
      <c r="I1990">
        <v>133</v>
      </c>
      <c r="J1990">
        <v>1</v>
      </c>
      <c r="K1990">
        <v>4</v>
      </c>
      <c r="L1990">
        <v>51</v>
      </c>
      <c r="M1990" t="s">
        <v>20</v>
      </c>
      <c r="N1990" t="s">
        <v>51</v>
      </c>
      <c r="O1990">
        <v>19938</v>
      </c>
      <c r="P1990">
        <v>151</v>
      </c>
      <c r="Q1990" t="s">
        <v>50</v>
      </c>
      <c r="R1990" t="str">
        <f t="shared" si="32"/>
        <v>Yes</v>
      </c>
    </row>
    <row r="1991" spans="1:18" x14ac:dyDescent="0.35">
      <c r="A1991" s="1">
        <v>40422</v>
      </c>
      <c r="B1991">
        <v>0</v>
      </c>
      <c r="C1991" t="s">
        <v>16</v>
      </c>
      <c r="D1991" t="s">
        <v>23</v>
      </c>
      <c r="E1991" t="s">
        <v>18</v>
      </c>
      <c r="F1991">
        <v>133</v>
      </c>
      <c r="G1991" t="s">
        <v>49</v>
      </c>
      <c r="H1991" t="s">
        <v>18</v>
      </c>
      <c r="I1991">
        <v>134</v>
      </c>
      <c r="J1991">
        <v>3</v>
      </c>
      <c r="K1991">
        <v>5</v>
      </c>
      <c r="L1991">
        <v>51</v>
      </c>
      <c r="M1991" t="s">
        <v>38</v>
      </c>
      <c r="N1991" t="s">
        <v>79</v>
      </c>
      <c r="O1991">
        <v>33555</v>
      </c>
      <c r="P1991">
        <v>189</v>
      </c>
      <c r="Q1991" t="s">
        <v>49</v>
      </c>
      <c r="R1991" t="str">
        <f t="shared" si="32"/>
        <v>Yes</v>
      </c>
    </row>
    <row r="1992" spans="1:18" x14ac:dyDescent="0.35">
      <c r="A1992" s="1">
        <v>40422</v>
      </c>
      <c r="B1992">
        <v>0</v>
      </c>
      <c r="C1992" t="s">
        <v>16</v>
      </c>
      <c r="D1992" t="s">
        <v>68</v>
      </c>
      <c r="E1992" t="s">
        <v>18</v>
      </c>
      <c r="F1992">
        <v>133</v>
      </c>
      <c r="G1992" t="s">
        <v>53</v>
      </c>
      <c r="H1992" t="s">
        <v>18</v>
      </c>
      <c r="I1992">
        <v>133</v>
      </c>
      <c r="J1992">
        <v>1</v>
      </c>
      <c r="K1992">
        <v>6</v>
      </c>
      <c r="L1992">
        <v>51</v>
      </c>
      <c r="M1992" t="s">
        <v>20</v>
      </c>
      <c r="N1992" t="s">
        <v>54</v>
      </c>
      <c r="O1992">
        <v>16412</v>
      </c>
      <c r="P1992">
        <v>176</v>
      </c>
      <c r="Q1992" t="s">
        <v>53</v>
      </c>
      <c r="R1992" t="str">
        <f t="shared" si="32"/>
        <v>Yes</v>
      </c>
    </row>
    <row r="1993" spans="1:18" x14ac:dyDescent="0.35">
      <c r="A1993" s="1">
        <v>40422</v>
      </c>
      <c r="B1993">
        <v>0</v>
      </c>
      <c r="C1993" t="s">
        <v>16</v>
      </c>
      <c r="D1993" t="s">
        <v>26</v>
      </c>
      <c r="E1993" t="s">
        <v>18</v>
      </c>
      <c r="F1993">
        <v>134</v>
      </c>
      <c r="G1993" t="s">
        <v>17</v>
      </c>
      <c r="H1993" t="s">
        <v>18</v>
      </c>
      <c r="I1993">
        <v>132</v>
      </c>
      <c r="J1993">
        <v>10</v>
      </c>
      <c r="K1993">
        <v>16</v>
      </c>
      <c r="L1993">
        <v>51</v>
      </c>
      <c r="M1993" t="s">
        <v>20</v>
      </c>
      <c r="N1993" t="s">
        <v>65</v>
      </c>
      <c r="O1993">
        <v>18045</v>
      </c>
      <c r="P1993">
        <v>202</v>
      </c>
      <c r="Q1993" t="s">
        <v>17</v>
      </c>
      <c r="R1993" t="str">
        <f t="shared" si="32"/>
        <v>Yes</v>
      </c>
    </row>
    <row r="1994" spans="1:18" x14ac:dyDescent="0.35">
      <c r="A1994" s="1">
        <v>40422</v>
      </c>
      <c r="B1994">
        <v>0</v>
      </c>
      <c r="C1994" t="s">
        <v>16</v>
      </c>
      <c r="D1994" t="s">
        <v>52</v>
      </c>
      <c r="E1994" t="s">
        <v>18</v>
      </c>
      <c r="F1994">
        <v>131</v>
      </c>
      <c r="G1994" t="s">
        <v>66</v>
      </c>
      <c r="H1994" t="s">
        <v>18</v>
      </c>
      <c r="I1994">
        <v>133</v>
      </c>
      <c r="J1994">
        <v>2</v>
      </c>
      <c r="K1994">
        <v>5</v>
      </c>
      <c r="L1994">
        <v>51</v>
      </c>
      <c r="M1994" t="s">
        <v>38</v>
      </c>
      <c r="N1994" t="s">
        <v>67</v>
      </c>
      <c r="O1994">
        <v>22068</v>
      </c>
      <c r="P1994">
        <v>158</v>
      </c>
      <c r="Q1994" t="s">
        <v>66</v>
      </c>
      <c r="R1994" t="str">
        <f t="shared" si="32"/>
        <v>Yes</v>
      </c>
    </row>
    <row r="1995" spans="1:18" x14ac:dyDescent="0.35">
      <c r="A1995" s="1">
        <v>40422</v>
      </c>
      <c r="B1995">
        <v>0</v>
      </c>
      <c r="C1995" t="s">
        <v>16</v>
      </c>
      <c r="D1995" t="s">
        <v>25</v>
      </c>
      <c r="E1995" t="s">
        <v>18</v>
      </c>
      <c r="F1995">
        <v>133</v>
      </c>
      <c r="G1995" t="s">
        <v>22</v>
      </c>
      <c r="H1995" t="s">
        <v>18</v>
      </c>
      <c r="I1995">
        <v>134</v>
      </c>
      <c r="J1995">
        <v>5</v>
      </c>
      <c r="K1995">
        <v>1</v>
      </c>
      <c r="L1995">
        <v>54</v>
      </c>
      <c r="M1995" t="s">
        <v>38</v>
      </c>
      <c r="N1995" t="s">
        <v>85</v>
      </c>
      <c r="O1995">
        <v>37080</v>
      </c>
      <c r="P1995">
        <v>186</v>
      </c>
      <c r="Q1995" t="s">
        <v>25</v>
      </c>
      <c r="R1995" t="str">
        <f t="shared" si="32"/>
        <v>No</v>
      </c>
    </row>
    <row r="1996" spans="1:18" x14ac:dyDescent="0.35">
      <c r="A1996" s="1">
        <v>40422</v>
      </c>
      <c r="B1996">
        <v>0</v>
      </c>
      <c r="C1996" t="s">
        <v>16</v>
      </c>
      <c r="D1996" t="s">
        <v>63</v>
      </c>
      <c r="E1996" t="s">
        <v>18</v>
      </c>
      <c r="F1996">
        <v>132</v>
      </c>
      <c r="G1996" t="s">
        <v>70</v>
      </c>
      <c r="H1996" t="s">
        <v>18</v>
      </c>
      <c r="I1996">
        <v>134</v>
      </c>
      <c r="J1996">
        <v>1</v>
      </c>
      <c r="K1996">
        <v>2</v>
      </c>
      <c r="L1996">
        <v>51</v>
      </c>
      <c r="M1996" t="s">
        <v>20</v>
      </c>
      <c r="N1996" t="s">
        <v>71</v>
      </c>
      <c r="O1996">
        <v>31186</v>
      </c>
      <c r="P1996">
        <v>130</v>
      </c>
      <c r="Q1996" t="s">
        <v>70</v>
      </c>
      <c r="R1996" t="str">
        <f t="shared" si="32"/>
        <v>Yes</v>
      </c>
    </row>
    <row r="1997" spans="1:18" x14ac:dyDescent="0.35">
      <c r="A1997" s="1">
        <v>40423</v>
      </c>
      <c r="B1997">
        <v>0</v>
      </c>
      <c r="C1997" t="s">
        <v>28</v>
      </c>
      <c r="D1997" t="s">
        <v>58</v>
      </c>
      <c r="E1997" t="s">
        <v>30</v>
      </c>
      <c r="F1997">
        <v>134</v>
      </c>
      <c r="G1997" t="s">
        <v>43</v>
      </c>
      <c r="H1997" t="s">
        <v>30</v>
      </c>
      <c r="I1997">
        <v>134</v>
      </c>
      <c r="J1997">
        <v>6</v>
      </c>
      <c r="K1997">
        <v>4</v>
      </c>
      <c r="L1997">
        <v>54</v>
      </c>
      <c r="M1997" t="s">
        <v>20</v>
      </c>
      <c r="N1997" t="s">
        <v>56</v>
      </c>
      <c r="O1997">
        <v>26954</v>
      </c>
      <c r="P1997">
        <v>186</v>
      </c>
      <c r="Q1997" t="s">
        <v>58</v>
      </c>
      <c r="R1997" t="str">
        <f t="shared" si="32"/>
        <v>No</v>
      </c>
    </row>
    <row r="1998" spans="1:18" x14ac:dyDescent="0.35">
      <c r="A1998" s="1">
        <v>40423</v>
      </c>
      <c r="B1998">
        <v>0</v>
      </c>
      <c r="C1998" t="s">
        <v>28</v>
      </c>
      <c r="D1998" t="s">
        <v>36</v>
      </c>
      <c r="E1998" t="s">
        <v>30</v>
      </c>
      <c r="F1998">
        <v>134</v>
      </c>
      <c r="G1998" t="s">
        <v>29</v>
      </c>
      <c r="H1998" t="s">
        <v>30</v>
      </c>
      <c r="I1998">
        <v>134</v>
      </c>
      <c r="J1998">
        <v>10</v>
      </c>
      <c r="K1998">
        <v>9</v>
      </c>
      <c r="L1998">
        <v>78</v>
      </c>
      <c r="M1998" t="s">
        <v>20</v>
      </c>
      <c r="N1998" t="s">
        <v>76</v>
      </c>
      <c r="O1998">
        <v>39551</v>
      </c>
      <c r="P1998">
        <v>287</v>
      </c>
      <c r="Q1998" t="s">
        <v>36</v>
      </c>
      <c r="R1998" t="str">
        <f t="shared" si="32"/>
        <v>No</v>
      </c>
    </row>
    <row r="1999" spans="1:18" x14ac:dyDescent="0.35">
      <c r="A1999" s="1">
        <v>40423</v>
      </c>
      <c r="B1999">
        <v>0</v>
      </c>
      <c r="C1999" t="s">
        <v>28</v>
      </c>
      <c r="D1999" t="s">
        <v>41</v>
      </c>
      <c r="E1999" t="s">
        <v>30</v>
      </c>
      <c r="F1999">
        <v>133</v>
      </c>
      <c r="G1999" t="s">
        <v>59</v>
      </c>
      <c r="H1999" t="s">
        <v>30</v>
      </c>
      <c r="I1999">
        <v>134</v>
      </c>
      <c r="J1999">
        <v>0</v>
      </c>
      <c r="K1999">
        <v>5</v>
      </c>
      <c r="L1999">
        <v>51</v>
      </c>
      <c r="M1999" t="s">
        <v>38</v>
      </c>
      <c r="N1999" t="s">
        <v>84</v>
      </c>
      <c r="O1999">
        <v>44644</v>
      </c>
      <c r="P1999">
        <v>165</v>
      </c>
      <c r="Q1999" t="s">
        <v>59</v>
      </c>
      <c r="R1999" t="str">
        <f t="shared" si="32"/>
        <v>Yes</v>
      </c>
    </row>
    <row r="2000" spans="1:18" x14ac:dyDescent="0.35">
      <c r="A2000" s="1">
        <v>40423</v>
      </c>
      <c r="B2000">
        <v>0</v>
      </c>
      <c r="C2000" t="s">
        <v>28</v>
      </c>
      <c r="D2000" t="s">
        <v>33</v>
      </c>
      <c r="E2000" t="s">
        <v>30</v>
      </c>
      <c r="F2000">
        <v>134</v>
      </c>
      <c r="G2000" t="s">
        <v>40</v>
      </c>
      <c r="H2000" t="s">
        <v>30</v>
      </c>
      <c r="I2000">
        <v>134</v>
      </c>
      <c r="J2000">
        <v>6</v>
      </c>
      <c r="K2000">
        <v>3</v>
      </c>
      <c r="L2000">
        <v>54</v>
      </c>
      <c r="M2000" t="s">
        <v>20</v>
      </c>
      <c r="N2000" t="s">
        <v>77</v>
      </c>
      <c r="O2000">
        <v>17269</v>
      </c>
      <c r="P2000">
        <v>157</v>
      </c>
      <c r="Q2000" t="s">
        <v>33</v>
      </c>
      <c r="R2000" t="str">
        <f t="shared" si="32"/>
        <v>No</v>
      </c>
    </row>
    <row r="2001" spans="1:18" x14ac:dyDescent="0.35">
      <c r="A2001" s="1">
        <v>40423</v>
      </c>
      <c r="B2001">
        <v>0</v>
      </c>
      <c r="C2001" t="s">
        <v>28</v>
      </c>
      <c r="D2001" t="s">
        <v>19</v>
      </c>
      <c r="E2001" t="s">
        <v>18</v>
      </c>
      <c r="F2001">
        <v>134</v>
      </c>
      <c r="G2001" t="s">
        <v>50</v>
      </c>
      <c r="H2001" t="s">
        <v>18</v>
      </c>
      <c r="I2001">
        <v>134</v>
      </c>
      <c r="J2001">
        <v>4</v>
      </c>
      <c r="K2001">
        <v>2</v>
      </c>
      <c r="L2001">
        <v>54</v>
      </c>
      <c r="M2001" t="s">
        <v>20</v>
      </c>
      <c r="N2001" t="s">
        <v>51</v>
      </c>
      <c r="O2001">
        <v>24895</v>
      </c>
      <c r="P2001">
        <v>166</v>
      </c>
      <c r="Q2001" t="s">
        <v>19</v>
      </c>
      <c r="R2001" t="str">
        <f t="shared" si="32"/>
        <v>No</v>
      </c>
    </row>
    <row r="2002" spans="1:18" x14ac:dyDescent="0.35">
      <c r="A2002" s="1">
        <v>40423</v>
      </c>
      <c r="B2002">
        <v>0</v>
      </c>
      <c r="C2002" t="s">
        <v>28</v>
      </c>
      <c r="D2002" t="s">
        <v>25</v>
      </c>
      <c r="E2002" t="s">
        <v>18</v>
      </c>
      <c r="F2002">
        <v>134</v>
      </c>
      <c r="G2002" t="s">
        <v>63</v>
      </c>
      <c r="H2002" t="s">
        <v>18</v>
      </c>
      <c r="I2002">
        <v>133</v>
      </c>
      <c r="J2002">
        <v>12</v>
      </c>
      <c r="K2002">
        <v>11</v>
      </c>
      <c r="L2002">
        <v>54</v>
      </c>
      <c r="M2002" t="s">
        <v>20</v>
      </c>
      <c r="N2002" t="s">
        <v>64</v>
      </c>
      <c r="O2002">
        <v>30179</v>
      </c>
      <c r="P2002">
        <v>231</v>
      </c>
      <c r="Q2002" t="s">
        <v>25</v>
      </c>
      <c r="R2002" t="str">
        <f t="shared" si="32"/>
        <v>No</v>
      </c>
    </row>
    <row r="2003" spans="1:18" x14ac:dyDescent="0.35">
      <c r="A2003" s="1">
        <v>40424</v>
      </c>
      <c r="B2003">
        <v>0</v>
      </c>
      <c r="C2003" t="s">
        <v>55</v>
      </c>
      <c r="D2003" t="s">
        <v>44</v>
      </c>
      <c r="E2003" t="s">
        <v>30</v>
      </c>
      <c r="F2003">
        <v>134</v>
      </c>
      <c r="G2003" t="s">
        <v>43</v>
      </c>
      <c r="H2003" t="s">
        <v>30</v>
      </c>
      <c r="I2003">
        <v>135</v>
      </c>
      <c r="J2003">
        <v>4</v>
      </c>
      <c r="K2003">
        <v>1</v>
      </c>
      <c r="L2003">
        <v>54</v>
      </c>
      <c r="M2003" t="s">
        <v>20</v>
      </c>
      <c r="N2003" t="s">
        <v>56</v>
      </c>
      <c r="O2003">
        <v>13507</v>
      </c>
      <c r="P2003">
        <v>185</v>
      </c>
      <c r="Q2003" t="s">
        <v>44</v>
      </c>
      <c r="R2003" t="str">
        <f t="shared" si="32"/>
        <v>No</v>
      </c>
    </row>
    <row r="2004" spans="1:18" x14ac:dyDescent="0.35">
      <c r="A2004" s="1">
        <v>40424</v>
      </c>
      <c r="B2004">
        <v>0</v>
      </c>
      <c r="C2004" t="s">
        <v>55</v>
      </c>
      <c r="D2004" t="s">
        <v>36</v>
      </c>
      <c r="E2004" t="s">
        <v>30</v>
      </c>
      <c r="F2004">
        <v>135</v>
      </c>
      <c r="G2004" t="s">
        <v>37</v>
      </c>
      <c r="H2004" t="s">
        <v>30</v>
      </c>
      <c r="I2004">
        <v>134</v>
      </c>
      <c r="J2004">
        <v>9</v>
      </c>
      <c r="K2004">
        <v>5</v>
      </c>
      <c r="L2004">
        <v>66</v>
      </c>
      <c r="M2004" t="s">
        <v>20</v>
      </c>
      <c r="N2004" t="s">
        <v>39</v>
      </c>
      <c r="O2004">
        <v>17835</v>
      </c>
      <c r="P2004">
        <v>208</v>
      </c>
      <c r="Q2004" t="s">
        <v>36</v>
      </c>
      <c r="R2004" t="str">
        <f t="shared" si="32"/>
        <v>No</v>
      </c>
    </row>
    <row r="2005" spans="1:18" x14ac:dyDescent="0.35">
      <c r="A2005" s="1">
        <v>40424</v>
      </c>
      <c r="B2005">
        <v>0</v>
      </c>
      <c r="C2005" t="s">
        <v>55</v>
      </c>
      <c r="D2005" t="s">
        <v>47</v>
      </c>
      <c r="E2005" t="s">
        <v>30</v>
      </c>
      <c r="F2005">
        <v>134</v>
      </c>
      <c r="G2005" t="s">
        <v>29</v>
      </c>
      <c r="H2005" t="s">
        <v>30</v>
      </c>
      <c r="I2005">
        <v>135</v>
      </c>
      <c r="J2005">
        <v>3</v>
      </c>
      <c r="K2005">
        <v>4</v>
      </c>
      <c r="L2005">
        <v>51</v>
      </c>
      <c r="M2005" t="s">
        <v>20</v>
      </c>
      <c r="N2005" t="s">
        <v>76</v>
      </c>
      <c r="O2005">
        <v>40134</v>
      </c>
      <c r="P2005">
        <v>180</v>
      </c>
      <c r="Q2005" t="s">
        <v>29</v>
      </c>
      <c r="R2005" t="str">
        <f t="shared" si="32"/>
        <v>Yes</v>
      </c>
    </row>
    <row r="2006" spans="1:18" x14ac:dyDescent="0.35">
      <c r="A2006" s="1">
        <v>40424</v>
      </c>
      <c r="B2006">
        <v>0</v>
      </c>
      <c r="C2006" t="s">
        <v>55</v>
      </c>
      <c r="D2006" t="s">
        <v>46</v>
      </c>
      <c r="E2006" t="s">
        <v>30</v>
      </c>
      <c r="F2006">
        <v>134</v>
      </c>
      <c r="G2006" t="s">
        <v>59</v>
      </c>
      <c r="H2006" t="s">
        <v>30</v>
      </c>
      <c r="I2006">
        <v>135</v>
      </c>
      <c r="J2006">
        <v>3</v>
      </c>
      <c r="K2006">
        <v>7</v>
      </c>
      <c r="L2006">
        <v>51</v>
      </c>
      <c r="M2006" t="s">
        <v>38</v>
      </c>
      <c r="N2006" t="s">
        <v>84</v>
      </c>
      <c r="O2006">
        <v>44739</v>
      </c>
      <c r="P2006">
        <v>186</v>
      </c>
      <c r="Q2006" t="s">
        <v>59</v>
      </c>
      <c r="R2006" t="str">
        <f t="shared" si="32"/>
        <v>Yes</v>
      </c>
    </row>
    <row r="2007" spans="1:18" x14ac:dyDescent="0.35">
      <c r="A2007" s="1">
        <v>40424</v>
      </c>
      <c r="B2007">
        <v>0</v>
      </c>
      <c r="C2007" t="s">
        <v>55</v>
      </c>
      <c r="D2007" t="s">
        <v>31</v>
      </c>
      <c r="E2007" t="s">
        <v>30</v>
      </c>
      <c r="F2007">
        <v>135</v>
      </c>
      <c r="G2007" t="s">
        <v>41</v>
      </c>
      <c r="H2007" t="s">
        <v>30</v>
      </c>
      <c r="I2007">
        <v>134</v>
      </c>
      <c r="J2007">
        <v>0</v>
      </c>
      <c r="K2007">
        <v>8</v>
      </c>
      <c r="L2007">
        <v>51</v>
      </c>
      <c r="M2007" t="s">
        <v>20</v>
      </c>
      <c r="N2007" t="s">
        <v>42</v>
      </c>
      <c r="O2007">
        <v>23401</v>
      </c>
      <c r="P2007">
        <v>178</v>
      </c>
      <c r="Q2007" t="s">
        <v>41</v>
      </c>
      <c r="R2007" t="str">
        <f t="shared" si="32"/>
        <v>Yes</v>
      </c>
    </row>
    <row r="2008" spans="1:18" x14ac:dyDescent="0.35">
      <c r="A2008" s="1">
        <v>40424</v>
      </c>
      <c r="B2008">
        <v>0</v>
      </c>
      <c r="C2008" t="s">
        <v>55</v>
      </c>
      <c r="D2008" t="s">
        <v>33</v>
      </c>
      <c r="E2008" t="s">
        <v>30</v>
      </c>
      <c r="F2008">
        <v>135</v>
      </c>
      <c r="G2008" t="s">
        <v>40</v>
      </c>
      <c r="H2008" t="s">
        <v>30</v>
      </c>
      <c r="I2008">
        <v>135</v>
      </c>
      <c r="J2008">
        <v>0</v>
      </c>
      <c r="K2008">
        <v>1</v>
      </c>
      <c r="L2008">
        <v>51</v>
      </c>
      <c r="M2008" t="s">
        <v>20</v>
      </c>
      <c r="N2008" t="s">
        <v>77</v>
      </c>
      <c r="O2008">
        <v>17271</v>
      </c>
      <c r="P2008">
        <v>129</v>
      </c>
      <c r="Q2008" t="s">
        <v>40</v>
      </c>
      <c r="R2008" t="str">
        <f t="shared" si="32"/>
        <v>Yes</v>
      </c>
    </row>
    <row r="2009" spans="1:18" x14ac:dyDescent="0.35">
      <c r="A2009" s="1">
        <v>40424</v>
      </c>
      <c r="B2009">
        <v>0</v>
      </c>
      <c r="C2009" t="s">
        <v>55</v>
      </c>
      <c r="D2009" t="s">
        <v>66</v>
      </c>
      <c r="E2009" t="s">
        <v>18</v>
      </c>
      <c r="F2009">
        <v>134</v>
      </c>
      <c r="G2009" t="s">
        <v>60</v>
      </c>
      <c r="H2009" t="s">
        <v>18</v>
      </c>
      <c r="I2009">
        <v>135</v>
      </c>
      <c r="J2009">
        <v>3</v>
      </c>
      <c r="K2009">
        <v>4</v>
      </c>
      <c r="L2009">
        <v>51</v>
      </c>
      <c r="M2009" t="s">
        <v>20</v>
      </c>
      <c r="N2009" t="s">
        <v>61</v>
      </c>
      <c r="O2009">
        <v>24748</v>
      </c>
      <c r="P2009">
        <v>160</v>
      </c>
      <c r="Q2009" t="s">
        <v>60</v>
      </c>
      <c r="R2009" t="str">
        <f t="shared" si="32"/>
        <v>Yes</v>
      </c>
    </row>
    <row r="2010" spans="1:18" x14ac:dyDescent="0.35">
      <c r="A2010" s="1">
        <v>40424</v>
      </c>
      <c r="B2010">
        <v>0</v>
      </c>
      <c r="C2010" t="s">
        <v>55</v>
      </c>
      <c r="D2010" t="s">
        <v>19</v>
      </c>
      <c r="E2010" t="s">
        <v>18</v>
      </c>
      <c r="F2010">
        <v>135</v>
      </c>
      <c r="G2010" t="s">
        <v>49</v>
      </c>
      <c r="H2010" t="s">
        <v>18</v>
      </c>
      <c r="I2010">
        <v>135</v>
      </c>
      <c r="J2010">
        <v>6</v>
      </c>
      <c r="K2010">
        <v>7</v>
      </c>
      <c r="L2010">
        <v>51</v>
      </c>
      <c r="M2010" t="s">
        <v>38</v>
      </c>
      <c r="N2010" t="s">
        <v>79</v>
      </c>
      <c r="O2010">
        <v>31424</v>
      </c>
      <c r="P2010">
        <v>155</v>
      </c>
      <c r="Q2010" t="s">
        <v>49</v>
      </c>
      <c r="R2010" t="str">
        <f t="shared" si="32"/>
        <v>Yes</v>
      </c>
    </row>
    <row r="2011" spans="1:18" x14ac:dyDescent="0.35">
      <c r="A2011" s="1">
        <v>40424</v>
      </c>
      <c r="B2011">
        <v>0</v>
      </c>
      <c r="C2011" t="s">
        <v>55</v>
      </c>
      <c r="D2011" t="s">
        <v>50</v>
      </c>
      <c r="E2011" t="s">
        <v>18</v>
      </c>
      <c r="F2011">
        <v>135</v>
      </c>
      <c r="G2011" t="s">
        <v>17</v>
      </c>
      <c r="H2011" t="s">
        <v>18</v>
      </c>
      <c r="I2011">
        <v>133</v>
      </c>
      <c r="J2011">
        <v>1</v>
      </c>
      <c r="K2011">
        <v>6</v>
      </c>
      <c r="L2011">
        <v>51</v>
      </c>
      <c r="M2011" t="s">
        <v>20</v>
      </c>
      <c r="N2011" t="s">
        <v>65</v>
      </c>
      <c r="O2011">
        <v>19226</v>
      </c>
      <c r="P2011">
        <v>170</v>
      </c>
      <c r="Q2011" t="s">
        <v>17</v>
      </c>
      <c r="R2011" t="str">
        <f t="shared" si="32"/>
        <v>Yes</v>
      </c>
    </row>
    <row r="2012" spans="1:18" x14ac:dyDescent="0.35">
      <c r="A2012" s="1">
        <v>40424</v>
      </c>
      <c r="B2012">
        <v>0</v>
      </c>
      <c r="C2012" t="s">
        <v>55</v>
      </c>
      <c r="D2012" t="s">
        <v>70</v>
      </c>
      <c r="E2012" t="s">
        <v>18</v>
      </c>
      <c r="F2012">
        <v>135</v>
      </c>
      <c r="G2012" t="s">
        <v>22</v>
      </c>
      <c r="H2012" t="s">
        <v>18</v>
      </c>
      <c r="I2012">
        <v>135</v>
      </c>
      <c r="J2012">
        <v>2</v>
      </c>
      <c r="K2012">
        <v>4</v>
      </c>
      <c r="L2012">
        <v>51</v>
      </c>
      <c r="M2012" t="s">
        <v>20</v>
      </c>
      <c r="N2012" t="s">
        <v>85</v>
      </c>
      <c r="O2012">
        <v>43046</v>
      </c>
      <c r="P2012">
        <v>145</v>
      </c>
      <c r="Q2012" t="s">
        <v>22</v>
      </c>
      <c r="R2012" t="str">
        <f t="shared" si="32"/>
        <v>Yes</v>
      </c>
    </row>
    <row r="2013" spans="1:18" x14ac:dyDescent="0.35">
      <c r="A2013" s="1">
        <v>40424</v>
      </c>
      <c r="B2013">
        <v>0</v>
      </c>
      <c r="C2013" t="s">
        <v>55</v>
      </c>
      <c r="D2013" t="s">
        <v>68</v>
      </c>
      <c r="E2013" t="s">
        <v>18</v>
      </c>
      <c r="F2013">
        <v>134</v>
      </c>
      <c r="G2013" t="s">
        <v>25</v>
      </c>
      <c r="H2013" t="s">
        <v>18</v>
      </c>
      <c r="I2013">
        <v>135</v>
      </c>
      <c r="J2013">
        <v>0</v>
      </c>
      <c r="K2013">
        <v>1</v>
      </c>
      <c r="L2013">
        <v>51</v>
      </c>
      <c r="M2013" t="s">
        <v>20</v>
      </c>
      <c r="N2013" t="s">
        <v>80</v>
      </c>
      <c r="O2013">
        <v>44570</v>
      </c>
      <c r="P2013">
        <v>142</v>
      </c>
      <c r="Q2013" t="s">
        <v>25</v>
      </c>
      <c r="R2013" t="str">
        <f t="shared" si="32"/>
        <v>Yes</v>
      </c>
    </row>
    <row r="2014" spans="1:18" x14ac:dyDescent="0.35">
      <c r="A2014" s="1">
        <v>40424</v>
      </c>
      <c r="B2014">
        <v>0</v>
      </c>
      <c r="C2014" t="s">
        <v>55</v>
      </c>
      <c r="D2014" t="s">
        <v>26</v>
      </c>
      <c r="E2014" t="s">
        <v>18</v>
      </c>
      <c r="F2014">
        <v>135</v>
      </c>
      <c r="G2014" t="s">
        <v>23</v>
      </c>
      <c r="H2014" t="s">
        <v>18</v>
      </c>
      <c r="I2014">
        <v>134</v>
      </c>
      <c r="J2014">
        <v>5</v>
      </c>
      <c r="K2014">
        <v>8</v>
      </c>
      <c r="L2014">
        <v>51</v>
      </c>
      <c r="M2014" t="s">
        <v>20</v>
      </c>
      <c r="N2014" t="s">
        <v>24</v>
      </c>
      <c r="O2014">
        <v>19734</v>
      </c>
      <c r="P2014">
        <v>188</v>
      </c>
      <c r="Q2014" t="s">
        <v>23</v>
      </c>
      <c r="R2014" t="str">
        <f t="shared" si="32"/>
        <v>Yes</v>
      </c>
    </row>
    <row r="2015" spans="1:18" x14ac:dyDescent="0.35">
      <c r="A2015" s="1">
        <v>40424</v>
      </c>
      <c r="B2015">
        <v>0</v>
      </c>
      <c r="C2015" t="s">
        <v>55</v>
      </c>
      <c r="D2015" t="s">
        <v>63</v>
      </c>
      <c r="E2015" t="s">
        <v>18</v>
      </c>
      <c r="F2015">
        <v>134</v>
      </c>
      <c r="G2015" t="s">
        <v>62</v>
      </c>
      <c r="H2015" t="s">
        <v>18</v>
      </c>
      <c r="I2015">
        <v>133</v>
      </c>
      <c r="J2015">
        <v>4</v>
      </c>
      <c r="K2015">
        <v>3</v>
      </c>
      <c r="L2015">
        <v>54</v>
      </c>
      <c r="M2015" t="s">
        <v>20</v>
      </c>
      <c r="N2015" t="s">
        <v>81</v>
      </c>
      <c r="O2015">
        <v>21877</v>
      </c>
      <c r="P2015">
        <v>171</v>
      </c>
      <c r="Q2015" t="s">
        <v>63</v>
      </c>
      <c r="R2015" t="str">
        <f t="shared" si="32"/>
        <v>No</v>
      </c>
    </row>
    <row r="2016" spans="1:18" x14ac:dyDescent="0.35">
      <c r="A2016" s="1">
        <v>40424</v>
      </c>
      <c r="B2016">
        <v>0</v>
      </c>
      <c r="C2016" t="s">
        <v>55</v>
      </c>
      <c r="D2016" t="s">
        <v>53</v>
      </c>
      <c r="E2016" t="s">
        <v>18</v>
      </c>
      <c r="F2016">
        <v>134</v>
      </c>
      <c r="G2016" t="s">
        <v>52</v>
      </c>
      <c r="H2016" t="s">
        <v>18</v>
      </c>
      <c r="I2016">
        <v>132</v>
      </c>
      <c r="J2016">
        <v>2</v>
      </c>
      <c r="K2016">
        <v>3</v>
      </c>
      <c r="L2016">
        <v>51</v>
      </c>
      <c r="M2016" t="s">
        <v>20</v>
      </c>
      <c r="N2016" t="s">
        <v>82</v>
      </c>
      <c r="O2016">
        <v>43540</v>
      </c>
      <c r="P2016">
        <v>148</v>
      </c>
      <c r="Q2016" t="s">
        <v>52</v>
      </c>
      <c r="R2016" t="str">
        <f t="shared" si="32"/>
        <v>Yes</v>
      </c>
    </row>
    <row r="2017" spans="1:18" x14ac:dyDescent="0.35">
      <c r="A2017" s="1">
        <v>40425</v>
      </c>
      <c r="B2017">
        <v>0</v>
      </c>
      <c r="C2017" t="s">
        <v>72</v>
      </c>
      <c r="D2017" t="s">
        <v>44</v>
      </c>
      <c r="E2017" t="s">
        <v>30</v>
      </c>
      <c r="F2017">
        <v>135</v>
      </c>
      <c r="G2017" t="s">
        <v>43</v>
      </c>
      <c r="H2017" t="s">
        <v>30</v>
      </c>
      <c r="I2017">
        <v>136</v>
      </c>
      <c r="J2017">
        <v>4</v>
      </c>
      <c r="K2017">
        <v>8</v>
      </c>
      <c r="L2017">
        <v>51</v>
      </c>
      <c r="M2017" t="s">
        <v>20</v>
      </c>
      <c r="N2017" t="s">
        <v>56</v>
      </c>
      <c r="O2017">
        <v>18943</v>
      </c>
      <c r="P2017">
        <v>169</v>
      </c>
      <c r="Q2017" t="s">
        <v>43</v>
      </c>
      <c r="R2017" t="str">
        <f t="shared" si="32"/>
        <v>Yes</v>
      </c>
    </row>
    <row r="2018" spans="1:18" x14ac:dyDescent="0.35">
      <c r="A2018" s="1">
        <v>40425</v>
      </c>
      <c r="B2018">
        <v>1</v>
      </c>
      <c r="C2018" t="s">
        <v>72</v>
      </c>
      <c r="D2018" t="s">
        <v>34</v>
      </c>
      <c r="E2018" t="s">
        <v>30</v>
      </c>
      <c r="F2018">
        <v>134</v>
      </c>
      <c r="G2018" t="s">
        <v>58</v>
      </c>
      <c r="H2018" t="s">
        <v>30</v>
      </c>
      <c r="I2018">
        <v>135</v>
      </c>
      <c r="J2018">
        <v>3</v>
      </c>
      <c r="K2018">
        <v>1</v>
      </c>
      <c r="L2018">
        <v>54</v>
      </c>
      <c r="M2018" t="s">
        <v>38</v>
      </c>
      <c r="N2018" t="s">
        <v>86</v>
      </c>
      <c r="O2018">
        <v>37411</v>
      </c>
      <c r="P2018">
        <v>173</v>
      </c>
      <c r="Q2018" t="s">
        <v>34</v>
      </c>
      <c r="R2018" t="str">
        <f t="shared" si="32"/>
        <v>No</v>
      </c>
    </row>
    <row r="2019" spans="1:18" x14ac:dyDescent="0.35">
      <c r="A2019" s="1">
        <v>40425</v>
      </c>
      <c r="B2019">
        <v>2</v>
      </c>
      <c r="C2019" t="s">
        <v>72</v>
      </c>
      <c r="D2019" t="s">
        <v>34</v>
      </c>
      <c r="E2019" t="s">
        <v>30</v>
      </c>
      <c r="F2019">
        <v>135</v>
      </c>
      <c r="G2019" t="s">
        <v>58</v>
      </c>
      <c r="H2019" t="s">
        <v>30</v>
      </c>
      <c r="I2019">
        <v>136</v>
      </c>
      <c r="J2019">
        <v>3</v>
      </c>
      <c r="K2019">
        <v>1</v>
      </c>
      <c r="L2019">
        <v>54</v>
      </c>
      <c r="M2019" t="s">
        <v>20</v>
      </c>
      <c r="N2019" t="s">
        <v>86</v>
      </c>
      <c r="O2019">
        <v>37858</v>
      </c>
      <c r="P2019">
        <v>183</v>
      </c>
      <c r="Q2019" t="s">
        <v>34</v>
      </c>
      <c r="R2019" t="str">
        <f t="shared" si="32"/>
        <v>No</v>
      </c>
    </row>
    <row r="2020" spans="1:18" x14ac:dyDescent="0.35">
      <c r="A2020" s="1">
        <v>40425</v>
      </c>
      <c r="B2020">
        <v>0</v>
      </c>
      <c r="C2020" t="s">
        <v>72</v>
      </c>
      <c r="D2020" t="s">
        <v>36</v>
      </c>
      <c r="E2020" t="s">
        <v>30</v>
      </c>
      <c r="F2020">
        <v>136</v>
      </c>
      <c r="G2020" t="s">
        <v>37</v>
      </c>
      <c r="H2020" t="s">
        <v>30</v>
      </c>
      <c r="I2020">
        <v>135</v>
      </c>
      <c r="J2020">
        <v>6</v>
      </c>
      <c r="K2020">
        <v>4</v>
      </c>
      <c r="L2020">
        <v>54</v>
      </c>
      <c r="M2020" t="s">
        <v>20</v>
      </c>
      <c r="N2020" t="s">
        <v>39</v>
      </c>
      <c r="O2020">
        <v>21483</v>
      </c>
      <c r="P2020">
        <v>177</v>
      </c>
      <c r="Q2020" t="s">
        <v>36</v>
      </c>
      <c r="R2020" t="str">
        <f t="shared" si="32"/>
        <v>No</v>
      </c>
    </row>
    <row r="2021" spans="1:18" x14ac:dyDescent="0.35">
      <c r="A2021" s="1">
        <v>40425</v>
      </c>
      <c r="B2021">
        <v>0</v>
      </c>
      <c r="C2021" t="s">
        <v>72</v>
      </c>
      <c r="D2021" t="s">
        <v>47</v>
      </c>
      <c r="E2021" t="s">
        <v>30</v>
      </c>
      <c r="F2021">
        <v>135</v>
      </c>
      <c r="G2021" t="s">
        <v>29</v>
      </c>
      <c r="H2021" t="s">
        <v>30</v>
      </c>
      <c r="I2021">
        <v>136</v>
      </c>
      <c r="J2021">
        <v>4</v>
      </c>
      <c r="K2021">
        <v>12</v>
      </c>
      <c r="L2021">
        <v>51</v>
      </c>
      <c r="M2021" t="s">
        <v>38</v>
      </c>
      <c r="N2021" t="s">
        <v>76</v>
      </c>
      <c r="O2021">
        <v>40496</v>
      </c>
      <c r="P2021">
        <v>155</v>
      </c>
      <c r="Q2021" t="s">
        <v>29</v>
      </c>
      <c r="R2021" t="str">
        <f t="shared" si="32"/>
        <v>Yes</v>
      </c>
    </row>
    <row r="2022" spans="1:18" x14ac:dyDescent="0.35">
      <c r="A2022" s="1">
        <v>40425</v>
      </c>
      <c r="B2022">
        <v>0</v>
      </c>
      <c r="C2022" t="s">
        <v>72</v>
      </c>
      <c r="D2022" t="s">
        <v>46</v>
      </c>
      <c r="E2022" t="s">
        <v>30</v>
      </c>
      <c r="F2022">
        <v>135</v>
      </c>
      <c r="G2022" t="s">
        <v>59</v>
      </c>
      <c r="H2022" t="s">
        <v>30</v>
      </c>
      <c r="I2022">
        <v>136</v>
      </c>
      <c r="J2022">
        <v>5</v>
      </c>
      <c r="K2022">
        <v>7</v>
      </c>
      <c r="L2022">
        <v>51</v>
      </c>
      <c r="M2022" t="s">
        <v>38</v>
      </c>
      <c r="N2022" t="s">
        <v>84</v>
      </c>
      <c r="O2022">
        <v>47478</v>
      </c>
      <c r="P2022">
        <v>189</v>
      </c>
      <c r="Q2022" t="s">
        <v>59</v>
      </c>
      <c r="R2022" t="str">
        <f t="shared" si="32"/>
        <v>Yes</v>
      </c>
    </row>
    <row r="2023" spans="1:18" x14ac:dyDescent="0.35">
      <c r="A2023" s="1">
        <v>40425</v>
      </c>
      <c r="B2023">
        <v>0</v>
      </c>
      <c r="C2023" t="s">
        <v>72</v>
      </c>
      <c r="D2023" t="s">
        <v>31</v>
      </c>
      <c r="E2023" t="s">
        <v>30</v>
      </c>
      <c r="F2023">
        <v>136</v>
      </c>
      <c r="G2023" t="s">
        <v>41</v>
      </c>
      <c r="H2023" t="s">
        <v>30</v>
      </c>
      <c r="I2023">
        <v>135</v>
      </c>
      <c r="J2023">
        <v>1</v>
      </c>
      <c r="K2023">
        <v>3</v>
      </c>
      <c r="L2023">
        <v>51</v>
      </c>
      <c r="M2023" t="s">
        <v>38</v>
      </c>
      <c r="N2023" t="s">
        <v>42</v>
      </c>
      <c r="O2023">
        <v>14227</v>
      </c>
      <c r="P2023">
        <v>152</v>
      </c>
      <c r="Q2023" t="s">
        <v>41</v>
      </c>
      <c r="R2023" t="str">
        <f t="shared" si="32"/>
        <v>Yes</v>
      </c>
    </row>
    <row r="2024" spans="1:18" x14ac:dyDescent="0.35">
      <c r="A2024" s="1">
        <v>40425</v>
      </c>
      <c r="B2024">
        <v>0</v>
      </c>
      <c r="C2024" t="s">
        <v>72</v>
      </c>
      <c r="D2024" t="s">
        <v>33</v>
      </c>
      <c r="E2024" t="s">
        <v>30</v>
      </c>
      <c r="F2024">
        <v>136</v>
      </c>
      <c r="G2024" t="s">
        <v>40</v>
      </c>
      <c r="H2024" t="s">
        <v>30</v>
      </c>
      <c r="I2024">
        <v>136</v>
      </c>
      <c r="J2024">
        <v>4</v>
      </c>
      <c r="K2024">
        <v>2</v>
      </c>
      <c r="L2024">
        <v>54</v>
      </c>
      <c r="M2024" t="s">
        <v>20</v>
      </c>
      <c r="N2024" t="s">
        <v>77</v>
      </c>
      <c r="O2024">
        <v>25108</v>
      </c>
      <c r="P2024">
        <v>158</v>
      </c>
      <c r="Q2024" t="s">
        <v>33</v>
      </c>
      <c r="R2024" t="str">
        <f t="shared" si="32"/>
        <v>No</v>
      </c>
    </row>
    <row r="2025" spans="1:18" x14ac:dyDescent="0.35">
      <c r="A2025" s="1">
        <v>40425</v>
      </c>
      <c r="B2025">
        <v>0</v>
      </c>
      <c r="C2025" t="s">
        <v>72</v>
      </c>
      <c r="D2025" t="s">
        <v>66</v>
      </c>
      <c r="E2025" t="s">
        <v>18</v>
      </c>
      <c r="F2025">
        <v>135</v>
      </c>
      <c r="G2025" t="s">
        <v>60</v>
      </c>
      <c r="H2025" t="s">
        <v>18</v>
      </c>
      <c r="I2025">
        <v>136</v>
      </c>
      <c r="J2025">
        <v>6</v>
      </c>
      <c r="K2025">
        <v>5</v>
      </c>
      <c r="L2025">
        <v>54</v>
      </c>
      <c r="M2025" t="s">
        <v>20</v>
      </c>
      <c r="N2025" t="s">
        <v>61</v>
      </c>
      <c r="O2025">
        <v>31605</v>
      </c>
      <c r="P2025">
        <v>189</v>
      </c>
      <c r="Q2025" t="s">
        <v>66</v>
      </c>
      <c r="R2025" t="str">
        <f t="shared" si="32"/>
        <v>No</v>
      </c>
    </row>
    <row r="2026" spans="1:18" x14ac:dyDescent="0.35">
      <c r="A2026" s="1">
        <v>40425</v>
      </c>
      <c r="B2026">
        <v>0</v>
      </c>
      <c r="C2026" t="s">
        <v>72</v>
      </c>
      <c r="D2026" t="s">
        <v>19</v>
      </c>
      <c r="E2026" t="s">
        <v>18</v>
      </c>
      <c r="F2026">
        <v>136</v>
      </c>
      <c r="G2026" t="s">
        <v>49</v>
      </c>
      <c r="H2026" t="s">
        <v>18</v>
      </c>
      <c r="I2026">
        <v>136</v>
      </c>
      <c r="J2026">
        <v>3</v>
      </c>
      <c r="K2026">
        <v>5</v>
      </c>
      <c r="L2026">
        <v>51</v>
      </c>
      <c r="M2026" t="s">
        <v>38</v>
      </c>
      <c r="N2026" t="s">
        <v>79</v>
      </c>
      <c r="O2026">
        <v>39473</v>
      </c>
      <c r="P2026">
        <v>177</v>
      </c>
      <c r="Q2026" t="s">
        <v>49</v>
      </c>
      <c r="R2026" t="str">
        <f t="shared" si="32"/>
        <v>Yes</v>
      </c>
    </row>
    <row r="2027" spans="1:18" x14ac:dyDescent="0.35">
      <c r="A2027" s="1">
        <v>40425</v>
      </c>
      <c r="B2027">
        <v>0</v>
      </c>
      <c r="C2027" t="s">
        <v>72</v>
      </c>
      <c r="D2027" t="s">
        <v>50</v>
      </c>
      <c r="E2027" t="s">
        <v>18</v>
      </c>
      <c r="F2027">
        <v>136</v>
      </c>
      <c r="G2027" t="s">
        <v>17</v>
      </c>
      <c r="H2027" t="s">
        <v>18</v>
      </c>
      <c r="I2027">
        <v>134</v>
      </c>
      <c r="J2027">
        <v>2</v>
      </c>
      <c r="K2027">
        <v>0</v>
      </c>
      <c r="L2027">
        <v>54</v>
      </c>
      <c r="M2027" t="s">
        <v>20</v>
      </c>
      <c r="N2027" t="s">
        <v>65</v>
      </c>
      <c r="O2027">
        <v>23912</v>
      </c>
      <c r="P2027">
        <v>169</v>
      </c>
      <c r="Q2027" t="s">
        <v>50</v>
      </c>
      <c r="R2027" t="str">
        <f t="shared" si="32"/>
        <v>No</v>
      </c>
    </row>
    <row r="2028" spans="1:18" x14ac:dyDescent="0.35">
      <c r="A2028" s="1">
        <v>40425</v>
      </c>
      <c r="B2028">
        <v>0</v>
      </c>
      <c r="C2028" t="s">
        <v>72</v>
      </c>
      <c r="D2028" t="s">
        <v>70</v>
      </c>
      <c r="E2028" t="s">
        <v>18</v>
      </c>
      <c r="F2028">
        <v>136</v>
      </c>
      <c r="G2028" t="s">
        <v>22</v>
      </c>
      <c r="H2028" t="s">
        <v>18</v>
      </c>
      <c r="I2028">
        <v>136</v>
      </c>
      <c r="J2028">
        <v>5</v>
      </c>
      <c r="K2028">
        <v>4</v>
      </c>
      <c r="L2028">
        <v>54</v>
      </c>
      <c r="M2028" t="s">
        <v>20</v>
      </c>
      <c r="N2028" t="s">
        <v>85</v>
      </c>
      <c r="O2028">
        <v>48220</v>
      </c>
      <c r="P2028">
        <v>164</v>
      </c>
      <c r="Q2028" t="s">
        <v>70</v>
      </c>
      <c r="R2028" t="str">
        <f t="shared" si="32"/>
        <v>No</v>
      </c>
    </row>
    <row r="2029" spans="1:18" x14ac:dyDescent="0.35">
      <c r="A2029" s="1">
        <v>40425</v>
      </c>
      <c r="B2029">
        <v>0</v>
      </c>
      <c r="C2029" t="s">
        <v>72</v>
      </c>
      <c r="D2029" t="s">
        <v>68</v>
      </c>
      <c r="E2029" t="s">
        <v>18</v>
      </c>
      <c r="F2029">
        <v>135</v>
      </c>
      <c r="G2029" t="s">
        <v>25</v>
      </c>
      <c r="H2029" t="s">
        <v>18</v>
      </c>
      <c r="I2029">
        <v>136</v>
      </c>
      <c r="J2029">
        <v>4</v>
      </c>
      <c r="K2029">
        <v>5</v>
      </c>
      <c r="L2029">
        <v>51</v>
      </c>
      <c r="M2029" t="s">
        <v>20</v>
      </c>
      <c r="N2029" t="s">
        <v>80</v>
      </c>
      <c r="O2029">
        <v>45393</v>
      </c>
      <c r="P2029">
        <v>174</v>
      </c>
      <c r="Q2029" t="s">
        <v>25</v>
      </c>
      <c r="R2029" t="str">
        <f t="shared" si="32"/>
        <v>Yes</v>
      </c>
    </row>
    <row r="2030" spans="1:18" x14ac:dyDescent="0.35">
      <c r="A2030" s="1">
        <v>40425</v>
      </c>
      <c r="B2030">
        <v>0</v>
      </c>
      <c r="C2030" t="s">
        <v>72</v>
      </c>
      <c r="D2030" t="s">
        <v>26</v>
      </c>
      <c r="E2030" t="s">
        <v>18</v>
      </c>
      <c r="F2030">
        <v>136</v>
      </c>
      <c r="G2030" t="s">
        <v>23</v>
      </c>
      <c r="H2030" t="s">
        <v>18</v>
      </c>
      <c r="I2030">
        <v>135</v>
      </c>
      <c r="J2030">
        <v>9</v>
      </c>
      <c r="K2030">
        <v>2</v>
      </c>
      <c r="L2030">
        <v>54</v>
      </c>
      <c r="M2030" t="s">
        <v>20</v>
      </c>
      <c r="N2030" t="s">
        <v>24</v>
      </c>
      <c r="O2030">
        <v>30263</v>
      </c>
      <c r="P2030">
        <v>177</v>
      </c>
      <c r="Q2030" t="s">
        <v>26</v>
      </c>
      <c r="R2030" t="str">
        <f t="shared" si="32"/>
        <v>No</v>
      </c>
    </row>
    <row r="2031" spans="1:18" x14ac:dyDescent="0.35">
      <c r="A2031" s="1">
        <v>40425</v>
      </c>
      <c r="B2031">
        <v>0</v>
      </c>
      <c r="C2031" t="s">
        <v>72</v>
      </c>
      <c r="D2031" t="s">
        <v>63</v>
      </c>
      <c r="E2031" t="s">
        <v>18</v>
      </c>
      <c r="F2031">
        <v>135</v>
      </c>
      <c r="G2031" t="s">
        <v>62</v>
      </c>
      <c r="H2031" t="s">
        <v>18</v>
      </c>
      <c r="I2031">
        <v>134</v>
      </c>
      <c r="J2031">
        <v>6</v>
      </c>
      <c r="K2031">
        <v>2</v>
      </c>
      <c r="L2031">
        <v>54</v>
      </c>
      <c r="M2031" t="s">
        <v>38</v>
      </c>
      <c r="N2031" t="s">
        <v>81</v>
      </c>
      <c r="O2031">
        <v>26168</v>
      </c>
      <c r="P2031">
        <v>205</v>
      </c>
      <c r="Q2031" t="s">
        <v>63</v>
      </c>
      <c r="R2031" t="str">
        <f t="shared" si="32"/>
        <v>No</v>
      </c>
    </row>
    <row r="2032" spans="1:18" x14ac:dyDescent="0.35">
      <c r="A2032" s="1">
        <v>40425</v>
      </c>
      <c r="B2032">
        <v>0</v>
      </c>
      <c r="C2032" t="s">
        <v>72</v>
      </c>
      <c r="D2032" t="s">
        <v>53</v>
      </c>
      <c r="E2032" t="s">
        <v>18</v>
      </c>
      <c r="F2032">
        <v>135</v>
      </c>
      <c r="G2032" t="s">
        <v>52</v>
      </c>
      <c r="H2032" t="s">
        <v>18</v>
      </c>
      <c r="I2032">
        <v>133</v>
      </c>
      <c r="J2032">
        <v>6</v>
      </c>
      <c r="K2032">
        <v>1</v>
      </c>
      <c r="L2032">
        <v>54</v>
      </c>
      <c r="M2032" t="s">
        <v>38</v>
      </c>
      <c r="N2032" t="s">
        <v>82</v>
      </c>
      <c r="O2032">
        <v>44597</v>
      </c>
      <c r="P2032">
        <v>167</v>
      </c>
      <c r="Q2032" t="s">
        <v>53</v>
      </c>
      <c r="R2032" t="str">
        <f t="shared" si="32"/>
        <v>No</v>
      </c>
    </row>
    <row r="2033" spans="1:18" x14ac:dyDescent="0.35">
      <c r="A2033" s="1">
        <v>40426</v>
      </c>
      <c r="B2033">
        <v>0</v>
      </c>
      <c r="C2033" t="s">
        <v>73</v>
      </c>
      <c r="D2033" t="s">
        <v>44</v>
      </c>
      <c r="E2033" t="s">
        <v>30</v>
      </c>
      <c r="F2033">
        <v>136</v>
      </c>
      <c r="G2033" t="s">
        <v>43</v>
      </c>
      <c r="H2033" t="s">
        <v>30</v>
      </c>
      <c r="I2033">
        <v>137</v>
      </c>
      <c r="J2033">
        <v>7</v>
      </c>
      <c r="K2033">
        <v>8</v>
      </c>
      <c r="L2033">
        <v>51</v>
      </c>
      <c r="M2033" t="s">
        <v>38</v>
      </c>
      <c r="N2033" t="s">
        <v>56</v>
      </c>
      <c r="O2033">
        <v>28268</v>
      </c>
      <c r="P2033">
        <v>196</v>
      </c>
      <c r="Q2033" t="s">
        <v>43</v>
      </c>
      <c r="R2033" t="str">
        <f t="shared" si="32"/>
        <v>Yes</v>
      </c>
    </row>
    <row r="2034" spans="1:18" x14ac:dyDescent="0.35">
      <c r="A2034" s="1">
        <v>40426</v>
      </c>
      <c r="B2034">
        <v>0</v>
      </c>
      <c r="C2034" t="s">
        <v>73</v>
      </c>
      <c r="D2034" t="s">
        <v>34</v>
      </c>
      <c r="E2034" t="s">
        <v>30</v>
      </c>
      <c r="F2034">
        <v>136</v>
      </c>
      <c r="G2034" t="s">
        <v>58</v>
      </c>
      <c r="H2034" t="s">
        <v>30</v>
      </c>
      <c r="I2034">
        <v>137</v>
      </c>
      <c r="J2034">
        <v>7</v>
      </c>
      <c r="K2034">
        <v>5</v>
      </c>
      <c r="L2034">
        <v>54</v>
      </c>
      <c r="M2034" t="s">
        <v>38</v>
      </c>
      <c r="N2034" t="s">
        <v>86</v>
      </c>
      <c r="O2034">
        <v>37570</v>
      </c>
      <c r="P2034">
        <v>245</v>
      </c>
      <c r="Q2034" t="s">
        <v>34</v>
      </c>
      <c r="R2034" t="str">
        <f t="shared" si="32"/>
        <v>No</v>
      </c>
    </row>
    <row r="2035" spans="1:18" x14ac:dyDescent="0.35">
      <c r="A2035" s="1">
        <v>40426</v>
      </c>
      <c r="B2035">
        <v>0</v>
      </c>
      <c r="C2035" t="s">
        <v>73</v>
      </c>
      <c r="D2035" t="s">
        <v>36</v>
      </c>
      <c r="E2035" t="s">
        <v>30</v>
      </c>
      <c r="F2035">
        <v>137</v>
      </c>
      <c r="G2035" t="s">
        <v>37</v>
      </c>
      <c r="H2035" t="s">
        <v>30</v>
      </c>
      <c r="I2035">
        <v>136</v>
      </c>
      <c r="J2035">
        <v>1</v>
      </c>
      <c r="K2035">
        <v>2</v>
      </c>
      <c r="L2035">
        <v>51</v>
      </c>
      <c r="M2035" t="s">
        <v>38</v>
      </c>
      <c r="N2035" t="s">
        <v>39</v>
      </c>
      <c r="O2035">
        <v>19061</v>
      </c>
      <c r="P2035">
        <v>166</v>
      </c>
      <c r="Q2035" t="s">
        <v>37</v>
      </c>
      <c r="R2035" t="str">
        <f t="shared" si="32"/>
        <v>Yes</v>
      </c>
    </row>
    <row r="2036" spans="1:18" x14ac:dyDescent="0.35">
      <c r="A2036" s="1">
        <v>40426</v>
      </c>
      <c r="B2036">
        <v>0</v>
      </c>
      <c r="C2036" t="s">
        <v>73</v>
      </c>
      <c r="D2036" t="s">
        <v>47</v>
      </c>
      <c r="E2036" t="s">
        <v>30</v>
      </c>
      <c r="F2036">
        <v>136</v>
      </c>
      <c r="G2036" t="s">
        <v>29</v>
      </c>
      <c r="H2036" t="s">
        <v>30</v>
      </c>
      <c r="I2036">
        <v>137</v>
      </c>
      <c r="J2036">
        <v>5</v>
      </c>
      <c r="K2036">
        <v>6</v>
      </c>
      <c r="L2036">
        <v>51</v>
      </c>
      <c r="M2036" t="s">
        <v>38</v>
      </c>
      <c r="N2036" t="s">
        <v>76</v>
      </c>
      <c r="O2036">
        <v>40516</v>
      </c>
      <c r="P2036">
        <v>175</v>
      </c>
      <c r="Q2036" t="s">
        <v>29</v>
      </c>
      <c r="R2036" t="str">
        <f t="shared" si="32"/>
        <v>Yes</v>
      </c>
    </row>
    <row r="2037" spans="1:18" x14ac:dyDescent="0.35">
      <c r="A2037" s="1">
        <v>40426</v>
      </c>
      <c r="B2037">
        <v>0</v>
      </c>
      <c r="C2037" t="s">
        <v>73</v>
      </c>
      <c r="D2037" t="s">
        <v>46</v>
      </c>
      <c r="E2037" t="s">
        <v>30</v>
      </c>
      <c r="F2037">
        <v>136</v>
      </c>
      <c r="G2037" t="s">
        <v>59</v>
      </c>
      <c r="H2037" t="s">
        <v>30</v>
      </c>
      <c r="I2037">
        <v>137</v>
      </c>
      <c r="J2037">
        <v>7</v>
      </c>
      <c r="K2037">
        <v>3</v>
      </c>
      <c r="L2037">
        <v>54</v>
      </c>
      <c r="M2037" t="s">
        <v>38</v>
      </c>
      <c r="N2037" t="s">
        <v>84</v>
      </c>
      <c r="O2037">
        <v>47737</v>
      </c>
      <c r="P2037">
        <v>194</v>
      </c>
      <c r="Q2037" t="s">
        <v>46</v>
      </c>
      <c r="R2037" t="str">
        <f t="shared" si="32"/>
        <v>No</v>
      </c>
    </row>
    <row r="2038" spans="1:18" x14ac:dyDescent="0.35">
      <c r="A2038" s="1">
        <v>40426</v>
      </c>
      <c r="B2038">
        <v>0</v>
      </c>
      <c r="C2038" t="s">
        <v>73</v>
      </c>
      <c r="D2038" t="s">
        <v>31</v>
      </c>
      <c r="E2038" t="s">
        <v>30</v>
      </c>
      <c r="F2038">
        <v>137</v>
      </c>
      <c r="G2038" t="s">
        <v>41</v>
      </c>
      <c r="H2038" t="s">
        <v>30</v>
      </c>
      <c r="I2038">
        <v>136</v>
      </c>
      <c r="J2038">
        <v>7</v>
      </c>
      <c r="K2038">
        <v>4</v>
      </c>
      <c r="L2038">
        <v>54</v>
      </c>
      <c r="M2038" t="s">
        <v>38</v>
      </c>
      <c r="N2038" t="s">
        <v>42</v>
      </c>
      <c r="O2038">
        <v>16413</v>
      </c>
      <c r="P2038">
        <v>184</v>
      </c>
      <c r="Q2038" t="s">
        <v>31</v>
      </c>
      <c r="R2038" t="str">
        <f t="shared" si="32"/>
        <v>No</v>
      </c>
    </row>
    <row r="2039" spans="1:18" x14ac:dyDescent="0.35">
      <c r="A2039" s="1">
        <v>40426</v>
      </c>
      <c r="B2039">
        <v>0</v>
      </c>
      <c r="C2039" t="s">
        <v>73</v>
      </c>
      <c r="D2039" t="s">
        <v>33</v>
      </c>
      <c r="E2039" t="s">
        <v>30</v>
      </c>
      <c r="F2039">
        <v>137</v>
      </c>
      <c r="G2039" t="s">
        <v>40</v>
      </c>
      <c r="H2039" t="s">
        <v>30</v>
      </c>
      <c r="I2039">
        <v>137</v>
      </c>
      <c r="J2039">
        <v>0</v>
      </c>
      <c r="K2039">
        <v>3</v>
      </c>
      <c r="L2039">
        <v>51</v>
      </c>
      <c r="M2039" t="s">
        <v>38</v>
      </c>
      <c r="N2039" t="s">
        <v>77</v>
      </c>
      <c r="O2039">
        <v>22621</v>
      </c>
      <c r="P2039">
        <v>146</v>
      </c>
      <c r="Q2039" t="s">
        <v>40</v>
      </c>
      <c r="R2039" t="str">
        <f t="shared" si="32"/>
        <v>Yes</v>
      </c>
    </row>
    <row r="2040" spans="1:18" x14ac:dyDescent="0.35">
      <c r="A2040" s="1">
        <v>40426</v>
      </c>
      <c r="B2040">
        <v>0</v>
      </c>
      <c r="C2040" t="s">
        <v>73</v>
      </c>
      <c r="D2040" t="s">
        <v>66</v>
      </c>
      <c r="E2040" t="s">
        <v>18</v>
      </c>
      <c r="F2040">
        <v>136</v>
      </c>
      <c r="G2040" t="s">
        <v>60</v>
      </c>
      <c r="H2040" t="s">
        <v>18</v>
      </c>
      <c r="I2040">
        <v>137</v>
      </c>
      <c r="J2040">
        <v>3</v>
      </c>
      <c r="K2040">
        <v>2</v>
      </c>
      <c r="L2040">
        <v>54</v>
      </c>
      <c r="M2040" t="s">
        <v>38</v>
      </c>
      <c r="N2040" t="s">
        <v>61</v>
      </c>
      <c r="O2040">
        <v>25416</v>
      </c>
      <c r="P2040">
        <v>154</v>
      </c>
      <c r="Q2040" t="s">
        <v>66</v>
      </c>
      <c r="R2040" t="str">
        <f t="shared" si="32"/>
        <v>No</v>
      </c>
    </row>
    <row r="2041" spans="1:18" x14ac:dyDescent="0.35">
      <c r="A2041" s="1">
        <v>40426</v>
      </c>
      <c r="B2041">
        <v>0</v>
      </c>
      <c r="C2041" t="s">
        <v>73</v>
      </c>
      <c r="D2041" t="s">
        <v>19</v>
      </c>
      <c r="E2041" t="s">
        <v>18</v>
      </c>
      <c r="F2041">
        <v>137</v>
      </c>
      <c r="G2041" t="s">
        <v>49</v>
      </c>
      <c r="H2041" t="s">
        <v>18</v>
      </c>
      <c r="I2041">
        <v>137</v>
      </c>
      <c r="J2041">
        <v>18</v>
      </c>
      <c r="K2041">
        <v>5</v>
      </c>
      <c r="L2041">
        <v>54</v>
      </c>
      <c r="M2041" t="s">
        <v>38</v>
      </c>
      <c r="N2041" t="s">
        <v>79</v>
      </c>
      <c r="O2041">
        <v>40788</v>
      </c>
      <c r="P2041">
        <v>207</v>
      </c>
      <c r="Q2041" t="s">
        <v>19</v>
      </c>
      <c r="R2041" t="str">
        <f t="shared" si="32"/>
        <v>No</v>
      </c>
    </row>
    <row r="2042" spans="1:18" x14ac:dyDescent="0.35">
      <c r="A2042" s="1">
        <v>40426</v>
      </c>
      <c r="B2042">
        <v>0</v>
      </c>
      <c r="C2042" t="s">
        <v>73</v>
      </c>
      <c r="D2042" t="s">
        <v>50</v>
      </c>
      <c r="E2042" t="s">
        <v>18</v>
      </c>
      <c r="F2042">
        <v>137</v>
      </c>
      <c r="G2042" t="s">
        <v>17</v>
      </c>
      <c r="H2042" t="s">
        <v>18</v>
      </c>
      <c r="I2042">
        <v>135</v>
      </c>
      <c r="J2042">
        <v>6</v>
      </c>
      <c r="K2042">
        <v>7</v>
      </c>
      <c r="L2042">
        <v>57</v>
      </c>
      <c r="M2042" t="s">
        <v>38</v>
      </c>
      <c r="N2042" t="s">
        <v>65</v>
      </c>
      <c r="O2042">
        <v>19504</v>
      </c>
      <c r="P2042">
        <v>205</v>
      </c>
      <c r="Q2042" t="s">
        <v>17</v>
      </c>
      <c r="R2042" t="str">
        <f t="shared" si="32"/>
        <v>Yes</v>
      </c>
    </row>
    <row r="2043" spans="1:18" x14ac:dyDescent="0.35">
      <c r="A2043" s="1">
        <v>40426</v>
      </c>
      <c r="B2043">
        <v>0</v>
      </c>
      <c r="C2043" t="s">
        <v>73</v>
      </c>
      <c r="D2043" t="s">
        <v>70</v>
      </c>
      <c r="E2043" t="s">
        <v>18</v>
      </c>
      <c r="F2043">
        <v>137</v>
      </c>
      <c r="G2043" t="s">
        <v>22</v>
      </c>
      <c r="H2043" t="s">
        <v>18</v>
      </c>
      <c r="I2043">
        <v>137</v>
      </c>
      <c r="J2043">
        <v>3</v>
      </c>
      <c r="K2043">
        <v>0</v>
      </c>
      <c r="L2043">
        <v>54</v>
      </c>
      <c r="M2043" t="s">
        <v>20</v>
      </c>
      <c r="N2043" t="s">
        <v>85</v>
      </c>
      <c r="O2043">
        <v>43758</v>
      </c>
      <c r="P2043">
        <v>155</v>
      </c>
      <c r="Q2043" t="s">
        <v>70</v>
      </c>
      <c r="R2043" t="str">
        <f t="shared" si="32"/>
        <v>No</v>
      </c>
    </row>
    <row r="2044" spans="1:18" x14ac:dyDescent="0.35">
      <c r="A2044" s="1">
        <v>40426</v>
      </c>
      <c r="B2044">
        <v>0</v>
      </c>
      <c r="C2044" t="s">
        <v>73</v>
      </c>
      <c r="D2044" t="s">
        <v>68</v>
      </c>
      <c r="E2044" t="s">
        <v>18</v>
      </c>
      <c r="F2044">
        <v>136</v>
      </c>
      <c r="G2044" t="s">
        <v>25</v>
      </c>
      <c r="H2044" t="s">
        <v>18</v>
      </c>
      <c r="I2044">
        <v>137</v>
      </c>
      <c r="J2044">
        <v>6</v>
      </c>
      <c r="K2044">
        <v>2</v>
      </c>
      <c r="L2044">
        <v>54</v>
      </c>
      <c r="M2044" t="s">
        <v>38</v>
      </c>
      <c r="N2044" t="s">
        <v>80</v>
      </c>
      <c r="O2044">
        <v>45006</v>
      </c>
      <c r="P2044">
        <v>192</v>
      </c>
      <c r="Q2044" t="s">
        <v>68</v>
      </c>
      <c r="R2044" t="str">
        <f t="shared" si="32"/>
        <v>No</v>
      </c>
    </row>
    <row r="2045" spans="1:18" x14ac:dyDescent="0.35">
      <c r="A2045" s="1">
        <v>40426</v>
      </c>
      <c r="B2045">
        <v>0</v>
      </c>
      <c r="C2045" t="s">
        <v>73</v>
      </c>
      <c r="D2045" t="s">
        <v>26</v>
      </c>
      <c r="E2045" t="s">
        <v>18</v>
      </c>
      <c r="F2045">
        <v>137</v>
      </c>
      <c r="G2045" t="s">
        <v>23</v>
      </c>
      <c r="H2045" t="s">
        <v>18</v>
      </c>
      <c r="I2045">
        <v>136</v>
      </c>
      <c r="J2045">
        <v>8</v>
      </c>
      <c r="K2045">
        <v>1</v>
      </c>
      <c r="L2045">
        <v>54</v>
      </c>
      <c r="M2045" t="s">
        <v>38</v>
      </c>
      <c r="N2045" t="s">
        <v>24</v>
      </c>
      <c r="O2045">
        <v>18057</v>
      </c>
      <c r="P2045">
        <v>178</v>
      </c>
      <c r="Q2045" t="s">
        <v>26</v>
      </c>
      <c r="R2045" t="str">
        <f t="shared" si="32"/>
        <v>No</v>
      </c>
    </row>
    <row r="2046" spans="1:18" x14ac:dyDescent="0.35">
      <c r="A2046" s="1">
        <v>40426</v>
      </c>
      <c r="B2046">
        <v>0</v>
      </c>
      <c r="C2046" t="s">
        <v>73</v>
      </c>
      <c r="D2046" t="s">
        <v>63</v>
      </c>
      <c r="E2046" t="s">
        <v>18</v>
      </c>
      <c r="F2046">
        <v>136</v>
      </c>
      <c r="G2046" t="s">
        <v>62</v>
      </c>
      <c r="H2046" t="s">
        <v>18</v>
      </c>
      <c r="I2046">
        <v>135</v>
      </c>
      <c r="J2046">
        <v>4</v>
      </c>
      <c r="K2046">
        <v>2</v>
      </c>
      <c r="L2046">
        <v>54</v>
      </c>
      <c r="M2046" t="s">
        <v>38</v>
      </c>
      <c r="N2046" t="s">
        <v>81</v>
      </c>
      <c r="O2046">
        <v>23250</v>
      </c>
      <c r="P2046">
        <v>184</v>
      </c>
      <c r="Q2046" t="s">
        <v>63</v>
      </c>
      <c r="R2046" t="str">
        <f t="shared" si="32"/>
        <v>No</v>
      </c>
    </row>
    <row r="2047" spans="1:18" x14ac:dyDescent="0.35">
      <c r="A2047" s="1">
        <v>40426</v>
      </c>
      <c r="B2047">
        <v>0</v>
      </c>
      <c r="C2047" t="s">
        <v>73</v>
      </c>
      <c r="D2047" t="s">
        <v>53</v>
      </c>
      <c r="E2047" t="s">
        <v>18</v>
      </c>
      <c r="F2047">
        <v>136</v>
      </c>
      <c r="G2047" t="s">
        <v>52</v>
      </c>
      <c r="H2047" t="s">
        <v>18</v>
      </c>
      <c r="I2047">
        <v>134</v>
      </c>
      <c r="J2047">
        <v>2</v>
      </c>
      <c r="K2047">
        <v>4</v>
      </c>
      <c r="L2047">
        <v>51</v>
      </c>
      <c r="M2047" t="s">
        <v>38</v>
      </c>
      <c r="N2047" t="s">
        <v>82</v>
      </c>
      <c r="O2047">
        <v>43963</v>
      </c>
      <c r="P2047">
        <v>153</v>
      </c>
      <c r="Q2047" t="s">
        <v>52</v>
      </c>
      <c r="R2047" t="str">
        <f t="shared" si="32"/>
        <v>Yes</v>
      </c>
    </row>
    <row r="2048" spans="1:18" x14ac:dyDescent="0.35">
      <c r="A2048" s="1">
        <v>40427</v>
      </c>
      <c r="B2048">
        <v>0</v>
      </c>
      <c r="C2048" t="s">
        <v>74</v>
      </c>
      <c r="D2048" t="s">
        <v>33</v>
      </c>
      <c r="E2048" t="s">
        <v>30</v>
      </c>
      <c r="F2048">
        <v>138</v>
      </c>
      <c r="G2048" t="s">
        <v>31</v>
      </c>
      <c r="H2048" t="s">
        <v>30</v>
      </c>
      <c r="I2048">
        <v>138</v>
      </c>
      <c r="J2048">
        <v>3</v>
      </c>
      <c r="K2048">
        <v>2</v>
      </c>
      <c r="L2048">
        <v>54</v>
      </c>
      <c r="M2048" t="s">
        <v>20</v>
      </c>
      <c r="N2048" t="s">
        <v>32</v>
      </c>
      <c r="O2048">
        <v>39107</v>
      </c>
      <c r="P2048">
        <v>175</v>
      </c>
      <c r="Q2048" t="s">
        <v>33</v>
      </c>
      <c r="R2048" t="str">
        <f t="shared" si="32"/>
        <v>No</v>
      </c>
    </row>
    <row r="2049" spans="1:18" x14ac:dyDescent="0.35">
      <c r="A2049" s="1">
        <v>40427</v>
      </c>
      <c r="B2049">
        <v>0</v>
      </c>
      <c r="C2049" t="s">
        <v>74</v>
      </c>
      <c r="D2049" t="s">
        <v>44</v>
      </c>
      <c r="E2049" t="s">
        <v>30</v>
      </c>
      <c r="F2049">
        <v>137</v>
      </c>
      <c r="G2049" t="s">
        <v>58</v>
      </c>
      <c r="H2049" t="s">
        <v>30</v>
      </c>
      <c r="I2049">
        <v>138</v>
      </c>
      <c r="J2049">
        <v>5</v>
      </c>
      <c r="K2049">
        <v>12</v>
      </c>
      <c r="L2049">
        <v>51</v>
      </c>
      <c r="M2049" t="s">
        <v>20</v>
      </c>
      <c r="N2049" t="s">
        <v>86</v>
      </c>
      <c r="O2049">
        <v>37546</v>
      </c>
      <c r="P2049">
        <v>209</v>
      </c>
      <c r="Q2049" t="s">
        <v>58</v>
      </c>
      <c r="R2049" t="str">
        <f t="shared" si="32"/>
        <v>Yes</v>
      </c>
    </row>
    <row r="2050" spans="1:18" x14ac:dyDescent="0.35">
      <c r="A2050" s="1">
        <v>40427</v>
      </c>
      <c r="B2050">
        <v>0</v>
      </c>
      <c r="C2050" t="s">
        <v>74</v>
      </c>
      <c r="D2050" t="s">
        <v>34</v>
      </c>
      <c r="E2050" t="s">
        <v>30</v>
      </c>
      <c r="F2050">
        <v>137</v>
      </c>
      <c r="G2050" t="s">
        <v>36</v>
      </c>
      <c r="H2050" t="s">
        <v>30</v>
      </c>
      <c r="I2050">
        <v>138</v>
      </c>
      <c r="J2050">
        <v>5</v>
      </c>
      <c r="K2050">
        <v>4</v>
      </c>
      <c r="L2050">
        <v>60</v>
      </c>
      <c r="M2050" t="s">
        <v>38</v>
      </c>
      <c r="N2050" t="s">
        <v>57</v>
      </c>
      <c r="O2050">
        <v>32924</v>
      </c>
      <c r="P2050">
        <v>180</v>
      </c>
      <c r="Q2050" t="s">
        <v>34</v>
      </c>
      <c r="R2050" t="str">
        <f t="shared" si="32"/>
        <v>No</v>
      </c>
    </row>
    <row r="2051" spans="1:18" x14ac:dyDescent="0.35">
      <c r="A2051" s="1">
        <v>40427</v>
      </c>
      <c r="B2051">
        <v>0</v>
      </c>
      <c r="C2051" t="s">
        <v>74</v>
      </c>
      <c r="D2051" t="s">
        <v>37</v>
      </c>
      <c r="E2051" t="s">
        <v>30</v>
      </c>
      <c r="F2051">
        <v>137</v>
      </c>
      <c r="G2051" t="s">
        <v>29</v>
      </c>
      <c r="H2051" t="s">
        <v>30</v>
      </c>
      <c r="I2051">
        <v>138</v>
      </c>
      <c r="J2051">
        <v>4</v>
      </c>
      <c r="K2051">
        <v>5</v>
      </c>
      <c r="L2051">
        <v>51</v>
      </c>
      <c r="M2051" t="s">
        <v>38</v>
      </c>
      <c r="N2051" t="s">
        <v>76</v>
      </c>
      <c r="O2051">
        <v>40228</v>
      </c>
      <c r="P2051">
        <v>168</v>
      </c>
      <c r="Q2051" t="s">
        <v>29</v>
      </c>
      <c r="R2051" t="str">
        <f t="shared" ref="R2051:R2114" si="33">IF(K2051&gt;J2051,"Yes","No")</f>
        <v>Yes</v>
      </c>
    </row>
    <row r="2052" spans="1:18" x14ac:dyDescent="0.35">
      <c r="A2052" s="1">
        <v>40427</v>
      </c>
      <c r="B2052">
        <v>0</v>
      </c>
      <c r="C2052" t="s">
        <v>74</v>
      </c>
      <c r="D2052" t="s">
        <v>43</v>
      </c>
      <c r="E2052" t="s">
        <v>30</v>
      </c>
      <c r="F2052">
        <v>138</v>
      </c>
      <c r="G2052" t="s">
        <v>59</v>
      </c>
      <c r="H2052" t="s">
        <v>30</v>
      </c>
      <c r="I2052">
        <v>138</v>
      </c>
      <c r="J2052">
        <v>4</v>
      </c>
      <c r="K2052">
        <v>3</v>
      </c>
      <c r="L2052">
        <v>54</v>
      </c>
      <c r="M2052" t="s">
        <v>38</v>
      </c>
      <c r="N2052" t="s">
        <v>84</v>
      </c>
      <c r="O2052">
        <v>46103</v>
      </c>
      <c r="P2052">
        <v>194</v>
      </c>
      <c r="Q2052" t="s">
        <v>43</v>
      </c>
      <c r="R2052" t="str">
        <f t="shared" si="33"/>
        <v>No</v>
      </c>
    </row>
    <row r="2053" spans="1:18" x14ac:dyDescent="0.35">
      <c r="A2053" s="1">
        <v>40427</v>
      </c>
      <c r="B2053">
        <v>0</v>
      </c>
      <c r="C2053" t="s">
        <v>74</v>
      </c>
      <c r="D2053" t="s">
        <v>40</v>
      </c>
      <c r="E2053" t="s">
        <v>30</v>
      </c>
      <c r="F2053">
        <v>138</v>
      </c>
      <c r="G2053" t="s">
        <v>41</v>
      </c>
      <c r="H2053" t="s">
        <v>30</v>
      </c>
      <c r="I2053">
        <v>137</v>
      </c>
      <c r="J2053">
        <v>2</v>
      </c>
      <c r="K2053">
        <v>6</v>
      </c>
      <c r="L2053">
        <v>51</v>
      </c>
      <c r="M2053" t="s">
        <v>38</v>
      </c>
      <c r="N2053" t="s">
        <v>42</v>
      </c>
      <c r="O2053">
        <v>11581</v>
      </c>
      <c r="P2053">
        <v>139</v>
      </c>
      <c r="Q2053" t="s">
        <v>41</v>
      </c>
      <c r="R2053" t="str">
        <f t="shared" si="33"/>
        <v>Yes</v>
      </c>
    </row>
    <row r="2054" spans="1:18" x14ac:dyDescent="0.35">
      <c r="A2054" s="1">
        <v>40427</v>
      </c>
      <c r="B2054">
        <v>0</v>
      </c>
      <c r="C2054" t="s">
        <v>74</v>
      </c>
      <c r="D2054" t="s">
        <v>47</v>
      </c>
      <c r="E2054" t="s">
        <v>30</v>
      </c>
      <c r="F2054">
        <v>137</v>
      </c>
      <c r="G2054" t="s">
        <v>46</v>
      </c>
      <c r="H2054" t="s">
        <v>30</v>
      </c>
      <c r="I2054">
        <v>137</v>
      </c>
      <c r="J2054">
        <v>2</v>
      </c>
      <c r="K2054">
        <v>7</v>
      </c>
      <c r="L2054">
        <v>51</v>
      </c>
      <c r="M2054" t="s">
        <v>38</v>
      </c>
      <c r="N2054" t="s">
        <v>78</v>
      </c>
      <c r="O2054">
        <v>17559</v>
      </c>
      <c r="P2054">
        <v>134</v>
      </c>
      <c r="Q2054" t="s">
        <v>46</v>
      </c>
      <c r="R2054" t="str">
        <f t="shared" si="33"/>
        <v>Yes</v>
      </c>
    </row>
    <row r="2055" spans="1:18" x14ac:dyDescent="0.35">
      <c r="A2055" s="1">
        <v>40427</v>
      </c>
      <c r="B2055">
        <v>0</v>
      </c>
      <c r="C2055" t="s">
        <v>74</v>
      </c>
      <c r="D2055" t="s">
        <v>70</v>
      </c>
      <c r="E2055" t="s">
        <v>18</v>
      </c>
      <c r="F2055">
        <v>138</v>
      </c>
      <c r="G2055" t="s">
        <v>60</v>
      </c>
      <c r="H2055" t="s">
        <v>18</v>
      </c>
      <c r="I2055">
        <v>138</v>
      </c>
      <c r="J2055">
        <v>2</v>
      </c>
      <c r="K2055">
        <v>0</v>
      </c>
      <c r="L2055">
        <v>66</v>
      </c>
      <c r="M2055" t="s">
        <v>38</v>
      </c>
      <c r="N2055" t="s">
        <v>61</v>
      </c>
      <c r="O2055">
        <v>31879</v>
      </c>
      <c r="P2055">
        <v>182</v>
      </c>
      <c r="Q2055" t="s">
        <v>70</v>
      </c>
      <c r="R2055" t="str">
        <f t="shared" si="33"/>
        <v>No</v>
      </c>
    </row>
    <row r="2056" spans="1:18" x14ac:dyDescent="0.35">
      <c r="A2056" s="1">
        <v>40427</v>
      </c>
      <c r="B2056">
        <v>0</v>
      </c>
      <c r="C2056" t="s">
        <v>74</v>
      </c>
      <c r="D2056" t="s">
        <v>66</v>
      </c>
      <c r="E2056" t="s">
        <v>18</v>
      </c>
      <c r="F2056">
        <v>137</v>
      </c>
      <c r="G2056" t="s">
        <v>49</v>
      </c>
      <c r="H2056" t="s">
        <v>18</v>
      </c>
      <c r="I2056">
        <v>138</v>
      </c>
      <c r="J2056">
        <v>4</v>
      </c>
      <c r="K2056">
        <v>5</v>
      </c>
      <c r="L2056">
        <v>51</v>
      </c>
      <c r="M2056" t="s">
        <v>38</v>
      </c>
      <c r="N2056" t="s">
        <v>79</v>
      </c>
      <c r="O2056">
        <v>31647</v>
      </c>
      <c r="P2056">
        <v>145</v>
      </c>
      <c r="Q2056" t="s">
        <v>49</v>
      </c>
      <c r="R2056" t="str">
        <f t="shared" si="33"/>
        <v>Yes</v>
      </c>
    </row>
    <row r="2057" spans="1:18" x14ac:dyDescent="0.35">
      <c r="A2057" s="1">
        <v>40427</v>
      </c>
      <c r="B2057">
        <v>0</v>
      </c>
      <c r="C2057" t="s">
        <v>74</v>
      </c>
      <c r="D2057" t="s">
        <v>53</v>
      </c>
      <c r="E2057" t="s">
        <v>18</v>
      </c>
      <c r="F2057">
        <v>137</v>
      </c>
      <c r="G2057" t="s">
        <v>63</v>
      </c>
      <c r="H2057" t="s">
        <v>18</v>
      </c>
      <c r="I2057">
        <v>137</v>
      </c>
      <c r="J2057">
        <v>5</v>
      </c>
      <c r="K2057">
        <v>10</v>
      </c>
      <c r="L2057">
        <v>51</v>
      </c>
      <c r="M2057" t="s">
        <v>38</v>
      </c>
      <c r="N2057" t="s">
        <v>64</v>
      </c>
      <c r="O2057">
        <v>40237</v>
      </c>
      <c r="P2057">
        <v>193</v>
      </c>
      <c r="Q2057" t="s">
        <v>63</v>
      </c>
      <c r="R2057" t="str">
        <f t="shared" si="33"/>
        <v>Yes</v>
      </c>
    </row>
    <row r="2058" spans="1:18" x14ac:dyDescent="0.35">
      <c r="A2058" s="1">
        <v>40427</v>
      </c>
      <c r="B2058">
        <v>0</v>
      </c>
      <c r="C2058" t="s">
        <v>74</v>
      </c>
      <c r="D2058" t="s">
        <v>52</v>
      </c>
      <c r="E2058" t="s">
        <v>18</v>
      </c>
      <c r="F2058">
        <v>135</v>
      </c>
      <c r="G2058" t="s">
        <v>68</v>
      </c>
      <c r="H2058" t="s">
        <v>18</v>
      </c>
      <c r="I2058">
        <v>137</v>
      </c>
      <c r="J2058">
        <v>8</v>
      </c>
      <c r="K2058">
        <v>6</v>
      </c>
      <c r="L2058">
        <v>54</v>
      </c>
      <c r="M2058" t="s">
        <v>38</v>
      </c>
      <c r="N2058" t="s">
        <v>69</v>
      </c>
      <c r="O2058">
        <v>35190</v>
      </c>
      <c r="P2058">
        <v>181</v>
      </c>
      <c r="Q2058" t="s">
        <v>52</v>
      </c>
      <c r="R2058" t="str">
        <f t="shared" si="33"/>
        <v>No</v>
      </c>
    </row>
    <row r="2059" spans="1:18" x14ac:dyDescent="0.35">
      <c r="A2059" s="1">
        <v>40427</v>
      </c>
      <c r="B2059">
        <v>1</v>
      </c>
      <c r="C2059" t="s">
        <v>74</v>
      </c>
      <c r="D2059" t="s">
        <v>17</v>
      </c>
      <c r="E2059" t="s">
        <v>18</v>
      </c>
      <c r="F2059">
        <v>136</v>
      </c>
      <c r="G2059" t="s">
        <v>25</v>
      </c>
      <c r="H2059" t="s">
        <v>18</v>
      </c>
      <c r="I2059">
        <v>138</v>
      </c>
      <c r="J2059">
        <v>7</v>
      </c>
      <c r="K2059">
        <v>1</v>
      </c>
      <c r="L2059">
        <v>54</v>
      </c>
      <c r="M2059" t="s">
        <v>38</v>
      </c>
      <c r="N2059" t="s">
        <v>80</v>
      </c>
      <c r="O2059">
        <v>45518</v>
      </c>
      <c r="P2059">
        <v>178</v>
      </c>
      <c r="Q2059" t="s">
        <v>17</v>
      </c>
      <c r="R2059" t="str">
        <f t="shared" si="33"/>
        <v>No</v>
      </c>
    </row>
    <row r="2060" spans="1:18" x14ac:dyDescent="0.35">
      <c r="A2060" s="1">
        <v>40427</v>
      </c>
      <c r="B2060">
        <v>2</v>
      </c>
      <c r="C2060" t="s">
        <v>74</v>
      </c>
      <c r="D2060" t="s">
        <v>17</v>
      </c>
      <c r="E2060" t="s">
        <v>18</v>
      </c>
      <c r="F2060">
        <v>137</v>
      </c>
      <c r="G2060" t="s">
        <v>25</v>
      </c>
      <c r="H2060" t="s">
        <v>18</v>
      </c>
      <c r="I2060">
        <v>139</v>
      </c>
      <c r="J2060">
        <v>4</v>
      </c>
      <c r="K2060">
        <v>7</v>
      </c>
      <c r="L2060">
        <v>51</v>
      </c>
      <c r="M2060" t="s">
        <v>20</v>
      </c>
      <c r="N2060" t="s">
        <v>80</v>
      </c>
      <c r="O2060">
        <v>45373</v>
      </c>
      <c r="P2060">
        <v>174</v>
      </c>
      <c r="Q2060" t="s">
        <v>25</v>
      </c>
      <c r="R2060" t="str">
        <f t="shared" si="33"/>
        <v>Yes</v>
      </c>
    </row>
    <row r="2061" spans="1:18" x14ac:dyDescent="0.35">
      <c r="A2061" s="1">
        <v>40427</v>
      </c>
      <c r="B2061">
        <v>0</v>
      </c>
      <c r="C2061" t="s">
        <v>74</v>
      </c>
      <c r="D2061" t="s">
        <v>50</v>
      </c>
      <c r="E2061" t="s">
        <v>18</v>
      </c>
      <c r="F2061">
        <v>138</v>
      </c>
      <c r="G2061" t="s">
        <v>23</v>
      </c>
      <c r="H2061" t="s">
        <v>18</v>
      </c>
      <c r="I2061">
        <v>137</v>
      </c>
      <c r="J2061">
        <v>1</v>
      </c>
      <c r="K2061">
        <v>3</v>
      </c>
      <c r="L2061">
        <v>51</v>
      </c>
      <c r="M2061" t="s">
        <v>38</v>
      </c>
      <c r="N2061" t="s">
        <v>24</v>
      </c>
      <c r="O2061">
        <v>15330</v>
      </c>
      <c r="P2061">
        <v>162</v>
      </c>
      <c r="Q2061" t="s">
        <v>23</v>
      </c>
      <c r="R2061" t="str">
        <f t="shared" si="33"/>
        <v>Yes</v>
      </c>
    </row>
    <row r="2062" spans="1:18" x14ac:dyDescent="0.35">
      <c r="A2062" s="1">
        <v>40427</v>
      </c>
      <c r="B2062">
        <v>0</v>
      </c>
      <c r="C2062" t="s">
        <v>74</v>
      </c>
      <c r="D2062" t="s">
        <v>22</v>
      </c>
      <c r="E2062" t="s">
        <v>18</v>
      </c>
      <c r="F2062">
        <v>138</v>
      </c>
      <c r="G2062" t="s">
        <v>62</v>
      </c>
      <c r="H2062" t="s">
        <v>18</v>
      </c>
      <c r="I2062">
        <v>136</v>
      </c>
      <c r="J2062">
        <v>2</v>
      </c>
      <c r="K2062">
        <v>4</v>
      </c>
      <c r="L2062">
        <v>51</v>
      </c>
      <c r="M2062" t="s">
        <v>20</v>
      </c>
      <c r="N2062" t="s">
        <v>81</v>
      </c>
      <c r="O2062">
        <v>23574</v>
      </c>
      <c r="P2062">
        <v>182</v>
      </c>
      <c r="Q2062" t="s">
        <v>62</v>
      </c>
      <c r="R2062" t="str">
        <f t="shared" si="33"/>
        <v>Yes</v>
      </c>
    </row>
    <row r="2063" spans="1:18" x14ac:dyDescent="0.35">
      <c r="A2063" s="1">
        <v>40427</v>
      </c>
      <c r="B2063">
        <v>0</v>
      </c>
      <c r="C2063" t="s">
        <v>74</v>
      </c>
      <c r="D2063" t="s">
        <v>19</v>
      </c>
      <c r="E2063" t="s">
        <v>18</v>
      </c>
      <c r="F2063">
        <v>138</v>
      </c>
      <c r="G2063" t="s">
        <v>26</v>
      </c>
      <c r="H2063" t="s">
        <v>18</v>
      </c>
      <c r="I2063">
        <v>138</v>
      </c>
      <c r="J2063">
        <v>3</v>
      </c>
      <c r="K2063">
        <v>13</v>
      </c>
      <c r="L2063">
        <v>51</v>
      </c>
      <c r="M2063" t="s">
        <v>38</v>
      </c>
      <c r="N2063" t="s">
        <v>27</v>
      </c>
      <c r="O2063">
        <v>20224</v>
      </c>
      <c r="P2063">
        <v>190</v>
      </c>
      <c r="Q2063" t="s">
        <v>26</v>
      </c>
      <c r="R2063" t="str">
        <f t="shared" si="33"/>
        <v>Yes</v>
      </c>
    </row>
    <row r="2064" spans="1:18" x14ac:dyDescent="0.35">
      <c r="A2064" s="1">
        <v>40428</v>
      </c>
      <c r="B2064">
        <v>0</v>
      </c>
      <c r="C2064" t="s">
        <v>83</v>
      </c>
      <c r="D2064" t="s">
        <v>33</v>
      </c>
      <c r="E2064" t="s">
        <v>30</v>
      </c>
      <c r="F2064">
        <v>139</v>
      </c>
      <c r="G2064" t="s">
        <v>31</v>
      </c>
      <c r="H2064" t="s">
        <v>30</v>
      </c>
      <c r="I2064">
        <v>139</v>
      </c>
      <c r="J2064">
        <v>6</v>
      </c>
      <c r="K2064">
        <v>1</v>
      </c>
      <c r="L2064">
        <v>54</v>
      </c>
      <c r="M2064" t="s">
        <v>20</v>
      </c>
      <c r="N2064" t="s">
        <v>32</v>
      </c>
      <c r="O2064">
        <v>38619</v>
      </c>
      <c r="P2064">
        <v>187</v>
      </c>
      <c r="Q2064" t="s">
        <v>33</v>
      </c>
      <c r="R2064" t="str">
        <f t="shared" si="33"/>
        <v>No</v>
      </c>
    </row>
    <row r="2065" spans="1:18" x14ac:dyDescent="0.35">
      <c r="A2065" s="1">
        <v>40428</v>
      </c>
      <c r="B2065">
        <v>0</v>
      </c>
      <c r="C2065" t="s">
        <v>83</v>
      </c>
      <c r="D2065" t="s">
        <v>44</v>
      </c>
      <c r="E2065" t="s">
        <v>30</v>
      </c>
      <c r="F2065">
        <v>138</v>
      </c>
      <c r="G2065" t="s">
        <v>58</v>
      </c>
      <c r="H2065" t="s">
        <v>30</v>
      </c>
      <c r="I2065">
        <v>139</v>
      </c>
      <c r="J2065">
        <v>14</v>
      </c>
      <c r="K2065">
        <v>5</v>
      </c>
      <c r="L2065">
        <v>54</v>
      </c>
      <c r="M2065" t="s">
        <v>20</v>
      </c>
      <c r="N2065" t="s">
        <v>86</v>
      </c>
      <c r="O2065">
        <v>37290</v>
      </c>
      <c r="P2065">
        <v>196</v>
      </c>
      <c r="Q2065" t="s">
        <v>44</v>
      </c>
      <c r="R2065" t="str">
        <f t="shared" si="33"/>
        <v>No</v>
      </c>
    </row>
    <row r="2066" spans="1:18" x14ac:dyDescent="0.35">
      <c r="A2066" s="1">
        <v>40428</v>
      </c>
      <c r="B2066">
        <v>0</v>
      </c>
      <c r="C2066" t="s">
        <v>83</v>
      </c>
      <c r="D2066" t="s">
        <v>34</v>
      </c>
      <c r="E2066" t="s">
        <v>30</v>
      </c>
      <c r="F2066">
        <v>138</v>
      </c>
      <c r="G2066" t="s">
        <v>36</v>
      </c>
      <c r="H2066" t="s">
        <v>30</v>
      </c>
      <c r="I2066">
        <v>139</v>
      </c>
      <c r="J2066">
        <v>1</v>
      </c>
      <c r="K2066">
        <v>9</v>
      </c>
      <c r="L2066">
        <v>51</v>
      </c>
      <c r="M2066" t="s">
        <v>20</v>
      </c>
      <c r="N2066" t="s">
        <v>57</v>
      </c>
      <c r="O2066">
        <v>24905</v>
      </c>
      <c r="P2066">
        <v>172</v>
      </c>
      <c r="Q2066" t="s">
        <v>36</v>
      </c>
      <c r="R2066" t="str">
        <f t="shared" si="33"/>
        <v>Yes</v>
      </c>
    </row>
    <row r="2067" spans="1:18" x14ac:dyDescent="0.35">
      <c r="A2067" s="1">
        <v>40428</v>
      </c>
      <c r="B2067">
        <v>0</v>
      </c>
      <c r="C2067" t="s">
        <v>83</v>
      </c>
      <c r="D2067" t="s">
        <v>37</v>
      </c>
      <c r="E2067" t="s">
        <v>30</v>
      </c>
      <c r="F2067">
        <v>138</v>
      </c>
      <c r="G2067" t="s">
        <v>29</v>
      </c>
      <c r="H2067" t="s">
        <v>30</v>
      </c>
      <c r="I2067">
        <v>139</v>
      </c>
      <c r="J2067">
        <v>3</v>
      </c>
      <c r="K2067">
        <v>10</v>
      </c>
      <c r="L2067">
        <v>51</v>
      </c>
      <c r="M2067" t="s">
        <v>20</v>
      </c>
      <c r="N2067" t="s">
        <v>76</v>
      </c>
      <c r="O2067">
        <v>38816</v>
      </c>
      <c r="P2067">
        <v>158</v>
      </c>
      <c r="Q2067" t="s">
        <v>29</v>
      </c>
      <c r="R2067" t="str">
        <f t="shared" si="33"/>
        <v>Yes</v>
      </c>
    </row>
    <row r="2068" spans="1:18" x14ac:dyDescent="0.35">
      <c r="A2068" s="1">
        <v>40428</v>
      </c>
      <c r="B2068">
        <v>0</v>
      </c>
      <c r="C2068" t="s">
        <v>83</v>
      </c>
      <c r="D2068" t="s">
        <v>43</v>
      </c>
      <c r="E2068" t="s">
        <v>30</v>
      </c>
      <c r="F2068">
        <v>139</v>
      </c>
      <c r="G2068" t="s">
        <v>59</v>
      </c>
      <c r="H2068" t="s">
        <v>30</v>
      </c>
      <c r="I2068">
        <v>139</v>
      </c>
      <c r="J2068">
        <v>6</v>
      </c>
      <c r="K2068">
        <v>2</v>
      </c>
      <c r="L2068">
        <v>54</v>
      </c>
      <c r="M2068" t="s">
        <v>20</v>
      </c>
      <c r="N2068" t="s">
        <v>84</v>
      </c>
      <c r="O2068">
        <v>46432</v>
      </c>
      <c r="P2068">
        <v>173</v>
      </c>
      <c r="Q2068" t="s">
        <v>43</v>
      </c>
      <c r="R2068" t="str">
        <f t="shared" si="33"/>
        <v>No</v>
      </c>
    </row>
    <row r="2069" spans="1:18" x14ac:dyDescent="0.35">
      <c r="A2069" s="1">
        <v>40428</v>
      </c>
      <c r="B2069">
        <v>0</v>
      </c>
      <c r="C2069" t="s">
        <v>83</v>
      </c>
      <c r="D2069" t="s">
        <v>40</v>
      </c>
      <c r="E2069" t="s">
        <v>30</v>
      </c>
      <c r="F2069">
        <v>139</v>
      </c>
      <c r="G2069" t="s">
        <v>41</v>
      </c>
      <c r="H2069" t="s">
        <v>30</v>
      </c>
      <c r="I2069">
        <v>138</v>
      </c>
      <c r="J2069">
        <v>7</v>
      </c>
      <c r="K2069">
        <v>5</v>
      </c>
      <c r="L2069">
        <v>54</v>
      </c>
      <c r="M2069" t="s">
        <v>20</v>
      </c>
      <c r="N2069" t="s">
        <v>42</v>
      </c>
      <c r="O2069">
        <v>10067</v>
      </c>
      <c r="P2069">
        <v>180</v>
      </c>
      <c r="Q2069" t="s">
        <v>40</v>
      </c>
      <c r="R2069" t="str">
        <f t="shared" si="33"/>
        <v>No</v>
      </c>
    </row>
    <row r="2070" spans="1:18" x14ac:dyDescent="0.35">
      <c r="A2070" s="1">
        <v>40428</v>
      </c>
      <c r="B2070">
        <v>0</v>
      </c>
      <c r="C2070" t="s">
        <v>83</v>
      </c>
      <c r="D2070" t="s">
        <v>47</v>
      </c>
      <c r="E2070" t="s">
        <v>30</v>
      </c>
      <c r="F2070">
        <v>138</v>
      </c>
      <c r="G2070" t="s">
        <v>46</v>
      </c>
      <c r="H2070" t="s">
        <v>30</v>
      </c>
      <c r="I2070">
        <v>138</v>
      </c>
      <c r="J2070">
        <v>5</v>
      </c>
      <c r="K2070">
        <v>8</v>
      </c>
      <c r="L2070">
        <v>51</v>
      </c>
      <c r="M2070" t="s">
        <v>20</v>
      </c>
      <c r="N2070" t="s">
        <v>78</v>
      </c>
      <c r="O2070">
        <v>10518</v>
      </c>
      <c r="P2070">
        <v>162</v>
      </c>
      <c r="Q2070" t="s">
        <v>46</v>
      </c>
      <c r="R2070" t="str">
        <f t="shared" si="33"/>
        <v>Yes</v>
      </c>
    </row>
    <row r="2071" spans="1:18" x14ac:dyDescent="0.35">
      <c r="A2071" s="1">
        <v>40428</v>
      </c>
      <c r="B2071">
        <v>0</v>
      </c>
      <c r="C2071" t="s">
        <v>83</v>
      </c>
      <c r="D2071" t="s">
        <v>70</v>
      </c>
      <c r="E2071" t="s">
        <v>18</v>
      </c>
      <c r="F2071">
        <v>139</v>
      </c>
      <c r="G2071" t="s">
        <v>60</v>
      </c>
      <c r="H2071" t="s">
        <v>18</v>
      </c>
      <c r="I2071">
        <v>139</v>
      </c>
      <c r="J2071">
        <v>6</v>
      </c>
      <c r="K2071">
        <v>3</v>
      </c>
      <c r="L2071">
        <v>54</v>
      </c>
      <c r="M2071" t="s">
        <v>20</v>
      </c>
      <c r="N2071" t="s">
        <v>61</v>
      </c>
      <c r="O2071">
        <v>19417</v>
      </c>
      <c r="P2071">
        <v>136</v>
      </c>
      <c r="Q2071" t="s">
        <v>70</v>
      </c>
      <c r="R2071" t="str">
        <f t="shared" si="33"/>
        <v>No</v>
      </c>
    </row>
    <row r="2072" spans="1:18" x14ac:dyDescent="0.35">
      <c r="A2072" s="1">
        <v>40428</v>
      </c>
      <c r="B2072">
        <v>0</v>
      </c>
      <c r="C2072" t="s">
        <v>83</v>
      </c>
      <c r="D2072" t="s">
        <v>66</v>
      </c>
      <c r="E2072" t="s">
        <v>18</v>
      </c>
      <c r="F2072">
        <v>138</v>
      </c>
      <c r="G2072" t="s">
        <v>49</v>
      </c>
      <c r="H2072" t="s">
        <v>18</v>
      </c>
      <c r="I2072">
        <v>139</v>
      </c>
      <c r="J2072">
        <v>7</v>
      </c>
      <c r="K2072">
        <v>3</v>
      </c>
      <c r="L2072">
        <v>54</v>
      </c>
      <c r="M2072" t="s">
        <v>20</v>
      </c>
      <c r="N2072" t="s">
        <v>79</v>
      </c>
      <c r="O2072">
        <v>31596</v>
      </c>
      <c r="P2072">
        <v>170</v>
      </c>
      <c r="Q2072" t="s">
        <v>66</v>
      </c>
      <c r="R2072" t="str">
        <f t="shared" si="33"/>
        <v>No</v>
      </c>
    </row>
    <row r="2073" spans="1:18" x14ac:dyDescent="0.35">
      <c r="A2073" s="1">
        <v>40428</v>
      </c>
      <c r="B2073">
        <v>0</v>
      </c>
      <c r="C2073" t="s">
        <v>83</v>
      </c>
      <c r="D2073" t="s">
        <v>53</v>
      </c>
      <c r="E2073" t="s">
        <v>18</v>
      </c>
      <c r="F2073">
        <v>138</v>
      </c>
      <c r="G2073" t="s">
        <v>63</v>
      </c>
      <c r="H2073" t="s">
        <v>18</v>
      </c>
      <c r="I2073">
        <v>138</v>
      </c>
      <c r="J2073">
        <v>3</v>
      </c>
      <c r="K2073">
        <v>4</v>
      </c>
      <c r="L2073">
        <v>51</v>
      </c>
      <c r="M2073" t="s">
        <v>20</v>
      </c>
      <c r="N2073" t="s">
        <v>64</v>
      </c>
      <c r="O2073">
        <v>29164</v>
      </c>
      <c r="P2073">
        <v>166</v>
      </c>
      <c r="Q2073" t="s">
        <v>63</v>
      </c>
      <c r="R2073" t="str">
        <f t="shared" si="33"/>
        <v>Yes</v>
      </c>
    </row>
    <row r="2074" spans="1:18" x14ac:dyDescent="0.35">
      <c r="A2074" s="1">
        <v>40428</v>
      </c>
      <c r="B2074">
        <v>0</v>
      </c>
      <c r="C2074" t="s">
        <v>83</v>
      </c>
      <c r="D2074" t="s">
        <v>52</v>
      </c>
      <c r="E2074" t="s">
        <v>18</v>
      </c>
      <c r="F2074">
        <v>136</v>
      </c>
      <c r="G2074" t="s">
        <v>68</v>
      </c>
      <c r="H2074" t="s">
        <v>18</v>
      </c>
      <c r="I2074">
        <v>138</v>
      </c>
      <c r="J2074">
        <v>2</v>
      </c>
      <c r="K2074">
        <v>4</v>
      </c>
      <c r="L2074">
        <v>51</v>
      </c>
      <c r="M2074" t="s">
        <v>20</v>
      </c>
      <c r="N2074" t="s">
        <v>69</v>
      </c>
      <c r="O2074">
        <v>33149</v>
      </c>
      <c r="P2074">
        <v>167</v>
      </c>
      <c r="Q2074" t="s">
        <v>68</v>
      </c>
      <c r="R2074" t="str">
        <f t="shared" si="33"/>
        <v>Yes</v>
      </c>
    </row>
    <row r="2075" spans="1:18" x14ac:dyDescent="0.35">
      <c r="A2075" s="1">
        <v>40428</v>
      </c>
      <c r="B2075">
        <v>0</v>
      </c>
      <c r="C2075" t="s">
        <v>83</v>
      </c>
      <c r="D2075" t="s">
        <v>17</v>
      </c>
      <c r="E2075" t="s">
        <v>18</v>
      </c>
      <c r="F2075">
        <v>138</v>
      </c>
      <c r="G2075" t="s">
        <v>25</v>
      </c>
      <c r="H2075" t="s">
        <v>18</v>
      </c>
      <c r="I2075">
        <v>140</v>
      </c>
      <c r="J2075">
        <v>7</v>
      </c>
      <c r="K2075">
        <v>8</v>
      </c>
      <c r="L2075">
        <v>51</v>
      </c>
      <c r="M2075" t="s">
        <v>20</v>
      </c>
      <c r="N2075" t="s">
        <v>80</v>
      </c>
      <c r="O2075">
        <v>43841</v>
      </c>
      <c r="P2075">
        <v>194</v>
      </c>
      <c r="Q2075" t="s">
        <v>25</v>
      </c>
      <c r="R2075" t="str">
        <f t="shared" si="33"/>
        <v>Yes</v>
      </c>
    </row>
    <row r="2076" spans="1:18" x14ac:dyDescent="0.35">
      <c r="A2076" s="1">
        <v>40428</v>
      </c>
      <c r="B2076">
        <v>0</v>
      </c>
      <c r="C2076" t="s">
        <v>83</v>
      </c>
      <c r="D2076" t="s">
        <v>50</v>
      </c>
      <c r="E2076" t="s">
        <v>18</v>
      </c>
      <c r="F2076">
        <v>139</v>
      </c>
      <c r="G2076" t="s">
        <v>23</v>
      </c>
      <c r="H2076" t="s">
        <v>18</v>
      </c>
      <c r="I2076">
        <v>138</v>
      </c>
      <c r="J2076">
        <v>0</v>
      </c>
      <c r="K2076">
        <v>5</v>
      </c>
      <c r="L2076">
        <v>51</v>
      </c>
      <c r="M2076" t="s">
        <v>20</v>
      </c>
      <c r="N2076" t="s">
        <v>24</v>
      </c>
      <c r="O2076">
        <v>11070</v>
      </c>
      <c r="P2076">
        <v>144</v>
      </c>
      <c r="Q2076" t="s">
        <v>23</v>
      </c>
      <c r="R2076" t="str">
        <f t="shared" si="33"/>
        <v>Yes</v>
      </c>
    </row>
    <row r="2077" spans="1:18" x14ac:dyDescent="0.35">
      <c r="A2077" s="1">
        <v>40428</v>
      </c>
      <c r="B2077">
        <v>0</v>
      </c>
      <c r="C2077" t="s">
        <v>83</v>
      </c>
      <c r="D2077" t="s">
        <v>22</v>
      </c>
      <c r="E2077" t="s">
        <v>18</v>
      </c>
      <c r="F2077">
        <v>139</v>
      </c>
      <c r="G2077" t="s">
        <v>62</v>
      </c>
      <c r="H2077" t="s">
        <v>18</v>
      </c>
      <c r="I2077">
        <v>137</v>
      </c>
      <c r="J2077">
        <v>1</v>
      </c>
      <c r="K2077">
        <v>2</v>
      </c>
      <c r="L2077">
        <v>51</v>
      </c>
      <c r="M2077" t="s">
        <v>20</v>
      </c>
      <c r="N2077" t="s">
        <v>81</v>
      </c>
      <c r="O2077">
        <v>20071</v>
      </c>
      <c r="P2077">
        <v>152</v>
      </c>
      <c r="Q2077" t="s">
        <v>62</v>
      </c>
      <c r="R2077" t="str">
        <f t="shared" si="33"/>
        <v>Yes</v>
      </c>
    </row>
    <row r="2078" spans="1:18" x14ac:dyDescent="0.35">
      <c r="A2078" s="1">
        <v>40428</v>
      </c>
      <c r="B2078">
        <v>0</v>
      </c>
      <c r="C2078" t="s">
        <v>83</v>
      </c>
      <c r="D2078" t="s">
        <v>19</v>
      </c>
      <c r="E2078" t="s">
        <v>18</v>
      </c>
      <c r="F2078">
        <v>139</v>
      </c>
      <c r="G2078" t="s">
        <v>26</v>
      </c>
      <c r="H2078" t="s">
        <v>18</v>
      </c>
      <c r="I2078">
        <v>139</v>
      </c>
      <c r="J2078">
        <v>4</v>
      </c>
      <c r="K2078">
        <v>1</v>
      </c>
      <c r="L2078">
        <v>54</v>
      </c>
      <c r="M2078" t="s">
        <v>20</v>
      </c>
      <c r="N2078" t="s">
        <v>27</v>
      </c>
      <c r="O2078">
        <v>13835</v>
      </c>
      <c r="P2078">
        <v>146</v>
      </c>
      <c r="Q2078" t="s">
        <v>19</v>
      </c>
      <c r="R2078" t="str">
        <f t="shared" si="33"/>
        <v>No</v>
      </c>
    </row>
    <row r="2079" spans="1:18" x14ac:dyDescent="0.35">
      <c r="A2079" s="1">
        <v>40429</v>
      </c>
      <c r="B2079">
        <v>0</v>
      </c>
      <c r="C2079" t="s">
        <v>16</v>
      </c>
      <c r="D2079" t="s">
        <v>33</v>
      </c>
      <c r="E2079" t="s">
        <v>30</v>
      </c>
      <c r="F2079">
        <v>140</v>
      </c>
      <c r="G2079" t="s">
        <v>31</v>
      </c>
      <c r="H2079" t="s">
        <v>30</v>
      </c>
      <c r="I2079">
        <v>140</v>
      </c>
      <c r="J2079">
        <v>3</v>
      </c>
      <c r="K2079">
        <v>4</v>
      </c>
      <c r="L2079">
        <v>95</v>
      </c>
      <c r="M2079" t="s">
        <v>38</v>
      </c>
      <c r="N2079" t="s">
        <v>32</v>
      </c>
      <c r="O2079">
        <v>37857</v>
      </c>
      <c r="P2079">
        <v>297</v>
      </c>
      <c r="Q2079" t="s">
        <v>31</v>
      </c>
      <c r="R2079" t="str">
        <f t="shared" si="33"/>
        <v>Yes</v>
      </c>
    </row>
    <row r="2080" spans="1:18" x14ac:dyDescent="0.35">
      <c r="A2080" s="1">
        <v>40429</v>
      </c>
      <c r="B2080">
        <v>0</v>
      </c>
      <c r="C2080" t="s">
        <v>16</v>
      </c>
      <c r="D2080" t="s">
        <v>44</v>
      </c>
      <c r="E2080" t="s">
        <v>30</v>
      </c>
      <c r="F2080">
        <v>139</v>
      </c>
      <c r="G2080" t="s">
        <v>58</v>
      </c>
      <c r="H2080" t="s">
        <v>30</v>
      </c>
      <c r="I2080">
        <v>140</v>
      </c>
      <c r="J2080">
        <v>5</v>
      </c>
      <c r="K2080">
        <v>11</v>
      </c>
      <c r="L2080">
        <v>51</v>
      </c>
      <c r="M2080" t="s">
        <v>20</v>
      </c>
      <c r="N2080" t="s">
        <v>86</v>
      </c>
      <c r="O2080">
        <v>37757</v>
      </c>
      <c r="P2080">
        <v>197</v>
      </c>
      <c r="Q2080" t="s">
        <v>58</v>
      </c>
      <c r="R2080" t="str">
        <f t="shared" si="33"/>
        <v>Yes</v>
      </c>
    </row>
    <row r="2081" spans="1:18" x14ac:dyDescent="0.35">
      <c r="A2081" s="1">
        <v>40429</v>
      </c>
      <c r="B2081">
        <v>0</v>
      </c>
      <c r="C2081" t="s">
        <v>16</v>
      </c>
      <c r="D2081" t="s">
        <v>34</v>
      </c>
      <c r="E2081" t="s">
        <v>30</v>
      </c>
      <c r="F2081">
        <v>139</v>
      </c>
      <c r="G2081" t="s">
        <v>36</v>
      </c>
      <c r="H2081" t="s">
        <v>30</v>
      </c>
      <c r="I2081">
        <v>140</v>
      </c>
      <c r="J2081">
        <v>1</v>
      </c>
      <c r="K2081">
        <v>5</v>
      </c>
      <c r="L2081">
        <v>51</v>
      </c>
      <c r="M2081" t="s">
        <v>20</v>
      </c>
      <c r="N2081" t="s">
        <v>57</v>
      </c>
      <c r="O2081">
        <v>25995</v>
      </c>
      <c r="P2081">
        <v>124</v>
      </c>
      <c r="Q2081" t="s">
        <v>36</v>
      </c>
      <c r="R2081" t="str">
        <f t="shared" si="33"/>
        <v>Yes</v>
      </c>
    </row>
    <row r="2082" spans="1:18" x14ac:dyDescent="0.35">
      <c r="A2082" s="1">
        <v>40429</v>
      </c>
      <c r="B2082">
        <v>0</v>
      </c>
      <c r="C2082" t="s">
        <v>16</v>
      </c>
      <c r="D2082" t="s">
        <v>37</v>
      </c>
      <c r="E2082" t="s">
        <v>30</v>
      </c>
      <c r="F2082">
        <v>139</v>
      </c>
      <c r="G2082" t="s">
        <v>29</v>
      </c>
      <c r="H2082" t="s">
        <v>30</v>
      </c>
      <c r="I2082">
        <v>140</v>
      </c>
      <c r="J2082">
        <v>3</v>
      </c>
      <c r="K2082">
        <v>4</v>
      </c>
      <c r="L2082">
        <v>51</v>
      </c>
      <c r="M2082" t="s">
        <v>20</v>
      </c>
      <c r="N2082" t="s">
        <v>76</v>
      </c>
      <c r="O2082">
        <v>39376</v>
      </c>
      <c r="P2082">
        <v>139</v>
      </c>
      <c r="Q2082" t="s">
        <v>29</v>
      </c>
      <c r="R2082" t="str">
        <f t="shared" si="33"/>
        <v>Yes</v>
      </c>
    </row>
    <row r="2083" spans="1:18" x14ac:dyDescent="0.35">
      <c r="A2083" s="1">
        <v>40429</v>
      </c>
      <c r="B2083">
        <v>0</v>
      </c>
      <c r="C2083" t="s">
        <v>16</v>
      </c>
      <c r="D2083" t="s">
        <v>43</v>
      </c>
      <c r="E2083" t="s">
        <v>30</v>
      </c>
      <c r="F2083">
        <v>140</v>
      </c>
      <c r="G2083" t="s">
        <v>59</v>
      </c>
      <c r="H2083" t="s">
        <v>30</v>
      </c>
      <c r="I2083">
        <v>140</v>
      </c>
      <c r="J2083">
        <v>2</v>
      </c>
      <c r="K2083">
        <v>3</v>
      </c>
      <c r="L2083">
        <v>52</v>
      </c>
      <c r="M2083" t="s">
        <v>38</v>
      </c>
      <c r="N2083" t="s">
        <v>84</v>
      </c>
      <c r="O2083">
        <v>44163</v>
      </c>
      <c r="P2083">
        <v>164</v>
      </c>
      <c r="Q2083" t="s">
        <v>59</v>
      </c>
      <c r="R2083" t="str">
        <f t="shared" si="33"/>
        <v>Yes</v>
      </c>
    </row>
    <row r="2084" spans="1:18" x14ac:dyDescent="0.35">
      <c r="A2084" s="1">
        <v>40429</v>
      </c>
      <c r="B2084">
        <v>0</v>
      </c>
      <c r="C2084" t="s">
        <v>16</v>
      </c>
      <c r="D2084" t="s">
        <v>40</v>
      </c>
      <c r="E2084" t="s">
        <v>30</v>
      </c>
      <c r="F2084">
        <v>140</v>
      </c>
      <c r="G2084" t="s">
        <v>41</v>
      </c>
      <c r="H2084" t="s">
        <v>30</v>
      </c>
      <c r="I2084">
        <v>139</v>
      </c>
      <c r="J2084">
        <v>3</v>
      </c>
      <c r="K2084">
        <v>4</v>
      </c>
      <c r="L2084">
        <v>51</v>
      </c>
      <c r="M2084" t="s">
        <v>20</v>
      </c>
      <c r="N2084" t="s">
        <v>42</v>
      </c>
      <c r="O2084">
        <v>15180</v>
      </c>
      <c r="P2084">
        <v>143</v>
      </c>
      <c r="Q2084" t="s">
        <v>41</v>
      </c>
      <c r="R2084" t="str">
        <f t="shared" si="33"/>
        <v>Yes</v>
      </c>
    </row>
    <row r="2085" spans="1:18" x14ac:dyDescent="0.35">
      <c r="A2085" s="1">
        <v>40429</v>
      </c>
      <c r="B2085">
        <v>0</v>
      </c>
      <c r="C2085" t="s">
        <v>16</v>
      </c>
      <c r="D2085" t="s">
        <v>47</v>
      </c>
      <c r="E2085" t="s">
        <v>30</v>
      </c>
      <c r="F2085">
        <v>139</v>
      </c>
      <c r="G2085" t="s">
        <v>46</v>
      </c>
      <c r="H2085" t="s">
        <v>30</v>
      </c>
      <c r="I2085">
        <v>139</v>
      </c>
      <c r="J2085">
        <v>8</v>
      </c>
      <c r="K2085">
        <v>1</v>
      </c>
      <c r="L2085">
        <v>54</v>
      </c>
      <c r="M2085" t="s">
        <v>20</v>
      </c>
      <c r="N2085" t="s">
        <v>78</v>
      </c>
      <c r="O2085">
        <v>10616</v>
      </c>
      <c r="P2085">
        <v>169</v>
      </c>
      <c r="Q2085" t="s">
        <v>47</v>
      </c>
      <c r="R2085" t="str">
        <f t="shared" si="33"/>
        <v>No</v>
      </c>
    </row>
    <row r="2086" spans="1:18" x14ac:dyDescent="0.35">
      <c r="A2086" s="1">
        <v>40429</v>
      </c>
      <c r="B2086">
        <v>0</v>
      </c>
      <c r="C2086" t="s">
        <v>16</v>
      </c>
      <c r="D2086" t="s">
        <v>70</v>
      </c>
      <c r="E2086" t="s">
        <v>18</v>
      </c>
      <c r="F2086">
        <v>140</v>
      </c>
      <c r="G2086" t="s">
        <v>60</v>
      </c>
      <c r="H2086" t="s">
        <v>18</v>
      </c>
      <c r="I2086">
        <v>140</v>
      </c>
      <c r="J2086">
        <v>1</v>
      </c>
      <c r="K2086">
        <v>3</v>
      </c>
      <c r="L2086">
        <v>51</v>
      </c>
      <c r="M2086" t="s">
        <v>20</v>
      </c>
      <c r="N2086" t="s">
        <v>61</v>
      </c>
      <c r="O2086">
        <v>19972</v>
      </c>
      <c r="P2086">
        <v>149</v>
      </c>
      <c r="Q2086" t="s">
        <v>60</v>
      </c>
      <c r="R2086" t="str">
        <f t="shared" si="33"/>
        <v>Yes</v>
      </c>
    </row>
    <row r="2087" spans="1:18" x14ac:dyDescent="0.35">
      <c r="A2087" s="1">
        <v>40429</v>
      </c>
      <c r="B2087">
        <v>0</v>
      </c>
      <c r="C2087" t="s">
        <v>16</v>
      </c>
      <c r="D2087" t="s">
        <v>66</v>
      </c>
      <c r="E2087" t="s">
        <v>18</v>
      </c>
      <c r="F2087">
        <v>139</v>
      </c>
      <c r="G2087" t="s">
        <v>49</v>
      </c>
      <c r="H2087" t="s">
        <v>18</v>
      </c>
      <c r="I2087">
        <v>140</v>
      </c>
      <c r="J2087">
        <v>4</v>
      </c>
      <c r="K2087">
        <v>0</v>
      </c>
      <c r="L2087">
        <v>54</v>
      </c>
      <c r="M2087" t="s">
        <v>20</v>
      </c>
      <c r="N2087" t="s">
        <v>79</v>
      </c>
      <c r="O2087">
        <v>33623</v>
      </c>
      <c r="P2087">
        <v>154</v>
      </c>
      <c r="Q2087" t="s">
        <v>66</v>
      </c>
      <c r="R2087" t="str">
        <f t="shared" si="33"/>
        <v>No</v>
      </c>
    </row>
    <row r="2088" spans="1:18" x14ac:dyDescent="0.35">
      <c r="A2088" s="1">
        <v>40429</v>
      </c>
      <c r="B2088">
        <v>0</v>
      </c>
      <c r="C2088" t="s">
        <v>16</v>
      </c>
      <c r="D2088" t="s">
        <v>53</v>
      </c>
      <c r="E2088" t="s">
        <v>18</v>
      </c>
      <c r="F2088">
        <v>139</v>
      </c>
      <c r="G2088" t="s">
        <v>63</v>
      </c>
      <c r="H2088" t="s">
        <v>18</v>
      </c>
      <c r="I2088">
        <v>139</v>
      </c>
      <c r="J2088">
        <v>2</v>
      </c>
      <c r="K2088">
        <v>9</v>
      </c>
      <c r="L2088">
        <v>51</v>
      </c>
      <c r="M2088" t="s">
        <v>20</v>
      </c>
      <c r="N2088" t="s">
        <v>64</v>
      </c>
      <c r="O2088">
        <v>28271</v>
      </c>
      <c r="P2088">
        <v>176</v>
      </c>
      <c r="Q2088" t="s">
        <v>63</v>
      </c>
      <c r="R2088" t="str">
        <f t="shared" si="33"/>
        <v>Yes</v>
      </c>
    </row>
    <row r="2089" spans="1:18" x14ac:dyDescent="0.35">
      <c r="A2089" s="1">
        <v>40429</v>
      </c>
      <c r="B2089">
        <v>0</v>
      </c>
      <c r="C2089" t="s">
        <v>16</v>
      </c>
      <c r="D2089" t="s">
        <v>52</v>
      </c>
      <c r="E2089" t="s">
        <v>18</v>
      </c>
      <c r="F2089">
        <v>137</v>
      </c>
      <c r="G2089" t="s">
        <v>68</v>
      </c>
      <c r="H2089" t="s">
        <v>18</v>
      </c>
      <c r="I2089">
        <v>139</v>
      </c>
      <c r="J2089">
        <v>1</v>
      </c>
      <c r="K2089">
        <v>8</v>
      </c>
      <c r="L2089">
        <v>51</v>
      </c>
      <c r="M2089" t="s">
        <v>20</v>
      </c>
      <c r="N2089" t="s">
        <v>69</v>
      </c>
      <c r="O2089">
        <v>34298</v>
      </c>
      <c r="P2089">
        <v>149</v>
      </c>
      <c r="Q2089" t="s">
        <v>68</v>
      </c>
      <c r="R2089" t="str">
        <f t="shared" si="33"/>
        <v>Yes</v>
      </c>
    </row>
    <row r="2090" spans="1:18" x14ac:dyDescent="0.35">
      <c r="A2090" s="1">
        <v>40429</v>
      </c>
      <c r="B2090">
        <v>0</v>
      </c>
      <c r="C2090" t="s">
        <v>16</v>
      </c>
      <c r="D2090" t="s">
        <v>17</v>
      </c>
      <c r="E2090" t="s">
        <v>18</v>
      </c>
      <c r="F2090">
        <v>139</v>
      </c>
      <c r="G2090" t="s">
        <v>25</v>
      </c>
      <c r="H2090" t="s">
        <v>18</v>
      </c>
      <c r="I2090">
        <v>141</v>
      </c>
      <c r="J2090">
        <v>6</v>
      </c>
      <c r="K2090">
        <v>10</v>
      </c>
      <c r="L2090">
        <v>51</v>
      </c>
      <c r="M2090" t="s">
        <v>20</v>
      </c>
      <c r="N2090" t="s">
        <v>80</v>
      </c>
      <c r="O2090">
        <v>44221</v>
      </c>
      <c r="P2090">
        <v>180</v>
      </c>
      <c r="Q2090" t="s">
        <v>25</v>
      </c>
      <c r="R2090" t="str">
        <f t="shared" si="33"/>
        <v>Yes</v>
      </c>
    </row>
    <row r="2091" spans="1:18" x14ac:dyDescent="0.35">
      <c r="A2091" s="1">
        <v>40429</v>
      </c>
      <c r="B2091">
        <v>0</v>
      </c>
      <c r="C2091" t="s">
        <v>16</v>
      </c>
      <c r="D2091" t="s">
        <v>50</v>
      </c>
      <c r="E2091" t="s">
        <v>18</v>
      </c>
      <c r="F2091">
        <v>140</v>
      </c>
      <c r="G2091" t="s">
        <v>23</v>
      </c>
      <c r="H2091" t="s">
        <v>18</v>
      </c>
      <c r="I2091">
        <v>139</v>
      </c>
      <c r="J2091">
        <v>9</v>
      </c>
      <c r="K2091">
        <v>3</v>
      </c>
      <c r="L2091">
        <v>54</v>
      </c>
      <c r="M2091" t="s">
        <v>20</v>
      </c>
      <c r="N2091" t="s">
        <v>24</v>
      </c>
      <c r="O2091">
        <v>13113</v>
      </c>
      <c r="P2091">
        <v>190</v>
      </c>
      <c r="Q2091" t="s">
        <v>50</v>
      </c>
      <c r="R2091" t="str">
        <f t="shared" si="33"/>
        <v>No</v>
      </c>
    </row>
    <row r="2092" spans="1:18" x14ac:dyDescent="0.35">
      <c r="A2092" s="1">
        <v>40429</v>
      </c>
      <c r="B2092">
        <v>0</v>
      </c>
      <c r="C2092" t="s">
        <v>16</v>
      </c>
      <c r="D2092" t="s">
        <v>22</v>
      </c>
      <c r="E2092" t="s">
        <v>18</v>
      </c>
      <c r="F2092">
        <v>140</v>
      </c>
      <c r="G2092" t="s">
        <v>62</v>
      </c>
      <c r="H2092" t="s">
        <v>18</v>
      </c>
      <c r="I2092">
        <v>138</v>
      </c>
      <c r="J2092">
        <v>0</v>
      </c>
      <c r="K2092">
        <v>4</v>
      </c>
      <c r="L2092">
        <v>51</v>
      </c>
      <c r="M2092" t="s">
        <v>20</v>
      </c>
      <c r="N2092" t="s">
        <v>81</v>
      </c>
      <c r="O2092">
        <v>20851</v>
      </c>
      <c r="P2092">
        <v>179</v>
      </c>
      <c r="Q2092" t="s">
        <v>62</v>
      </c>
      <c r="R2092" t="str">
        <f t="shared" si="33"/>
        <v>Yes</v>
      </c>
    </row>
    <row r="2093" spans="1:18" x14ac:dyDescent="0.35">
      <c r="A2093" s="1">
        <v>40429</v>
      </c>
      <c r="B2093">
        <v>0</v>
      </c>
      <c r="C2093" t="s">
        <v>16</v>
      </c>
      <c r="D2093" t="s">
        <v>19</v>
      </c>
      <c r="E2093" t="s">
        <v>18</v>
      </c>
      <c r="F2093">
        <v>140</v>
      </c>
      <c r="G2093" t="s">
        <v>26</v>
      </c>
      <c r="H2093" t="s">
        <v>18</v>
      </c>
      <c r="I2093">
        <v>140</v>
      </c>
      <c r="J2093">
        <v>3</v>
      </c>
      <c r="K2093">
        <v>2</v>
      </c>
      <c r="L2093">
        <v>54</v>
      </c>
      <c r="M2093" t="s">
        <v>38</v>
      </c>
      <c r="N2093" t="s">
        <v>27</v>
      </c>
      <c r="O2093">
        <v>16002</v>
      </c>
      <c r="P2093">
        <v>163</v>
      </c>
      <c r="Q2093" t="s">
        <v>19</v>
      </c>
      <c r="R2093" t="str">
        <f t="shared" si="33"/>
        <v>No</v>
      </c>
    </row>
    <row r="2094" spans="1:18" x14ac:dyDescent="0.35">
      <c r="A2094" s="1">
        <v>40430</v>
      </c>
      <c r="B2094">
        <v>0</v>
      </c>
      <c r="C2094" t="s">
        <v>28</v>
      </c>
      <c r="D2094" t="s">
        <v>34</v>
      </c>
      <c r="E2094" t="s">
        <v>30</v>
      </c>
      <c r="F2094">
        <v>140</v>
      </c>
      <c r="G2094" t="s">
        <v>36</v>
      </c>
      <c r="H2094" t="s">
        <v>30</v>
      </c>
      <c r="I2094">
        <v>141</v>
      </c>
      <c r="J2094">
        <v>3</v>
      </c>
      <c r="K2094">
        <v>6</v>
      </c>
      <c r="L2094">
        <v>51</v>
      </c>
      <c r="M2094" t="s">
        <v>38</v>
      </c>
      <c r="N2094" t="s">
        <v>57</v>
      </c>
      <c r="O2094">
        <v>29995</v>
      </c>
      <c r="P2094">
        <v>132</v>
      </c>
      <c r="Q2094" t="s">
        <v>36</v>
      </c>
      <c r="R2094" t="str">
        <f t="shared" si="33"/>
        <v>Yes</v>
      </c>
    </row>
    <row r="2095" spans="1:18" x14ac:dyDescent="0.35">
      <c r="A2095" s="1">
        <v>40430</v>
      </c>
      <c r="B2095">
        <v>0</v>
      </c>
      <c r="C2095" t="s">
        <v>28</v>
      </c>
      <c r="D2095" t="s">
        <v>47</v>
      </c>
      <c r="E2095" t="s">
        <v>30</v>
      </c>
      <c r="F2095">
        <v>140</v>
      </c>
      <c r="G2095" t="s">
        <v>46</v>
      </c>
      <c r="H2095" t="s">
        <v>30</v>
      </c>
      <c r="I2095">
        <v>140</v>
      </c>
      <c r="J2095">
        <v>4</v>
      </c>
      <c r="K2095">
        <v>2</v>
      </c>
      <c r="L2095">
        <v>54</v>
      </c>
      <c r="M2095" t="s">
        <v>20</v>
      </c>
      <c r="N2095" t="s">
        <v>78</v>
      </c>
      <c r="O2095">
        <v>10658</v>
      </c>
      <c r="P2095">
        <v>150</v>
      </c>
      <c r="Q2095" t="s">
        <v>47</v>
      </c>
      <c r="R2095" t="str">
        <f t="shared" si="33"/>
        <v>No</v>
      </c>
    </row>
    <row r="2096" spans="1:18" x14ac:dyDescent="0.35">
      <c r="A2096" s="1">
        <v>40430</v>
      </c>
      <c r="B2096">
        <v>0</v>
      </c>
      <c r="C2096" t="s">
        <v>28</v>
      </c>
      <c r="D2096" t="s">
        <v>52</v>
      </c>
      <c r="E2096" t="s">
        <v>18</v>
      </c>
      <c r="F2096">
        <v>138</v>
      </c>
      <c r="G2096" t="s">
        <v>50</v>
      </c>
      <c r="H2096" t="s">
        <v>18</v>
      </c>
      <c r="I2096">
        <v>141</v>
      </c>
      <c r="J2096">
        <v>11</v>
      </c>
      <c r="K2096">
        <v>4</v>
      </c>
      <c r="L2096">
        <v>54</v>
      </c>
      <c r="M2096" t="s">
        <v>20</v>
      </c>
      <c r="N2096" t="s">
        <v>51</v>
      </c>
      <c r="O2096">
        <v>20776</v>
      </c>
      <c r="P2096">
        <v>164</v>
      </c>
      <c r="Q2096" t="s">
        <v>52</v>
      </c>
      <c r="R2096" t="str">
        <f t="shared" si="33"/>
        <v>No</v>
      </c>
    </row>
    <row r="2097" spans="1:18" x14ac:dyDescent="0.35">
      <c r="A2097" s="1">
        <v>40430</v>
      </c>
      <c r="B2097">
        <v>0</v>
      </c>
      <c r="C2097" t="s">
        <v>28</v>
      </c>
      <c r="D2097" t="s">
        <v>53</v>
      </c>
      <c r="E2097" t="s">
        <v>18</v>
      </c>
      <c r="F2097">
        <v>140</v>
      </c>
      <c r="G2097" t="s">
        <v>63</v>
      </c>
      <c r="H2097" t="s">
        <v>18</v>
      </c>
      <c r="I2097">
        <v>140</v>
      </c>
      <c r="J2097">
        <v>5</v>
      </c>
      <c r="K2097">
        <v>6</v>
      </c>
      <c r="L2097">
        <v>51</v>
      </c>
      <c r="M2097" t="s">
        <v>38</v>
      </c>
      <c r="N2097" t="s">
        <v>64</v>
      </c>
      <c r="O2097">
        <v>25213</v>
      </c>
      <c r="P2097">
        <v>176</v>
      </c>
      <c r="Q2097" t="s">
        <v>63</v>
      </c>
      <c r="R2097" t="str">
        <f t="shared" si="33"/>
        <v>Yes</v>
      </c>
    </row>
    <row r="2098" spans="1:18" x14ac:dyDescent="0.35">
      <c r="A2098" s="1">
        <v>40430</v>
      </c>
      <c r="B2098">
        <v>0</v>
      </c>
      <c r="C2098" t="s">
        <v>28</v>
      </c>
      <c r="D2098" t="s">
        <v>22</v>
      </c>
      <c r="E2098" t="s">
        <v>18</v>
      </c>
      <c r="F2098">
        <v>141</v>
      </c>
      <c r="G2098" t="s">
        <v>66</v>
      </c>
      <c r="H2098" t="s">
        <v>18</v>
      </c>
      <c r="I2098">
        <v>140</v>
      </c>
      <c r="J2098">
        <v>2</v>
      </c>
      <c r="K2098">
        <v>3</v>
      </c>
      <c r="L2098">
        <v>51</v>
      </c>
      <c r="M2098" t="s">
        <v>20</v>
      </c>
      <c r="N2098" t="s">
        <v>67</v>
      </c>
      <c r="O2098">
        <v>28081</v>
      </c>
      <c r="P2098">
        <v>172</v>
      </c>
      <c r="Q2098" t="s">
        <v>66</v>
      </c>
      <c r="R2098" t="str">
        <f t="shared" si="33"/>
        <v>Yes</v>
      </c>
    </row>
    <row r="2099" spans="1:18" x14ac:dyDescent="0.35">
      <c r="A2099" s="1">
        <v>40430</v>
      </c>
      <c r="B2099">
        <v>0</v>
      </c>
      <c r="C2099" t="s">
        <v>28</v>
      </c>
      <c r="D2099" t="s">
        <v>70</v>
      </c>
      <c r="E2099" t="s">
        <v>18</v>
      </c>
      <c r="F2099">
        <v>141</v>
      </c>
      <c r="G2099" t="s">
        <v>62</v>
      </c>
      <c r="H2099" t="s">
        <v>18</v>
      </c>
      <c r="I2099">
        <v>139</v>
      </c>
      <c r="J2099">
        <v>7</v>
      </c>
      <c r="K2099">
        <v>3</v>
      </c>
      <c r="L2099">
        <v>54</v>
      </c>
      <c r="M2099" t="s">
        <v>20</v>
      </c>
      <c r="N2099" t="s">
        <v>81</v>
      </c>
      <c r="O2099">
        <v>28456</v>
      </c>
      <c r="P2099">
        <v>162</v>
      </c>
      <c r="Q2099" t="s">
        <v>70</v>
      </c>
      <c r="R2099" t="str">
        <f t="shared" si="33"/>
        <v>No</v>
      </c>
    </row>
    <row r="2100" spans="1:18" x14ac:dyDescent="0.35">
      <c r="A2100" s="1">
        <v>40431</v>
      </c>
      <c r="B2100">
        <v>0</v>
      </c>
      <c r="C2100" t="s">
        <v>55</v>
      </c>
      <c r="D2100" t="s">
        <v>40</v>
      </c>
      <c r="E2100" t="s">
        <v>30</v>
      </c>
      <c r="F2100">
        <v>141</v>
      </c>
      <c r="G2100" t="s">
        <v>31</v>
      </c>
      <c r="H2100" t="s">
        <v>30</v>
      </c>
      <c r="I2100">
        <v>141</v>
      </c>
      <c r="J2100">
        <v>3</v>
      </c>
      <c r="K2100">
        <v>4</v>
      </c>
      <c r="L2100">
        <v>82</v>
      </c>
      <c r="M2100" t="s">
        <v>20</v>
      </c>
      <c r="N2100" t="s">
        <v>32</v>
      </c>
      <c r="O2100">
        <v>42203</v>
      </c>
      <c r="P2100">
        <v>235</v>
      </c>
      <c r="Q2100" t="s">
        <v>31</v>
      </c>
      <c r="R2100" t="str">
        <f t="shared" si="33"/>
        <v>Yes</v>
      </c>
    </row>
    <row r="2101" spans="1:18" x14ac:dyDescent="0.35">
      <c r="A2101" s="1">
        <v>40431</v>
      </c>
      <c r="B2101">
        <v>0</v>
      </c>
      <c r="C2101" t="s">
        <v>55</v>
      </c>
      <c r="D2101" t="s">
        <v>37</v>
      </c>
      <c r="E2101" t="s">
        <v>30</v>
      </c>
      <c r="F2101">
        <v>140</v>
      </c>
      <c r="G2101" t="s">
        <v>34</v>
      </c>
      <c r="H2101" t="s">
        <v>30</v>
      </c>
      <c r="I2101">
        <v>141</v>
      </c>
      <c r="J2101">
        <v>3</v>
      </c>
      <c r="K2101">
        <v>4</v>
      </c>
      <c r="L2101">
        <v>51</v>
      </c>
      <c r="M2101" t="s">
        <v>20</v>
      </c>
      <c r="N2101" t="s">
        <v>35</v>
      </c>
      <c r="O2101">
        <v>27009</v>
      </c>
      <c r="P2101">
        <v>144</v>
      </c>
      <c r="Q2101" t="s">
        <v>34</v>
      </c>
      <c r="R2101" t="str">
        <f t="shared" si="33"/>
        <v>Yes</v>
      </c>
    </row>
    <row r="2102" spans="1:18" x14ac:dyDescent="0.35">
      <c r="A2102" s="1">
        <v>40431</v>
      </c>
      <c r="B2102">
        <v>0</v>
      </c>
      <c r="C2102" t="s">
        <v>55</v>
      </c>
      <c r="D2102" t="s">
        <v>29</v>
      </c>
      <c r="E2102" t="s">
        <v>30</v>
      </c>
      <c r="F2102">
        <v>141</v>
      </c>
      <c r="G2102" t="s">
        <v>33</v>
      </c>
      <c r="H2102" t="s">
        <v>30</v>
      </c>
      <c r="I2102">
        <v>141</v>
      </c>
      <c r="J2102">
        <v>0</v>
      </c>
      <c r="K2102">
        <v>2</v>
      </c>
      <c r="L2102">
        <v>51</v>
      </c>
      <c r="M2102" t="s">
        <v>20</v>
      </c>
      <c r="N2102" t="s">
        <v>75</v>
      </c>
      <c r="O2102">
        <v>26207</v>
      </c>
      <c r="P2102">
        <v>117</v>
      </c>
      <c r="Q2102" t="s">
        <v>33</v>
      </c>
      <c r="R2102" t="str">
        <f t="shared" si="33"/>
        <v>Yes</v>
      </c>
    </row>
    <row r="2103" spans="1:18" x14ac:dyDescent="0.35">
      <c r="A2103" s="1">
        <v>40431</v>
      </c>
      <c r="B2103">
        <v>0</v>
      </c>
      <c r="C2103" t="s">
        <v>55</v>
      </c>
      <c r="D2103" t="s">
        <v>43</v>
      </c>
      <c r="E2103" t="s">
        <v>30</v>
      </c>
      <c r="F2103">
        <v>141</v>
      </c>
      <c r="G2103" t="s">
        <v>36</v>
      </c>
      <c r="H2103" t="s">
        <v>30</v>
      </c>
      <c r="I2103">
        <v>142</v>
      </c>
      <c r="J2103">
        <v>6</v>
      </c>
      <c r="K2103">
        <v>3</v>
      </c>
      <c r="L2103">
        <v>54</v>
      </c>
      <c r="M2103" t="s">
        <v>20</v>
      </c>
      <c r="N2103" t="s">
        <v>57</v>
      </c>
      <c r="O2103">
        <v>28575</v>
      </c>
      <c r="P2103">
        <v>173</v>
      </c>
      <c r="Q2103" t="s">
        <v>43</v>
      </c>
      <c r="R2103" t="str">
        <f t="shared" si="33"/>
        <v>No</v>
      </c>
    </row>
    <row r="2104" spans="1:18" x14ac:dyDescent="0.35">
      <c r="A2104" s="1">
        <v>40431</v>
      </c>
      <c r="B2104">
        <v>0</v>
      </c>
      <c r="C2104" t="s">
        <v>55</v>
      </c>
      <c r="D2104" t="s">
        <v>58</v>
      </c>
      <c r="E2104" t="s">
        <v>30</v>
      </c>
      <c r="F2104">
        <v>141</v>
      </c>
      <c r="G2104" t="s">
        <v>41</v>
      </c>
      <c r="H2104" t="s">
        <v>30</v>
      </c>
      <c r="I2104">
        <v>140</v>
      </c>
      <c r="J2104">
        <v>0</v>
      </c>
      <c r="K2104">
        <v>5</v>
      </c>
      <c r="L2104">
        <v>51</v>
      </c>
      <c r="M2104" t="s">
        <v>20</v>
      </c>
      <c r="N2104" t="s">
        <v>42</v>
      </c>
      <c r="O2104">
        <v>19139</v>
      </c>
      <c r="P2104">
        <v>163</v>
      </c>
      <c r="Q2104" t="s">
        <v>41</v>
      </c>
      <c r="R2104" t="str">
        <f t="shared" si="33"/>
        <v>Yes</v>
      </c>
    </row>
    <row r="2105" spans="1:18" x14ac:dyDescent="0.35">
      <c r="A2105" s="1">
        <v>40431</v>
      </c>
      <c r="B2105">
        <v>0</v>
      </c>
      <c r="C2105" t="s">
        <v>55</v>
      </c>
      <c r="D2105" t="s">
        <v>59</v>
      </c>
      <c r="E2105" t="s">
        <v>30</v>
      </c>
      <c r="F2105">
        <v>141</v>
      </c>
      <c r="G2105" t="s">
        <v>47</v>
      </c>
      <c r="H2105" t="s">
        <v>30</v>
      </c>
      <c r="I2105">
        <v>141</v>
      </c>
      <c r="J2105">
        <v>5</v>
      </c>
      <c r="K2105">
        <v>6</v>
      </c>
      <c r="L2105">
        <v>75</v>
      </c>
      <c r="M2105" t="s">
        <v>20</v>
      </c>
      <c r="N2105" t="s">
        <v>48</v>
      </c>
      <c r="O2105">
        <v>46179</v>
      </c>
      <c r="P2105">
        <v>312</v>
      </c>
      <c r="Q2105" t="s">
        <v>47</v>
      </c>
      <c r="R2105" t="str">
        <f t="shared" si="33"/>
        <v>Yes</v>
      </c>
    </row>
    <row r="2106" spans="1:18" x14ac:dyDescent="0.35">
      <c r="A2106" s="1">
        <v>40431</v>
      </c>
      <c r="B2106">
        <v>0</v>
      </c>
      <c r="C2106" t="s">
        <v>55</v>
      </c>
      <c r="D2106" t="s">
        <v>44</v>
      </c>
      <c r="E2106" t="s">
        <v>30</v>
      </c>
      <c r="F2106">
        <v>140</v>
      </c>
      <c r="G2106" t="s">
        <v>46</v>
      </c>
      <c r="H2106" t="s">
        <v>30</v>
      </c>
      <c r="I2106">
        <v>141</v>
      </c>
      <c r="J2106">
        <v>9</v>
      </c>
      <c r="K2106">
        <v>8</v>
      </c>
      <c r="L2106">
        <v>54</v>
      </c>
      <c r="M2106" t="s">
        <v>20</v>
      </c>
      <c r="N2106" t="s">
        <v>78</v>
      </c>
      <c r="O2106">
        <v>14305</v>
      </c>
      <c r="P2106">
        <v>181</v>
      </c>
      <c r="Q2106" t="s">
        <v>44</v>
      </c>
      <c r="R2106" t="str">
        <f t="shared" si="33"/>
        <v>No</v>
      </c>
    </row>
    <row r="2107" spans="1:18" x14ac:dyDescent="0.35">
      <c r="A2107" s="1">
        <v>40431</v>
      </c>
      <c r="B2107">
        <v>0</v>
      </c>
      <c r="C2107" t="s">
        <v>55</v>
      </c>
      <c r="D2107" t="s">
        <v>52</v>
      </c>
      <c r="E2107" t="s">
        <v>18</v>
      </c>
      <c r="F2107">
        <v>139</v>
      </c>
      <c r="G2107" t="s">
        <v>50</v>
      </c>
      <c r="H2107" t="s">
        <v>18</v>
      </c>
      <c r="I2107">
        <v>142</v>
      </c>
      <c r="J2107">
        <v>6</v>
      </c>
      <c r="K2107">
        <v>8</v>
      </c>
      <c r="L2107">
        <v>51</v>
      </c>
      <c r="M2107" t="s">
        <v>20</v>
      </c>
      <c r="N2107" t="s">
        <v>51</v>
      </c>
      <c r="O2107">
        <v>40656</v>
      </c>
      <c r="P2107">
        <v>184</v>
      </c>
      <c r="Q2107" t="s">
        <v>50</v>
      </c>
      <c r="R2107" t="str">
        <f t="shared" si="33"/>
        <v>Yes</v>
      </c>
    </row>
    <row r="2108" spans="1:18" x14ac:dyDescent="0.35">
      <c r="A2108" s="1">
        <v>40431</v>
      </c>
      <c r="B2108">
        <v>0</v>
      </c>
      <c r="C2108" t="s">
        <v>55</v>
      </c>
      <c r="D2108" t="s">
        <v>23</v>
      </c>
      <c r="E2108" t="s">
        <v>18</v>
      </c>
      <c r="F2108">
        <v>140</v>
      </c>
      <c r="G2108" t="s">
        <v>53</v>
      </c>
      <c r="H2108" t="s">
        <v>18</v>
      </c>
      <c r="I2108">
        <v>141</v>
      </c>
      <c r="J2108">
        <v>3</v>
      </c>
      <c r="K2108">
        <v>4</v>
      </c>
      <c r="L2108">
        <v>69</v>
      </c>
      <c r="M2108" t="s">
        <v>20</v>
      </c>
      <c r="N2108" t="s">
        <v>54</v>
      </c>
      <c r="O2108">
        <v>24908</v>
      </c>
      <c r="P2108">
        <v>238</v>
      </c>
      <c r="Q2108" t="s">
        <v>53</v>
      </c>
      <c r="R2108" t="str">
        <f t="shared" si="33"/>
        <v>Yes</v>
      </c>
    </row>
    <row r="2109" spans="1:18" x14ac:dyDescent="0.35">
      <c r="A2109" s="1">
        <v>40431</v>
      </c>
      <c r="B2109">
        <v>0</v>
      </c>
      <c r="C2109" t="s">
        <v>55</v>
      </c>
      <c r="D2109" t="s">
        <v>60</v>
      </c>
      <c r="E2109" t="s">
        <v>18</v>
      </c>
      <c r="F2109">
        <v>141</v>
      </c>
      <c r="G2109" t="s">
        <v>63</v>
      </c>
      <c r="H2109" t="s">
        <v>18</v>
      </c>
      <c r="I2109">
        <v>141</v>
      </c>
      <c r="J2109">
        <v>4</v>
      </c>
      <c r="K2109">
        <v>13</v>
      </c>
      <c r="L2109">
        <v>51</v>
      </c>
      <c r="M2109" t="s">
        <v>20</v>
      </c>
      <c r="N2109" t="s">
        <v>64</v>
      </c>
      <c r="O2109">
        <v>37265</v>
      </c>
      <c r="P2109">
        <v>187</v>
      </c>
      <c r="Q2109" t="s">
        <v>63</v>
      </c>
      <c r="R2109" t="str">
        <f t="shared" si="33"/>
        <v>Yes</v>
      </c>
    </row>
    <row r="2110" spans="1:18" x14ac:dyDescent="0.35">
      <c r="A2110" s="1">
        <v>40431</v>
      </c>
      <c r="B2110">
        <v>0</v>
      </c>
      <c r="C2110" t="s">
        <v>55</v>
      </c>
      <c r="D2110" t="s">
        <v>22</v>
      </c>
      <c r="E2110" t="s">
        <v>18</v>
      </c>
      <c r="F2110">
        <v>142</v>
      </c>
      <c r="G2110" t="s">
        <v>66</v>
      </c>
      <c r="H2110" t="s">
        <v>18</v>
      </c>
      <c r="I2110">
        <v>141</v>
      </c>
      <c r="J2110">
        <v>4</v>
      </c>
      <c r="K2110">
        <v>2</v>
      </c>
      <c r="L2110">
        <v>66</v>
      </c>
      <c r="M2110" t="s">
        <v>20</v>
      </c>
      <c r="N2110" t="s">
        <v>67</v>
      </c>
      <c r="O2110">
        <v>31010</v>
      </c>
      <c r="P2110">
        <v>244</v>
      </c>
      <c r="Q2110" t="s">
        <v>22</v>
      </c>
      <c r="R2110" t="str">
        <f t="shared" si="33"/>
        <v>No</v>
      </c>
    </row>
    <row r="2111" spans="1:18" x14ac:dyDescent="0.35">
      <c r="A2111" s="1">
        <v>40431</v>
      </c>
      <c r="B2111">
        <v>0</v>
      </c>
      <c r="C2111" t="s">
        <v>55</v>
      </c>
      <c r="D2111" t="s">
        <v>49</v>
      </c>
      <c r="E2111" t="s">
        <v>18</v>
      </c>
      <c r="F2111">
        <v>141</v>
      </c>
      <c r="G2111" t="s">
        <v>68</v>
      </c>
      <c r="H2111" t="s">
        <v>18</v>
      </c>
      <c r="I2111">
        <v>140</v>
      </c>
      <c r="J2111">
        <v>4</v>
      </c>
      <c r="K2111">
        <v>0</v>
      </c>
      <c r="L2111">
        <v>54</v>
      </c>
      <c r="M2111" t="s">
        <v>20</v>
      </c>
      <c r="N2111" t="s">
        <v>69</v>
      </c>
      <c r="O2111">
        <v>30975</v>
      </c>
      <c r="P2111">
        <v>157</v>
      </c>
      <c r="Q2111" t="s">
        <v>49</v>
      </c>
      <c r="R2111" t="str">
        <f t="shared" si="33"/>
        <v>No</v>
      </c>
    </row>
    <row r="2112" spans="1:18" x14ac:dyDescent="0.35">
      <c r="A2112" s="1">
        <v>40431</v>
      </c>
      <c r="B2112">
        <v>0</v>
      </c>
      <c r="C2112" t="s">
        <v>55</v>
      </c>
      <c r="D2112" t="s">
        <v>25</v>
      </c>
      <c r="E2112" t="s">
        <v>18</v>
      </c>
      <c r="F2112">
        <v>142</v>
      </c>
      <c r="G2112" t="s">
        <v>19</v>
      </c>
      <c r="H2112" t="s">
        <v>18</v>
      </c>
      <c r="I2112">
        <v>141</v>
      </c>
      <c r="J2112">
        <v>8</v>
      </c>
      <c r="K2112">
        <v>4</v>
      </c>
      <c r="L2112">
        <v>54</v>
      </c>
      <c r="M2112" t="s">
        <v>20</v>
      </c>
      <c r="N2112" t="s">
        <v>21</v>
      </c>
      <c r="O2112">
        <v>33071</v>
      </c>
      <c r="P2112">
        <v>189</v>
      </c>
      <c r="Q2112" t="s">
        <v>25</v>
      </c>
      <c r="R2112" t="str">
        <f t="shared" si="33"/>
        <v>No</v>
      </c>
    </row>
    <row r="2113" spans="1:18" x14ac:dyDescent="0.35">
      <c r="A2113" s="1">
        <v>40431</v>
      </c>
      <c r="B2113">
        <v>0</v>
      </c>
      <c r="C2113" t="s">
        <v>55</v>
      </c>
      <c r="D2113" t="s">
        <v>70</v>
      </c>
      <c r="E2113" t="s">
        <v>18</v>
      </c>
      <c r="F2113">
        <v>142</v>
      </c>
      <c r="G2113" t="s">
        <v>62</v>
      </c>
      <c r="H2113" t="s">
        <v>18</v>
      </c>
      <c r="I2113">
        <v>140</v>
      </c>
      <c r="J2113">
        <v>1</v>
      </c>
      <c r="K2113">
        <v>0</v>
      </c>
      <c r="L2113">
        <v>54</v>
      </c>
      <c r="M2113" t="s">
        <v>20</v>
      </c>
      <c r="N2113" t="s">
        <v>81</v>
      </c>
      <c r="O2113">
        <v>33662</v>
      </c>
      <c r="P2113">
        <v>183</v>
      </c>
      <c r="Q2113" t="s">
        <v>70</v>
      </c>
      <c r="R2113" t="str">
        <f t="shared" si="33"/>
        <v>No</v>
      </c>
    </row>
    <row r="2114" spans="1:18" x14ac:dyDescent="0.35">
      <c r="A2114" s="1">
        <v>40431</v>
      </c>
      <c r="B2114">
        <v>0</v>
      </c>
      <c r="C2114" t="s">
        <v>55</v>
      </c>
      <c r="D2114" t="s">
        <v>17</v>
      </c>
      <c r="E2114" t="s">
        <v>18</v>
      </c>
      <c r="F2114">
        <v>140</v>
      </c>
      <c r="G2114" t="s">
        <v>26</v>
      </c>
      <c r="H2114" t="s">
        <v>18</v>
      </c>
      <c r="I2114">
        <v>141</v>
      </c>
      <c r="J2114">
        <v>3</v>
      </c>
      <c r="K2114">
        <v>1</v>
      </c>
      <c r="L2114">
        <v>54</v>
      </c>
      <c r="M2114" t="s">
        <v>20</v>
      </c>
      <c r="N2114" t="s">
        <v>27</v>
      </c>
      <c r="O2114">
        <v>17180</v>
      </c>
      <c r="P2114">
        <v>173</v>
      </c>
      <c r="Q2114" t="s">
        <v>17</v>
      </c>
      <c r="R2114" t="str">
        <f t="shared" si="33"/>
        <v>No</v>
      </c>
    </row>
    <row r="2115" spans="1:18" x14ac:dyDescent="0.35">
      <c r="A2115" s="1">
        <v>40432</v>
      </c>
      <c r="B2115">
        <v>0</v>
      </c>
      <c r="C2115" t="s">
        <v>72</v>
      </c>
      <c r="D2115" t="s">
        <v>40</v>
      </c>
      <c r="E2115" t="s">
        <v>30</v>
      </c>
      <c r="F2115">
        <v>142</v>
      </c>
      <c r="G2115" t="s">
        <v>31</v>
      </c>
      <c r="H2115" t="s">
        <v>30</v>
      </c>
      <c r="I2115">
        <v>142</v>
      </c>
      <c r="J2115">
        <v>4</v>
      </c>
      <c r="K2115">
        <v>7</v>
      </c>
      <c r="L2115">
        <v>51</v>
      </c>
      <c r="M2115" t="s">
        <v>20</v>
      </c>
      <c r="N2115" t="s">
        <v>32</v>
      </c>
      <c r="O2115">
        <v>39123</v>
      </c>
      <c r="P2115">
        <v>164</v>
      </c>
      <c r="Q2115" t="s">
        <v>31</v>
      </c>
      <c r="R2115" t="str">
        <f t="shared" ref="R2115:R2178" si="34">IF(K2115&gt;J2115,"Yes","No")</f>
        <v>Yes</v>
      </c>
    </row>
    <row r="2116" spans="1:18" x14ac:dyDescent="0.35">
      <c r="A2116" s="1">
        <v>40432</v>
      </c>
      <c r="B2116">
        <v>0</v>
      </c>
      <c r="C2116" t="s">
        <v>72</v>
      </c>
      <c r="D2116" t="s">
        <v>37</v>
      </c>
      <c r="E2116" t="s">
        <v>30</v>
      </c>
      <c r="F2116">
        <v>141</v>
      </c>
      <c r="G2116" t="s">
        <v>34</v>
      </c>
      <c r="H2116" t="s">
        <v>30</v>
      </c>
      <c r="I2116">
        <v>142</v>
      </c>
      <c r="J2116">
        <v>8</v>
      </c>
      <c r="K2116">
        <v>2</v>
      </c>
      <c r="L2116">
        <v>54</v>
      </c>
      <c r="M2116" t="s">
        <v>20</v>
      </c>
      <c r="N2116" t="s">
        <v>35</v>
      </c>
      <c r="O2116">
        <v>26389</v>
      </c>
      <c r="P2116">
        <v>187</v>
      </c>
      <c r="Q2116" t="s">
        <v>37</v>
      </c>
      <c r="R2116" t="str">
        <f t="shared" si="34"/>
        <v>No</v>
      </c>
    </row>
    <row r="2117" spans="1:18" x14ac:dyDescent="0.35">
      <c r="A2117" s="1">
        <v>40432</v>
      </c>
      <c r="B2117">
        <v>0</v>
      </c>
      <c r="C2117" t="s">
        <v>72</v>
      </c>
      <c r="D2117" t="s">
        <v>29</v>
      </c>
      <c r="E2117" t="s">
        <v>30</v>
      </c>
      <c r="F2117">
        <v>142</v>
      </c>
      <c r="G2117" t="s">
        <v>33</v>
      </c>
      <c r="H2117" t="s">
        <v>30</v>
      </c>
      <c r="I2117">
        <v>142</v>
      </c>
      <c r="J2117">
        <v>1</v>
      </c>
      <c r="K2117">
        <v>0</v>
      </c>
      <c r="L2117">
        <v>72</v>
      </c>
      <c r="M2117" t="s">
        <v>20</v>
      </c>
      <c r="N2117" t="s">
        <v>75</v>
      </c>
      <c r="O2117">
        <v>24972</v>
      </c>
      <c r="P2117">
        <v>194</v>
      </c>
      <c r="Q2117" t="s">
        <v>29</v>
      </c>
      <c r="R2117" t="str">
        <f t="shared" si="34"/>
        <v>No</v>
      </c>
    </row>
    <row r="2118" spans="1:18" x14ac:dyDescent="0.35">
      <c r="A2118" s="1">
        <v>40432</v>
      </c>
      <c r="B2118">
        <v>0</v>
      </c>
      <c r="C2118" t="s">
        <v>72</v>
      </c>
      <c r="D2118" t="s">
        <v>43</v>
      </c>
      <c r="E2118" t="s">
        <v>30</v>
      </c>
      <c r="F2118">
        <v>142</v>
      </c>
      <c r="G2118" t="s">
        <v>36</v>
      </c>
      <c r="H2118" t="s">
        <v>30</v>
      </c>
      <c r="I2118">
        <v>143</v>
      </c>
      <c r="J2118">
        <v>5</v>
      </c>
      <c r="K2118">
        <v>3</v>
      </c>
      <c r="L2118">
        <v>54</v>
      </c>
      <c r="M2118" t="s">
        <v>20</v>
      </c>
      <c r="N2118" t="s">
        <v>57</v>
      </c>
      <c r="O2118">
        <v>28139</v>
      </c>
      <c r="P2118">
        <v>162</v>
      </c>
      <c r="Q2118" t="s">
        <v>43</v>
      </c>
      <c r="R2118" t="str">
        <f t="shared" si="34"/>
        <v>No</v>
      </c>
    </row>
    <row r="2119" spans="1:18" x14ac:dyDescent="0.35">
      <c r="A2119" s="1">
        <v>40432</v>
      </c>
      <c r="B2119">
        <v>0</v>
      </c>
      <c r="C2119" t="s">
        <v>72</v>
      </c>
      <c r="D2119" t="s">
        <v>58</v>
      </c>
      <c r="E2119" t="s">
        <v>30</v>
      </c>
      <c r="F2119">
        <v>142</v>
      </c>
      <c r="G2119" t="s">
        <v>41</v>
      </c>
      <c r="H2119" t="s">
        <v>30</v>
      </c>
      <c r="I2119">
        <v>141</v>
      </c>
      <c r="J2119">
        <v>3</v>
      </c>
      <c r="K2119">
        <v>4</v>
      </c>
      <c r="L2119">
        <v>51</v>
      </c>
      <c r="M2119" t="s">
        <v>20</v>
      </c>
      <c r="N2119" t="s">
        <v>42</v>
      </c>
      <c r="O2119">
        <v>22932</v>
      </c>
      <c r="P2119">
        <v>162</v>
      </c>
      <c r="Q2119" t="s">
        <v>41</v>
      </c>
      <c r="R2119" t="str">
        <f t="shared" si="34"/>
        <v>Yes</v>
      </c>
    </row>
    <row r="2120" spans="1:18" x14ac:dyDescent="0.35">
      <c r="A2120" s="1">
        <v>40432</v>
      </c>
      <c r="B2120">
        <v>0</v>
      </c>
      <c r="C2120" t="s">
        <v>72</v>
      </c>
      <c r="D2120" t="s">
        <v>59</v>
      </c>
      <c r="E2120" t="s">
        <v>30</v>
      </c>
      <c r="F2120">
        <v>142</v>
      </c>
      <c r="G2120" t="s">
        <v>47</v>
      </c>
      <c r="H2120" t="s">
        <v>30</v>
      </c>
      <c r="I2120">
        <v>142</v>
      </c>
      <c r="J2120">
        <v>6</v>
      </c>
      <c r="K2120">
        <v>7</v>
      </c>
      <c r="L2120">
        <v>52</v>
      </c>
      <c r="M2120" t="s">
        <v>20</v>
      </c>
      <c r="N2120" t="s">
        <v>48</v>
      </c>
      <c r="O2120">
        <v>49210</v>
      </c>
      <c r="P2120">
        <v>256</v>
      </c>
      <c r="Q2120" t="s">
        <v>47</v>
      </c>
      <c r="R2120" t="str">
        <f t="shared" si="34"/>
        <v>Yes</v>
      </c>
    </row>
    <row r="2121" spans="1:18" x14ac:dyDescent="0.35">
      <c r="A2121" s="1">
        <v>40432</v>
      </c>
      <c r="B2121">
        <v>0</v>
      </c>
      <c r="C2121" t="s">
        <v>72</v>
      </c>
      <c r="D2121" t="s">
        <v>44</v>
      </c>
      <c r="E2121" t="s">
        <v>30</v>
      </c>
      <c r="F2121">
        <v>141</v>
      </c>
      <c r="G2121" t="s">
        <v>46</v>
      </c>
      <c r="H2121" t="s">
        <v>30</v>
      </c>
      <c r="I2121">
        <v>142</v>
      </c>
      <c r="J2121">
        <v>13</v>
      </c>
      <c r="K2121">
        <v>1</v>
      </c>
      <c r="L2121">
        <v>54</v>
      </c>
      <c r="M2121" t="s">
        <v>38</v>
      </c>
      <c r="N2121" t="s">
        <v>78</v>
      </c>
      <c r="O2121">
        <v>17632</v>
      </c>
      <c r="P2121">
        <v>180</v>
      </c>
      <c r="Q2121" t="s">
        <v>44</v>
      </c>
      <c r="R2121" t="str">
        <f t="shared" si="34"/>
        <v>No</v>
      </c>
    </row>
    <row r="2122" spans="1:18" x14ac:dyDescent="0.35">
      <c r="A2122" s="1">
        <v>40432</v>
      </c>
      <c r="B2122">
        <v>0</v>
      </c>
      <c r="C2122" t="s">
        <v>72</v>
      </c>
      <c r="D2122" t="s">
        <v>52</v>
      </c>
      <c r="E2122" t="s">
        <v>18</v>
      </c>
      <c r="F2122">
        <v>140</v>
      </c>
      <c r="G2122" t="s">
        <v>50</v>
      </c>
      <c r="H2122" t="s">
        <v>18</v>
      </c>
      <c r="I2122">
        <v>143</v>
      </c>
      <c r="J2122">
        <v>3</v>
      </c>
      <c r="K2122">
        <v>6</v>
      </c>
      <c r="L2122">
        <v>70</v>
      </c>
      <c r="M2122" t="s">
        <v>38</v>
      </c>
      <c r="N2122" t="s">
        <v>51</v>
      </c>
      <c r="O2122">
        <v>51078</v>
      </c>
      <c r="P2122">
        <v>241</v>
      </c>
      <c r="Q2122" t="s">
        <v>50</v>
      </c>
      <c r="R2122" t="str">
        <f t="shared" si="34"/>
        <v>Yes</v>
      </c>
    </row>
    <row r="2123" spans="1:18" x14ac:dyDescent="0.35">
      <c r="A2123" s="1">
        <v>40432</v>
      </c>
      <c r="B2123">
        <v>0</v>
      </c>
      <c r="C2123" t="s">
        <v>72</v>
      </c>
      <c r="D2123" t="s">
        <v>23</v>
      </c>
      <c r="E2123" t="s">
        <v>18</v>
      </c>
      <c r="F2123">
        <v>141</v>
      </c>
      <c r="G2123" t="s">
        <v>53</v>
      </c>
      <c r="H2123" t="s">
        <v>18</v>
      </c>
      <c r="I2123">
        <v>142</v>
      </c>
      <c r="J2123">
        <v>4</v>
      </c>
      <c r="K2123">
        <v>5</v>
      </c>
      <c r="L2123">
        <v>57</v>
      </c>
      <c r="M2123" t="s">
        <v>20</v>
      </c>
      <c r="N2123" t="s">
        <v>54</v>
      </c>
      <c r="O2123">
        <v>36101</v>
      </c>
      <c r="P2123">
        <v>181</v>
      </c>
      <c r="Q2123" t="s">
        <v>53</v>
      </c>
      <c r="R2123" t="str">
        <f t="shared" si="34"/>
        <v>Yes</v>
      </c>
    </row>
    <row r="2124" spans="1:18" x14ac:dyDescent="0.35">
      <c r="A2124" s="1">
        <v>40432</v>
      </c>
      <c r="B2124">
        <v>0</v>
      </c>
      <c r="C2124" t="s">
        <v>72</v>
      </c>
      <c r="D2124" t="s">
        <v>60</v>
      </c>
      <c r="E2124" t="s">
        <v>18</v>
      </c>
      <c r="F2124">
        <v>142</v>
      </c>
      <c r="G2124" t="s">
        <v>63</v>
      </c>
      <c r="H2124" t="s">
        <v>18</v>
      </c>
      <c r="I2124">
        <v>142</v>
      </c>
      <c r="J2124">
        <v>1</v>
      </c>
      <c r="K2124">
        <v>2</v>
      </c>
      <c r="L2124">
        <v>51</v>
      </c>
      <c r="M2124" t="s">
        <v>20</v>
      </c>
      <c r="N2124" t="s">
        <v>64</v>
      </c>
      <c r="O2124">
        <v>48023</v>
      </c>
      <c r="P2124">
        <v>169</v>
      </c>
      <c r="Q2124" t="s">
        <v>63</v>
      </c>
      <c r="R2124" t="str">
        <f t="shared" si="34"/>
        <v>Yes</v>
      </c>
    </row>
    <row r="2125" spans="1:18" x14ac:dyDescent="0.35">
      <c r="A2125" s="1">
        <v>40432</v>
      </c>
      <c r="B2125">
        <v>0</v>
      </c>
      <c r="C2125" t="s">
        <v>72</v>
      </c>
      <c r="D2125" t="s">
        <v>22</v>
      </c>
      <c r="E2125" t="s">
        <v>18</v>
      </c>
      <c r="F2125">
        <v>143</v>
      </c>
      <c r="G2125" t="s">
        <v>66</v>
      </c>
      <c r="H2125" t="s">
        <v>18</v>
      </c>
      <c r="I2125">
        <v>142</v>
      </c>
      <c r="J2125">
        <v>6</v>
      </c>
      <c r="K2125">
        <v>3</v>
      </c>
      <c r="L2125">
        <v>54</v>
      </c>
      <c r="M2125" t="s">
        <v>20</v>
      </c>
      <c r="N2125" t="s">
        <v>67</v>
      </c>
      <c r="O2125">
        <v>39237</v>
      </c>
      <c r="P2125">
        <v>176</v>
      </c>
      <c r="Q2125" t="s">
        <v>22</v>
      </c>
      <c r="R2125" t="str">
        <f t="shared" si="34"/>
        <v>No</v>
      </c>
    </row>
    <row r="2126" spans="1:18" x14ac:dyDescent="0.35">
      <c r="A2126" s="1">
        <v>40432</v>
      </c>
      <c r="B2126">
        <v>0</v>
      </c>
      <c r="C2126" t="s">
        <v>72</v>
      </c>
      <c r="D2126" t="s">
        <v>49</v>
      </c>
      <c r="E2126" t="s">
        <v>18</v>
      </c>
      <c r="F2126">
        <v>142</v>
      </c>
      <c r="G2126" t="s">
        <v>68</v>
      </c>
      <c r="H2126" t="s">
        <v>18</v>
      </c>
      <c r="I2126">
        <v>141</v>
      </c>
      <c r="J2126">
        <v>1</v>
      </c>
      <c r="K2126">
        <v>0</v>
      </c>
      <c r="L2126">
        <v>54</v>
      </c>
      <c r="M2126" t="s">
        <v>20</v>
      </c>
      <c r="N2126" t="s">
        <v>69</v>
      </c>
      <c r="O2126">
        <v>41463</v>
      </c>
      <c r="P2126">
        <v>145</v>
      </c>
      <c r="Q2126" t="s">
        <v>49</v>
      </c>
      <c r="R2126" t="str">
        <f t="shared" si="34"/>
        <v>No</v>
      </c>
    </row>
    <row r="2127" spans="1:18" x14ac:dyDescent="0.35">
      <c r="A2127" s="1">
        <v>40432</v>
      </c>
      <c r="B2127">
        <v>0</v>
      </c>
      <c r="C2127" t="s">
        <v>72</v>
      </c>
      <c r="D2127" t="s">
        <v>25</v>
      </c>
      <c r="E2127" t="s">
        <v>18</v>
      </c>
      <c r="F2127">
        <v>143</v>
      </c>
      <c r="G2127" t="s">
        <v>19</v>
      </c>
      <c r="H2127" t="s">
        <v>18</v>
      </c>
      <c r="I2127">
        <v>142</v>
      </c>
      <c r="J2127">
        <v>3</v>
      </c>
      <c r="K2127">
        <v>4</v>
      </c>
      <c r="L2127">
        <v>51</v>
      </c>
      <c r="M2127" t="s">
        <v>38</v>
      </c>
      <c r="N2127" t="s">
        <v>21</v>
      </c>
      <c r="O2127">
        <v>35788</v>
      </c>
      <c r="P2127">
        <v>184</v>
      </c>
      <c r="Q2127" t="s">
        <v>19</v>
      </c>
      <c r="R2127" t="str">
        <f t="shared" si="34"/>
        <v>Yes</v>
      </c>
    </row>
    <row r="2128" spans="1:18" x14ac:dyDescent="0.35">
      <c r="A2128" s="1">
        <v>40432</v>
      </c>
      <c r="B2128">
        <v>0</v>
      </c>
      <c r="C2128" t="s">
        <v>72</v>
      </c>
      <c r="D2128" t="s">
        <v>70</v>
      </c>
      <c r="E2128" t="s">
        <v>18</v>
      </c>
      <c r="F2128">
        <v>143</v>
      </c>
      <c r="G2128" t="s">
        <v>62</v>
      </c>
      <c r="H2128" t="s">
        <v>18</v>
      </c>
      <c r="I2128">
        <v>141</v>
      </c>
      <c r="J2128">
        <v>0</v>
      </c>
      <c r="K2128">
        <v>1</v>
      </c>
      <c r="L2128">
        <v>51</v>
      </c>
      <c r="M2128" t="s">
        <v>38</v>
      </c>
      <c r="N2128" t="s">
        <v>81</v>
      </c>
      <c r="O2128">
        <v>41123</v>
      </c>
      <c r="P2128">
        <v>127</v>
      </c>
      <c r="Q2128" t="s">
        <v>62</v>
      </c>
      <c r="R2128" t="str">
        <f t="shared" si="34"/>
        <v>Yes</v>
      </c>
    </row>
    <row r="2129" spans="1:18" x14ac:dyDescent="0.35">
      <c r="A2129" s="1">
        <v>40432</v>
      </c>
      <c r="B2129">
        <v>0</v>
      </c>
      <c r="C2129" t="s">
        <v>72</v>
      </c>
      <c r="D2129" t="s">
        <v>17</v>
      </c>
      <c r="E2129" t="s">
        <v>18</v>
      </c>
      <c r="F2129">
        <v>141</v>
      </c>
      <c r="G2129" t="s">
        <v>26</v>
      </c>
      <c r="H2129" t="s">
        <v>18</v>
      </c>
      <c r="I2129">
        <v>142</v>
      </c>
      <c r="J2129">
        <v>4</v>
      </c>
      <c r="K2129">
        <v>1</v>
      </c>
      <c r="L2129">
        <v>54</v>
      </c>
      <c r="M2129" t="s">
        <v>38</v>
      </c>
      <c r="N2129" t="s">
        <v>27</v>
      </c>
      <c r="O2129">
        <v>17941</v>
      </c>
      <c r="P2129">
        <v>172</v>
      </c>
      <c r="Q2129" t="s">
        <v>17</v>
      </c>
      <c r="R2129" t="str">
        <f t="shared" si="34"/>
        <v>No</v>
      </c>
    </row>
    <row r="2130" spans="1:18" x14ac:dyDescent="0.35">
      <c r="A2130" s="1">
        <v>40433</v>
      </c>
      <c r="B2130">
        <v>0</v>
      </c>
      <c r="C2130" t="s">
        <v>73</v>
      </c>
      <c r="D2130" t="s">
        <v>40</v>
      </c>
      <c r="E2130" t="s">
        <v>30</v>
      </c>
      <c r="F2130">
        <v>143</v>
      </c>
      <c r="G2130" t="s">
        <v>31</v>
      </c>
      <c r="H2130" t="s">
        <v>30</v>
      </c>
      <c r="I2130">
        <v>143</v>
      </c>
      <c r="J2130">
        <v>0</v>
      </c>
      <c r="K2130">
        <v>3</v>
      </c>
      <c r="L2130">
        <v>51</v>
      </c>
      <c r="M2130" t="s">
        <v>38</v>
      </c>
      <c r="N2130" t="s">
        <v>32</v>
      </c>
      <c r="O2130">
        <v>42357</v>
      </c>
      <c r="P2130">
        <v>147</v>
      </c>
      <c r="Q2130" t="s">
        <v>31</v>
      </c>
      <c r="R2130" t="str">
        <f t="shared" si="34"/>
        <v>Yes</v>
      </c>
    </row>
    <row r="2131" spans="1:18" x14ac:dyDescent="0.35">
      <c r="A2131" s="1">
        <v>40433</v>
      </c>
      <c r="B2131">
        <v>0</v>
      </c>
      <c r="C2131" t="s">
        <v>73</v>
      </c>
      <c r="D2131" t="s">
        <v>37</v>
      </c>
      <c r="E2131" t="s">
        <v>30</v>
      </c>
      <c r="F2131">
        <v>142</v>
      </c>
      <c r="G2131" t="s">
        <v>34</v>
      </c>
      <c r="H2131" t="s">
        <v>30</v>
      </c>
      <c r="I2131">
        <v>143</v>
      </c>
      <c r="J2131">
        <v>6</v>
      </c>
      <c r="K2131">
        <v>12</v>
      </c>
      <c r="L2131">
        <v>51</v>
      </c>
      <c r="M2131" t="s">
        <v>38</v>
      </c>
      <c r="N2131" t="s">
        <v>35</v>
      </c>
      <c r="O2131">
        <v>23756</v>
      </c>
      <c r="P2131">
        <v>206</v>
      </c>
      <c r="Q2131" t="s">
        <v>34</v>
      </c>
      <c r="R2131" t="str">
        <f t="shared" si="34"/>
        <v>Yes</v>
      </c>
    </row>
    <row r="2132" spans="1:18" x14ac:dyDescent="0.35">
      <c r="A2132" s="1">
        <v>40433</v>
      </c>
      <c r="B2132">
        <v>0</v>
      </c>
      <c r="C2132" t="s">
        <v>73</v>
      </c>
      <c r="D2132" t="s">
        <v>29</v>
      </c>
      <c r="E2132" t="s">
        <v>30</v>
      </c>
      <c r="F2132">
        <v>143</v>
      </c>
      <c r="G2132" t="s">
        <v>33</v>
      </c>
      <c r="H2132" t="s">
        <v>30</v>
      </c>
      <c r="I2132">
        <v>143</v>
      </c>
      <c r="J2132">
        <v>6</v>
      </c>
      <c r="K2132">
        <v>2</v>
      </c>
      <c r="L2132">
        <v>54</v>
      </c>
      <c r="M2132" t="s">
        <v>38</v>
      </c>
      <c r="N2132" t="s">
        <v>75</v>
      </c>
      <c r="O2132">
        <v>22988</v>
      </c>
      <c r="P2132">
        <v>153</v>
      </c>
      <c r="Q2132" t="s">
        <v>29</v>
      </c>
      <c r="R2132" t="str">
        <f t="shared" si="34"/>
        <v>No</v>
      </c>
    </row>
    <row r="2133" spans="1:18" x14ac:dyDescent="0.35">
      <c r="A2133" s="1">
        <v>40433</v>
      </c>
      <c r="B2133">
        <v>0</v>
      </c>
      <c r="C2133" t="s">
        <v>73</v>
      </c>
      <c r="D2133" t="s">
        <v>43</v>
      </c>
      <c r="E2133" t="s">
        <v>30</v>
      </c>
      <c r="F2133">
        <v>143</v>
      </c>
      <c r="G2133" t="s">
        <v>36</v>
      </c>
      <c r="H2133" t="s">
        <v>30</v>
      </c>
      <c r="I2133">
        <v>144</v>
      </c>
      <c r="J2133">
        <v>2</v>
      </c>
      <c r="K2133">
        <v>6</v>
      </c>
      <c r="L2133">
        <v>51</v>
      </c>
      <c r="M2133" t="s">
        <v>38</v>
      </c>
      <c r="N2133" t="s">
        <v>57</v>
      </c>
      <c r="O2133">
        <v>24170</v>
      </c>
      <c r="P2133">
        <v>164</v>
      </c>
      <c r="Q2133" t="s">
        <v>36</v>
      </c>
      <c r="R2133" t="str">
        <f t="shared" si="34"/>
        <v>Yes</v>
      </c>
    </row>
    <row r="2134" spans="1:18" x14ac:dyDescent="0.35">
      <c r="A2134" s="1">
        <v>40433</v>
      </c>
      <c r="B2134">
        <v>0</v>
      </c>
      <c r="C2134" t="s">
        <v>73</v>
      </c>
      <c r="D2134" t="s">
        <v>58</v>
      </c>
      <c r="E2134" t="s">
        <v>30</v>
      </c>
      <c r="F2134">
        <v>143</v>
      </c>
      <c r="G2134" t="s">
        <v>41</v>
      </c>
      <c r="H2134" t="s">
        <v>30</v>
      </c>
      <c r="I2134">
        <v>142</v>
      </c>
      <c r="J2134">
        <v>5</v>
      </c>
      <c r="K2134">
        <v>3</v>
      </c>
      <c r="L2134">
        <v>54</v>
      </c>
      <c r="M2134" t="s">
        <v>38</v>
      </c>
      <c r="N2134" t="s">
        <v>42</v>
      </c>
      <c r="O2134">
        <v>19806</v>
      </c>
      <c r="P2134">
        <v>179</v>
      </c>
      <c r="Q2134" t="s">
        <v>58</v>
      </c>
      <c r="R2134" t="str">
        <f t="shared" si="34"/>
        <v>No</v>
      </c>
    </row>
    <row r="2135" spans="1:18" x14ac:dyDescent="0.35">
      <c r="A2135" s="1">
        <v>40433</v>
      </c>
      <c r="B2135">
        <v>0</v>
      </c>
      <c r="C2135" t="s">
        <v>73</v>
      </c>
      <c r="D2135" t="s">
        <v>59</v>
      </c>
      <c r="E2135" t="s">
        <v>30</v>
      </c>
      <c r="F2135">
        <v>143</v>
      </c>
      <c r="G2135" t="s">
        <v>47</v>
      </c>
      <c r="H2135" t="s">
        <v>30</v>
      </c>
      <c r="I2135">
        <v>143</v>
      </c>
      <c r="J2135">
        <v>1</v>
      </c>
      <c r="K2135">
        <v>4</v>
      </c>
      <c r="L2135">
        <v>51</v>
      </c>
      <c r="M2135" t="s">
        <v>38</v>
      </c>
      <c r="N2135" t="s">
        <v>48</v>
      </c>
      <c r="O2135">
        <v>42007</v>
      </c>
      <c r="P2135">
        <v>160</v>
      </c>
      <c r="Q2135" t="s">
        <v>47</v>
      </c>
      <c r="R2135" t="str">
        <f t="shared" si="34"/>
        <v>Yes</v>
      </c>
    </row>
    <row r="2136" spans="1:18" x14ac:dyDescent="0.35">
      <c r="A2136" s="1">
        <v>40433</v>
      </c>
      <c r="B2136">
        <v>0</v>
      </c>
      <c r="C2136" t="s">
        <v>73</v>
      </c>
      <c r="D2136" t="s">
        <v>44</v>
      </c>
      <c r="E2136" t="s">
        <v>30</v>
      </c>
      <c r="F2136">
        <v>142</v>
      </c>
      <c r="G2136" t="s">
        <v>46</v>
      </c>
      <c r="H2136" t="s">
        <v>30</v>
      </c>
      <c r="I2136">
        <v>143</v>
      </c>
      <c r="J2136">
        <v>4</v>
      </c>
      <c r="K2136">
        <v>5</v>
      </c>
      <c r="L2136">
        <v>51</v>
      </c>
      <c r="M2136" t="s">
        <v>38</v>
      </c>
      <c r="N2136" t="s">
        <v>78</v>
      </c>
      <c r="O2136">
        <v>14658</v>
      </c>
      <c r="P2136">
        <v>182</v>
      </c>
      <c r="Q2136" t="s">
        <v>46</v>
      </c>
      <c r="R2136" t="str">
        <f t="shared" si="34"/>
        <v>Yes</v>
      </c>
    </row>
    <row r="2137" spans="1:18" x14ac:dyDescent="0.35">
      <c r="A2137" s="1">
        <v>40433</v>
      </c>
      <c r="B2137">
        <v>0</v>
      </c>
      <c r="C2137" t="s">
        <v>73</v>
      </c>
      <c r="D2137" t="s">
        <v>52</v>
      </c>
      <c r="E2137" t="s">
        <v>18</v>
      </c>
      <c r="F2137">
        <v>141</v>
      </c>
      <c r="G2137" t="s">
        <v>50</v>
      </c>
      <c r="H2137" t="s">
        <v>18</v>
      </c>
      <c r="I2137">
        <v>144</v>
      </c>
      <c r="J2137">
        <v>7</v>
      </c>
      <c r="K2137">
        <v>3</v>
      </c>
      <c r="L2137">
        <v>54</v>
      </c>
      <c r="M2137" t="s">
        <v>20</v>
      </c>
      <c r="N2137" t="s">
        <v>51</v>
      </c>
      <c r="O2137">
        <v>27156</v>
      </c>
      <c r="P2137">
        <v>195</v>
      </c>
      <c r="Q2137" t="s">
        <v>52</v>
      </c>
      <c r="R2137" t="str">
        <f t="shared" si="34"/>
        <v>No</v>
      </c>
    </row>
    <row r="2138" spans="1:18" x14ac:dyDescent="0.35">
      <c r="A2138" s="1">
        <v>40433</v>
      </c>
      <c r="B2138">
        <v>0</v>
      </c>
      <c r="C2138" t="s">
        <v>73</v>
      </c>
      <c r="D2138" t="s">
        <v>23</v>
      </c>
      <c r="E2138" t="s">
        <v>18</v>
      </c>
      <c r="F2138">
        <v>142</v>
      </c>
      <c r="G2138" t="s">
        <v>53</v>
      </c>
      <c r="H2138" t="s">
        <v>18</v>
      </c>
      <c r="I2138">
        <v>143</v>
      </c>
      <c r="J2138">
        <v>3</v>
      </c>
      <c r="K2138">
        <v>1</v>
      </c>
      <c r="L2138">
        <v>54</v>
      </c>
      <c r="M2138" t="s">
        <v>38</v>
      </c>
      <c r="N2138" t="s">
        <v>54</v>
      </c>
      <c r="O2138">
        <v>26617</v>
      </c>
      <c r="P2138">
        <v>180</v>
      </c>
      <c r="Q2138" t="s">
        <v>23</v>
      </c>
      <c r="R2138" t="str">
        <f t="shared" si="34"/>
        <v>No</v>
      </c>
    </row>
    <row r="2139" spans="1:18" x14ac:dyDescent="0.35">
      <c r="A2139" s="1">
        <v>40433</v>
      </c>
      <c r="B2139">
        <v>0</v>
      </c>
      <c r="C2139" t="s">
        <v>73</v>
      </c>
      <c r="D2139" t="s">
        <v>60</v>
      </c>
      <c r="E2139" t="s">
        <v>18</v>
      </c>
      <c r="F2139">
        <v>143</v>
      </c>
      <c r="G2139" t="s">
        <v>63</v>
      </c>
      <c r="H2139" t="s">
        <v>18</v>
      </c>
      <c r="I2139">
        <v>143</v>
      </c>
      <c r="J2139">
        <v>2</v>
      </c>
      <c r="K2139">
        <v>4</v>
      </c>
      <c r="L2139">
        <v>53</v>
      </c>
      <c r="M2139" t="s">
        <v>38</v>
      </c>
      <c r="N2139" t="s">
        <v>64</v>
      </c>
      <c r="O2139">
        <v>41504</v>
      </c>
      <c r="P2139">
        <v>186</v>
      </c>
      <c r="Q2139" t="s">
        <v>63</v>
      </c>
      <c r="R2139" t="str">
        <f t="shared" si="34"/>
        <v>Yes</v>
      </c>
    </row>
    <row r="2140" spans="1:18" x14ac:dyDescent="0.35">
      <c r="A2140" s="1">
        <v>40433</v>
      </c>
      <c r="B2140">
        <v>0</v>
      </c>
      <c r="C2140" t="s">
        <v>73</v>
      </c>
      <c r="D2140" t="s">
        <v>22</v>
      </c>
      <c r="E2140" t="s">
        <v>18</v>
      </c>
      <c r="F2140">
        <v>144</v>
      </c>
      <c r="G2140" t="s">
        <v>66</v>
      </c>
      <c r="H2140" t="s">
        <v>18</v>
      </c>
      <c r="I2140">
        <v>143</v>
      </c>
      <c r="J2140">
        <v>4</v>
      </c>
      <c r="K2140">
        <v>7</v>
      </c>
      <c r="L2140">
        <v>51</v>
      </c>
      <c r="M2140" t="s">
        <v>38</v>
      </c>
      <c r="N2140" t="s">
        <v>67</v>
      </c>
      <c r="O2140">
        <v>30240</v>
      </c>
      <c r="P2140">
        <v>189</v>
      </c>
      <c r="Q2140" t="s">
        <v>66</v>
      </c>
      <c r="R2140" t="str">
        <f t="shared" si="34"/>
        <v>Yes</v>
      </c>
    </row>
    <row r="2141" spans="1:18" x14ac:dyDescent="0.35">
      <c r="A2141" s="1">
        <v>40433</v>
      </c>
      <c r="B2141">
        <v>0</v>
      </c>
      <c r="C2141" t="s">
        <v>73</v>
      </c>
      <c r="D2141" t="s">
        <v>49</v>
      </c>
      <c r="E2141" t="s">
        <v>18</v>
      </c>
      <c r="F2141">
        <v>143</v>
      </c>
      <c r="G2141" t="s">
        <v>68</v>
      </c>
      <c r="H2141" t="s">
        <v>18</v>
      </c>
      <c r="I2141">
        <v>142</v>
      </c>
      <c r="J2141">
        <v>0</v>
      </c>
      <c r="K2141">
        <v>2</v>
      </c>
      <c r="L2141">
        <v>51</v>
      </c>
      <c r="M2141" t="s">
        <v>38</v>
      </c>
      <c r="N2141" t="s">
        <v>69</v>
      </c>
      <c r="O2141">
        <v>37317</v>
      </c>
      <c r="P2141">
        <v>152</v>
      </c>
      <c r="Q2141" t="s">
        <v>68</v>
      </c>
      <c r="R2141" t="str">
        <f t="shared" si="34"/>
        <v>Yes</v>
      </c>
    </row>
    <row r="2142" spans="1:18" x14ac:dyDescent="0.35">
      <c r="A2142" s="1">
        <v>40433</v>
      </c>
      <c r="B2142">
        <v>0</v>
      </c>
      <c r="C2142" t="s">
        <v>73</v>
      </c>
      <c r="D2142" t="s">
        <v>25</v>
      </c>
      <c r="E2142" t="s">
        <v>18</v>
      </c>
      <c r="F2142">
        <v>144</v>
      </c>
      <c r="G2142" t="s">
        <v>19</v>
      </c>
      <c r="H2142" t="s">
        <v>18</v>
      </c>
      <c r="I2142">
        <v>143</v>
      </c>
      <c r="J2142">
        <v>3</v>
      </c>
      <c r="K2142">
        <v>0</v>
      </c>
      <c r="L2142">
        <v>54</v>
      </c>
      <c r="M2142" t="s">
        <v>38</v>
      </c>
      <c r="N2142" t="s">
        <v>21</v>
      </c>
      <c r="O2142">
        <v>31563</v>
      </c>
      <c r="P2142">
        <v>135</v>
      </c>
      <c r="Q2142" t="s">
        <v>25</v>
      </c>
      <c r="R2142" t="str">
        <f t="shared" si="34"/>
        <v>No</v>
      </c>
    </row>
    <row r="2143" spans="1:18" x14ac:dyDescent="0.35">
      <c r="A2143" s="1">
        <v>40433</v>
      </c>
      <c r="B2143">
        <v>0</v>
      </c>
      <c r="C2143" t="s">
        <v>73</v>
      </c>
      <c r="D2143" t="s">
        <v>70</v>
      </c>
      <c r="E2143" t="s">
        <v>18</v>
      </c>
      <c r="F2143">
        <v>144</v>
      </c>
      <c r="G2143" t="s">
        <v>62</v>
      </c>
      <c r="H2143" t="s">
        <v>18</v>
      </c>
      <c r="I2143">
        <v>142</v>
      </c>
      <c r="J2143">
        <v>6</v>
      </c>
      <c r="K2143">
        <v>1</v>
      </c>
      <c r="L2143">
        <v>54</v>
      </c>
      <c r="M2143" t="s">
        <v>38</v>
      </c>
      <c r="N2143" t="s">
        <v>81</v>
      </c>
      <c r="O2143">
        <v>33876</v>
      </c>
      <c r="P2143">
        <v>174</v>
      </c>
      <c r="Q2143" t="s">
        <v>70</v>
      </c>
      <c r="R2143" t="str">
        <f t="shared" si="34"/>
        <v>No</v>
      </c>
    </row>
    <row r="2144" spans="1:18" x14ac:dyDescent="0.35">
      <c r="A2144" s="1">
        <v>40433</v>
      </c>
      <c r="B2144">
        <v>0</v>
      </c>
      <c r="C2144" t="s">
        <v>73</v>
      </c>
      <c r="D2144" t="s">
        <v>17</v>
      </c>
      <c r="E2144" t="s">
        <v>18</v>
      </c>
      <c r="F2144">
        <v>142</v>
      </c>
      <c r="G2144" t="s">
        <v>26</v>
      </c>
      <c r="H2144" t="s">
        <v>18</v>
      </c>
      <c r="I2144">
        <v>143</v>
      </c>
      <c r="J2144">
        <v>6</v>
      </c>
      <c r="K2144">
        <v>5</v>
      </c>
      <c r="L2144">
        <v>54</v>
      </c>
      <c r="M2144" t="s">
        <v>38</v>
      </c>
      <c r="N2144" t="s">
        <v>27</v>
      </c>
      <c r="O2144">
        <v>16788</v>
      </c>
      <c r="P2144">
        <v>221</v>
      </c>
      <c r="Q2144" t="s">
        <v>17</v>
      </c>
      <c r="R2144" t="str">
        <f t="shared" si="34"/>
        <v>No</v>
      </c>
    </row>
    <row r="2145" spans="1:18" x14ac:dyDescent="0.35">
      <c r="A2145" s="1">
        <v>40434</v>
      </c>
      <c r="B2145">
        <v>0</v>
      </c>
      <c r="C2145" t="s">
        <v>74</v>
      </c>
      <c r="D2145" t="s">
        <v>46</v>
      </c>
      <c r="E2145" t="s">
        <v>30</v>
      </c>
      <c r="F2145">
        <v>144</v>
      </c>
      <c r="G2145" t="s">
        <v>43</v>
      </c>
      <c r="H2145" t="s">
        <v>30</v>
      </c>
      <c r="I2145">
        <v>144</v>
      </c>
      <c r="J2145">
        <v>3</v>
      </c>
      <c r="K2145">
        <v>4</v>
      </c>
      <c r="L2145">
        <v>64</v>
      </c>
      <c r="M2145" t="s">
        <v>20</v>
      </c>
      <c r="N2145" t="s">
        <v>56</v>
      </c>
      <c r="O2145">
        <v>9882</v>
      </c>
      <c r="P2145">
        <v>207</v>
      </c>
      <c r="Q2145" t="s">
        <v>43</v>
      </c>
      <c r="R2145" t="str">
        <f t="shared" si="34"/>
        <v>Yes</v>
      </c>
    </row>
    <row r="2146" spans="1:18" x14ac:dyDescent="0.35">
      <c r="A2146" s="1">
        <v>40434</v>
      </c>
      <c r="B2146">
        <v>0</v>
      </c>
      <c r="C2146" t="s">
        <v>74</v>
      </c>
      <c r="D2146" t="s">
        <v>41</v>
      </c>
      <c r="E2146" t="s">
        <v>30</v>
      </c>
      <c r="F2146">
        <v>143</v>
      </c>
      <c r="G2146" t="s">
        <v>37</v>
      </c>
      <c r="H2146" t="s">
        <v>30</v>
      </c>
      <c r="I2146">
        <v>143</v>
      </c>
      <c r="J2146">
        <v>3</v>
      </c>
      <c r="K2146">
        <v>1</v>
      </c>
      <c r="L2146">
        <v>54</v>
      </c>
      <c r="M2146" t="s">
        <v>38</v>
      </c>
      <c r="N2146" t="s">
        <v>39</v>
      </c>
      <c r="O2146">
        <v>20695</v>
      </c>
      <c r="P2146">
        <v>163</v>
      </c>
      <c r="Q2146" t="s">
        <v>41</v>
      </c>
      <c r="R2146" t="str">
        <f t="shared" si="34"/>
        <v>No</v>
      </c>
    </row>
    <row r="2147" spans="1:18" x14ac:dyDescent="0.35">
      <c r="A2147" s="1">
        <v>40434</v>
      </c>
      <c r="B2147">
        <v>0</v>
      </c>
      <c r="C2147" t="s">
        <v>74</v>
      </c>
      <c r="D2147" t="s">
        <v>58</v>
      </c>
      <c r="E2147" t="s">
        <v>30</v>
      </c>
      <c r="F2147">
        <v>144</v>
      </c>
      <c r="G2147" t="s">
        <v>40</v>
      </c>
      <c r="H2147" t="s">
        <v>30</v>
      </c>
      <c r="I2147">
        <v>144</v>
      </c>
      <c r="J2147">
        <v>5</v>
      </c>
      <c r="K2147">
        <v>1</v>
      </c>
      <c r="L2147">
        <v>54</v>
      </c>
      <c r="M2147" t="s">
        <v>20</v>
      </c>
      <c r="N2147" t="s">
        <v>77</v>
      </c>
      <c r="O2147">
        <v>19063</v>
      </c>
      <c r="P2147">
        <v>143</v>
      </c>
      <c r="Q2147" t="s">
        <v>58</v>
      </c>
      <c r="R2147" t="str">
        <f t="shared" si="34"/>
        <v>No</v>
      </c>
    </row>
    <row r="2148" spans="1:18" x14ac:dyDescent="0.35">
      <c r="A2148" s="1">
        <v>40434</v>
      </c>
      <c r="B2148">
        <v>0</v>
      </c>
      <c r="C2148" t="s">
        <v>74</v>
      </c>
      <c r="D2148" t="s">
        <v>59</v>
      </c>
      <c r="E2148" t="s">
        <v>30</v>
      </c>
      <c r="F2148">
        <v>144</v>
      </c>
      <c r="G2148" t="s">
        <v>44</v>
      </c>
      <c r="H2148" t="s">
        <v>30</v>
      </c>
      <c r="I2148">
        <v>143</v>
      </c>
      <c r="J2148">
        <v>0</v>
      </c>
      <c r="K2148">
        <v>1</v>
      </c>
      <c r="L2148">
        <v>63</v>
      </c>
      <c r="M2148" t="s">
        <v>20</v>
      </c>
      <c r="N2148" t="s">
        <v>45</v>
      </c>
      <c r="O2148">
        <v>26907</v>
      </c>
      <c r="P2148">
        <v>209</v>
      </c>
      <c r="Q2148" t="s">
        <v>44</v>
      </c>
      <c r="R2148" t="str">
        <f t="shared" si="34"/>
        <v>Yes</v>
      </c>
    </row>
    <row r="2149" spans="1:18" x14ac:dyDescent="0.35">
      <c r="A2149" s="1">
        <v>40434</v>
      </c>
      <c r="B2149">
        <v>0</v>
      </c>
      <c r="C2149" t="s">
        <v>74</v>
      </c>
      <c r="D2149" t="s">
        <v>26</v>
      </c>
      <c r="E2149" t="s">
        <v>18</v>
      </c>
      <c r="F2149">
        <v>144</v>
      </c>
      <c r="G2149" t="s">
        <v>50</v>
      </c>
      <c r="H2149" t="s">
        <v>18</v>
      </c>
      <c r="I2149">
        <v>145</v>
      </c>
      <c r="J2149">
        <v>0</v>
      </c>
      <c r="K2149">
        <v>4</v>
      </c>
      <c r="L2149">
        <v>51</v>
      </c>
      <c r="M2149" t="s">
        <v>20</v>
      </c>
      <c r="N2149" t="s">
        <v>51</v>
      </c>
      <c r="O2149">
        <v>18647</v>
      </c>
      <c r="P2149">
        <v>133</v>
      </c>
      <c r="Q2149" t="s">
        <v>50</v>
      </c>
      <c r="R2149" t="str">
        <f t="shared" si="34"/>
        <v>Yes</v>
      </c>
    </row>
    <row r="2150" spans="1:18" x14ac:dyDescent="0.35">
      <c r="A2150" s="1">
        <v>40434</v>
      </c>
      <c r="B2150">
        <v>0</v>
      </c>
      <c r="C2150" t="s">
        <v>74</v>
      </c>
      <c r="D2150" t="s">
        <v>60</v>
      </c>
      <c r="E2150" t="s">
        <v>18</v>
      </c>
      <c r="F2150">
        <v>144</v>
      </c>
      <c r="G2150" t="s">
        <v>53</v>
      </c>
      <c r="H2150" t="s">
        <v>18</v>
      </c>
      <c r="I2150">
        <v>144</v>
      </c>
      <c r="J2150">
        <v>2</v>
      </c>
      <c r="K2150">
        <v>7</v>
      </c>
      <c r="L2150">
        <v>51</v>
      </c>
      <c r="M2150" t="s">
        <v>20</v>
      </c>
      <c r="N2150" t="s">
        <v>54</v>
      </c>
      <c r="O2150">
        <v>12060</v>
      </c>
      <c r="P2150">
        <v>185</v>
      </c>
      <c r="Q2150" t="s">
        <v>53</v>
      </c>
      <c r="R2150" t="str">
        <f t="shared" si="34"/>
        <v>Yes</v>
      </c>
    </row>
    <row r="2151" spans="1:18" x14ac:dyDescent="0.35">
      <c r="A2151" s="1">
        <v>40434</v>
      </c>
      <c r="B2151">
        <v>0</v>
      </c>
      <c r="C2151" t="s">
        <v>74</v>
      </c>
      <c r="D2151" t="s">
        <v>62</v>
      </c>
      <c r="E2151" t="s">
        <v>18</v>
      </c>
      <c r="F2151">
        <v>143</v>
      </c>
      <c r="G2151" t="s">
        <v>63</v>
      </c>
      <c r="H2151" t="s">
        <v>18</v>
      </c>
      <c r="I2151">
        <v>144</v>
      </c>
      <c r="J2151">
        <v>6</v>
      </c>
      <c r="K2151">
        <v>4</v>
      </c>
      <c r="L2151">
        <v>54</v>
      </c>
      <c r="M2151" t="s">
        <v>20</v>
      </c>
      <c r="N2151" t="s">
        <v>64</v>
      </c>
      <c r="O2151">
        <v>34089</v>
      </c>
      <c r="P2151">
        <v>202</v>
      </c>
      <c r="Q2151" t="s">
        <v>62</v>
      </c>
      <c r="R2151" t="str">
        <f t="shared" si="34"/>
        <v>No</v>
      </c>
    </row>
    <row r="2152" spans="1:18" x14ac:dyDescent="0.35">
      <c r="A2152" s="1">
        <v>40434</v>
      </c>
      <c r="B2152">
        <v>0</v>
      </c>
      <c r="C2152" t="s">
        <v>74</v>
      </c>
      <c r="D2152" t="s">
        <v>25</v>
      </c>
      <c r="E2152" t="s">
        <v>18</v>
      </c>
      <c r="F2152">
        <v>145</v>
      </c>
      <c r="G2152" t="s">
        <v>17</v>
      </c>
      <c r="H2152" t="s">
        <v>18</v>
      </c>
      <c r="I2152">
        <v>143</v>
      </c>
      <c r="J2152">
        <v>11</v>
      </c>
      <c r="K2152">
        <v>4</v>
      </c>
      <c r="L2152">
        <v>54</v>
      </c>
      <c r="M2152" t="s">
        <v>20</v>
      </c>
      <c r="N2152" t="s">
        <v>65</v>
      </c>
      <c r="O2152">
        <v>20616</v>
      </c>
      <c r="P2152">
        <v>178</v>
      </c>
      <c r="Q2152" t="s">
        <v>25</v>
      </c>
      <c r="R2152" t="str">
        <f t="shared" si="34"/>
        <v>No</v>
      </c>
    </row>
    <row r="2153" spans="1:18" x14ac:dyDescent="0.35">
      <c r="A2153" s="1">
        <v>40434</v>
      </c>
      <c r="B2153">
        <v>0</v>
      </c>
      <c r="C2153" t="s">
        <v>74</v>
      </c>
      <c r="D2153" t="s">
        <v>68</v>
      </c>
      <c r="E2153" t="s">
        <v>18</v>
      </c>
      <c r="F2153">
        <v>143</v>
      </c>
      <c r="G2153" t="s">
        <v>66</v>
      </c>
      <c r="H2153" t="s">
        <v>18</v>
      </c>
      <c r="I2153">
        <v>144</v>
      </c>
      <c r="J2153">
        <v>2</v>
      </c>
      <c r="K2153">
        <v>4</v>
      </c>
      <c r="L2153">
        <v>51</v>
      </c>
      <c r="M2153" t="s">
        <v>20</v>
      </c>
      <c r="N2153" t="s">
        <v>67</v>
      </c>
      <c r="O2153">
        <v>31342</v>
      </c>
      <c r="P2153">
        <v>186</v>
      </c>
      <c r="Q2153" t="s">
        <v>66</v>
      </c>
      <c r="R2153" t="str">
        <f t="shared" si="34"/>
        <v>Yes</v>
      </c>
    </row>
    <row r="2154" spans="1:18" x14ac:dyDescent="0.35">
      <c r="A2154" s="1">
        <v>40434</v>
      </c>
      <c r="B2154">
        <v>0</v>
      </c>
      <c r="C2154" t="s">
        <v>74</v>
      </c>
      <c r="D2154" t="s">
        <v>23</v>
      </c>
      <c r="E2154" t="s">
        <v>18</v>
      </c>
      <c r="F2154">
        <v>143</v>
      </c>
      <c r="G2154" t="s">
        <v>19</v>
      </c>
      <c r="H2154" t="s">
        <v>18</v>
      </c>
      <c r="I2154">
        <v>144</v>
      </c>
      <c r="J2154">
        <v>0</v>
      </c>
      <c r="K2154">
        <v>1</v>
      </c>
      <c r="L2154">
        <v>58</v>
      </c>
      <c r="M2154" t="s">
        <v>20</v>
      </c>
      <c r="N2154" t="s">
        <v>21</v>
      </c>
      <c r="O2154">
        <v>24384</v>
      </c>
      <c r="P2154">
        <v>171</v>
      </c>
      <c r="Q2154" t="s">
        <v>19</v>
      </c>
      <c r="R2154" t="str">
        <f t="shared" si="34"/>
        <v>Yes</v>
      </c>
    </row>
    <row r="2155" spans="1:18" x14ac:dyDescent="0.35">
      <c r="A2155" s="1">
        <v>40434</v>
      </c>
      <c r="B2155">
        <v>0</v>
      </c>
      <c r="C2155" t="s">
        <v>74</v>
      </c>
      <c r="D2155" t="s">
        <v>49</v>
      </c>
      <c r="E2155" t="s">
        <v>18</v>
      </c>
      <c r="F2155">
        <v>144</v>
      </c>
      <c r="G2155" t="s">
        <v>52</v>
      </c>
      <c r="H2155" t="s">
        <v>18</v>
      </c>
      <c r="I2155">
        <v>142</v>
      </c>
      <c r="J2155">
        <v>5</v>
      </c>
      <c r="K2155">
        <v>1</v>
      </c>
      <c r="L2155">
        <v>54</v>
      </c>
      <c r="M2155" t="s">
        <v>20</v>
      </c>
      <c r="N2155" t="s">
        <v>82</v>
      </c>
      <c r="O2155">
        <v>40720</v>
      </c>
      <c r="P2155">
        <v>186</v>
      </c>
      <c r="Q2155" t="s">
        <v>49</v>
      </c>
      <c r="R2155" t="str">
        <f t="shared" si="34"/>
        <v>No</v>
      </c>
    </row>
    <row r="2156" spans="1:18" x14ac:dyDescent="0.35">
      <c r="A2156" s="1">
        <v>40435</v>
      </c>
      <c r="B2156">
        <v>0</v>
      </c>
      <c r="C2156" t="s">
        <v>83</v>
      </c>
      <c r="D2156" t="s">
        <v>46</v>
      </c>
      <c r="E2156" t="s">
        <v>30</v>
      </c>
      <c r="F2156">
        <v>145</v>
      </c>
      <c r="G2156" t="s">
        <v>43</v>
      </c>
      <c r="H2156" t="s">
        <v>30</v>
      </c>
      <c r="I2156">
        <v>145</v>
      </c>
      <c r="J2156">
        <v>3</v>
      </c>
      <c r="K2156">
        <v>11</v>
      </c>
      <c r="L2156">
        <v>51</v>
      </c>
      <c r="M2156" t="s">
        <v>20</v>
      </c>
      <c r="N2156" t="s">
        <v>56</v>
      </c>
      <c r="O2156">
        <v>16589</v>
      </c>
      <c r="P2156">
        <v>197</v>
      </c>
      <c r="Q2156" t="s">
        <v>43</v>
      </c>
      <c r="R2156" t="str">
        <f t="shared" si="34"/>
        <v>Yes</v>
      </c>
    </row>
    <row r="2157" spans="1:18" x14ac:dyDescent="0.35">
      <c r="A2157" s="1">
        <v>40435</v>
      </c>
      <c r="B2157">
        <v>0</v>
      </c>
      <c r="C2157" t="s">
        <v>83</v>
      </c>
      <c r="D2157" t="s">
        <v>29</v>
      </c>
      <c r="E2157" t="s">
        <v>30</v>
      </c>
      <c r="F2157">
        <v>144</v>
      </c>
      <c r="G2157" t="s">
        <v>34</v>
      </c>
      <c r="H2157" t="s">
        <v>30</v>
      </c>
      <c r="I2157">
        <v>144</v>
      </c>
      <c r="J2157">
        <v>9</v>
      </c>
      <c r="K2157">
        <v>3</v>
      </c>
      <c r="L2157">
        <v>54</v>
      </c>
      <c r="M2157" t="s">
        <v>20</v>
      </c>
      <c r="N2157" t="s">
        <v>35</v>
      </c>
      <c r="O2157">
        <v>29223</v>
      </c>
      <c r="P2157">
        <v>180</v>
      </c>
      <c r="Q2157" t="s">
        <v>29</v>
      </c>
      <c r="R2157" t="str">
        <f t="shared" si="34"/>
        <v>No</v>
      </c>
    </row>
    <row r="2158" spans="1:18" x14ac:dyDescent="0.35">
      <c r="A2158" s="1">
        <v>40435</v>
      </c>
      <c r="B2158">
        <v>0</v>
      </c>
      <c r="C2158" t="s">
        <v>83</v>
      </c>
      <c r="D2158" t="s">
        <v>31</v>
      </c>
      <c r="E2158" t="s">
        <v>30</v>
      </c>
      <c r="F2158">
        <v>144</v>
      </c>
      <c r="G2158" t="s">
        <v>33</v>
      </c>
      <c r="H2158" t="s">
        <v>30</v>
      </c>
      <c r="I2158">
        <v>144</v>
      </c>
      <c r="J2158">
        <v>3</v>
      </c>
      <c r="K2158">
        <v>4</v>
      </c>
      <c r="L2158">
        <v>51</v>
      </c>
      <c r="M2158" t="s">
        <v>20</v>
      </c>
      <c r="N2158" t="s">
        <v>75</v>
      </c>
      <c r="O2158">
        <v>15734</v>
      </c>
      <c r="P2158">
        <v>163</v>
      </c>
      <c r="Q2158" t="s">
        <v>33</v>
      </c>
      <c r="R2158" t="str">
        <f t="shared" si="34"/>
        <v>Yes</v>
      </c>
    </row>
    <row r="2159" spans="1:18" x14ac:dyDescent="0.35">
      <c r="A2159" s="1">
        <v>40435</v>
      </c>
      <c r="B2159">
        <v>0</v>
      </c>
      <c r="C2159" t="s">
        <v>83</v>
      </c>
      <c r="D2159" t="s">
        <v>41</v>
      </c>
      <c r="E2159" t="s">
        <v>30</v>
      </c>
      <c r="F2159">
        <v>144</v>
      </c>
      <c r="G2159" t="s">
        <v>37</v>
      </c>
      <c r="H2159" t="s">
        <v>30</v>
      </c>
      <c r="I2159">
        <v>144</v>
      </c>
      <c r="J2159">
        <v>3</v>
      </c>
      <c r="K2159">
        <v>11</v>
      </c>
      <c r="L2159">
        <v>51</v>
      </c>
      <c r="M2159" t="s">
        <v>20</v>
      </c>
      <c r="N2159" t="s">
        <v>39</v>
      </c>
      <c r="O2159">
        <v>12852</v>
      </c>
      <c r="P2159">
        <v>158</v>
      </c>
      <c r="Q2159" t="s">
        <v>37</v>
      </c>
      <c r="R2159" t="str">
        <f t="shared" si="34"/>
        <v>Yes</v>
      </c>
    </row>
    <row r="2160" spans="1:18" x14ac:dyDescent="0.35">
      <c r="A2160" s="1">
        <v>40435</v>
      </c>
      <c r="B2160">
        <v>0</v>
      </c>
      <c r="C2160" t="s">
        <v>83</v>
      </c>
      <c r="D2160" t="s">
        <v>58</v>
      </c>
      <c r="E2160" t="s">
        <v>30</v>
      </c>
      <c r="F2160">
        <v>145</v>
      </c>
      <c r="G2160" t="s">
        <v>40</v>
      </c>
      <c r="H2160" t="s">
        <v>30</v>
      </c>
      <c r="I2160">
        <v>145</v>
      </c>
      <c r="J2160">
        <v>9</v>
      </c>
      <c r="K2160">
        <v>6</v>
      </c>
      <c r="L2160">
        <v>54</v>
      </c>
      <c r="M2160" t="s">
        <v>20</v>
      </c>
      <c r="N2160" t="s">
        <v>77</v>
      </c>
      <c r="O2160">
        <v>18381</v>
      </c>
      <c r="P2160">
        <v>198</v>
      </c>
      <c r="Q2160" t="s">
        <v>58</v>
      </c>
      <c r="R2160" t="str">
        <f t="shared" si="34"/>
        <v>No</v>
      </c>
    </row>
    <row r="2161" spans="1:18" x14ac:dyDescent="0.35">
      <c r="A2161" s="1">
        <v>40435</v>
      </c>
      <c r="B2161">
        <v>0</v>
      </c>
      <c r="C2161" t="s">
        <v>83</v>
      </c>
      <c r="D2161" t="s">
        <v>59</v>
      </c>
      <c r="E2161" t="s">
        <v>30</v>
      </c>
      <c r="F2161">
        <v>145</v>
      </c>
      <c r="G2161" t="s">
        <v>44</v>
      </c>
      <c r="H2161" t="s">
        <v>30</v>
      </c>
      <c r="I2161">
        <v>144</v>
      </c>
      <c r="J2161">
        <v>8</v>
      </c>
      <c r="K2161">
        <v>7</v>
      </c>
      <c r="L2161">
        <v>60</v>
      </c>
      <c r="M2161" t="s">
        <v>20</v>
      </c>
      <c r="N2161" t="s">
        <v>45</v>
      </c>
      <c r="O2161">
        <v>28713</v>
      </c>
      <c r="P2161">
        <v>223</v>
      </c>
      <c r="Q2161" t="s">
        <v>59</v>
      </c>
      <c r="R2161" t="str">
        <f t="shared" si="34"/>
        <v>No</v>
      </c>
    </row>
    <row r="2162" spans="1:18" x14ac:dyDescent="0.35">
      <c r="A2162" s="1">
        <v>40435</v>
      </c>
      <c r="B2162">
        <v>0</v>
      </c>
      <c r="C2162" t="s">
        <v>83</v>
      </c>
      <c r="D2162" t="s">
        <v>36</v>
      </c>
      <c r="E2162" t="s">
        <v>30</v>
      </c>
      <c r="F2162">
        <v>145</v>
      </c>
      <c r="G2162" t="s">
        <v>47</v>
      </c>
      <c r="H2162" t="s">
        <v>30</v>
      </c>
      <c r="I2162">
        <v>144</v>
      </c>
      <c r="J2162">
        <v>4</v>
      </c>
      <c r="K2162">
        <v>11</v>
      </c>
      <c r="L2162">
        <v>51</v>
      </c>
      <c r="M2162" t="s">
        <v>20</v>
      </c>
      <c r="N2162" t="s">
        <v>48</v>
      </c>
      <c r="O2162">
        <v>24452</v>
      </c>
      <c r="P2162">
        <v>191</v>
      </c>
      <c r="Q2162" t="s">
        <v>47</v>
      </c>
      <c r="R2162" t="str">
        <f t="shared" si="34"/>
        <v>Yes</v>
      </c>
    </row>
    <row r="2163" spans="1:18" x14ac:dyDescent="0.35">
      <c r="A2163" s="1">
        <v>40435</v>
      </c>
      <c r="B2163">
        <v>0</v>
      </c>
      <c r="C2163" t="s">
        <v>83</v>
      </c>
      <c r="D2163" t="s">
        <v>26</v>
      </c>
      <c r="E2163" t="s">
        <v>18</v>
      </c>
      <c r="F2163">
        <v>145</v>
      </c>
      <c r="G2163" t="s">
        <v>50</v>
      </c>
      <c r="H2163" t="s">
        <v>18</v>
      </c>
      <c r="I2163">
        <v>146</v>
      </c>
      <c r="J2163">
        <v>6</v>
      </c>
      <c r="K2163">
        <v>0</v>
      </c>
      <c r="L2163">
        <v>54</v>
      </c>
      <c r="M2163" t="s">
        <v>20</v>
      </c>
      <c r="N2163" t="s">
        <v>51</v>
      </c>
      <c r="O2163">
        <v>26954</v>
      </c>
      <c r="P2163">
        <v>159</v>
      </c>
      <c r="Q2163" t="s">
        <v>26</v>
      </c>
      <c r="R2163" t="str">
        <f t="shared" si="34"/>
        <v>No</v>
      </c>
    </row>
    <row r="2164" spans="1:18" x14ac:dyDescent="0.35">
      <c r="A2164" s="1">
        <v>40435</v>
      </c>
      <c r="B2164">
        <v>0</v>
      </c>
      <c r="C2164" t="s">
        <v>83</v>
      </c>
      <c r="D2164" t="s">
        <v>60</v>
      </c>
      <c r="E2164" t="s">
        <v>18</v>
      </c>
      <c r="F2164">
        <v>145</v>
      </c>
      <c r="G2164" t="s">
        <v>53</v>
      </c>
      <c r="H2164" t="s">
        <v>18</v>
      </c>
      <c r="I2164">
        <v>145</v>
      </c>
      <c r="J2164">
        <v>3</v>
      </c>
      <c r="K2164">
        <v>1</v>
      </c>
      <c r="L2164">
        <v>54</v>
      </c>
      <c r="M2164" t="s">
        <v>20</v>
      </c>
      <c r="N2164" t="s">
        <v>54</v>
      </c>
      <c r="O2164">
        <v>16973</v>
      </c>
      <c r="P2164">
        <v>158</v>
      </c>
      <c r="Q2164" t="s">
        <v>60</v>
      </c>
      <c r="R2164" t="str">
        <f t="shared" si="34"/>
        <v>No</v>
      </c>
    </row>
    <row r="2165" spans="1:18" x14ac:dyDescent="0.35">
      <c r="A2165" s="1">
        <v>40435</v>
      </c>
      <c r="B2165">
        <v>0</v>
      </c>
      <c r="C2165" t="s">
        <v>83</v>
      </c>
      <c r="D2165" t="s">
        <v>62</v>
      </c>
      <c r="E2165" t="s">
        <v>18</v>
      </c>
      <c r="F2165">
        <v>144</v>
      </c>
      <c r="G2165" t="s">
        <v>63</v>
      </c>
      <c r="H2165" t="s">
        <v>18</v>
      </c>
      <c r="I2165">
        <v>145</v>
      </c>
      <c r="J2165">
        <v>7</v>
      </c>
      <c r="K2165">
        <v>6</v>
      </c>
      <c r="L2165">
        <v>54</v>
      </c>
      <c r="M2165" t="s">
        <v>20</v>
      </c>
      <c r="N2165" t="s">
        <v>64</v>
      </c>
      <c r="O2165">
        <v>40532</v>
      </c>
      <c r="P2165">
        <v>184</v>
      </c>
      <c r="Q2165" t="s">
        <v>62</v>
      </c>
      <c r="R2165" t="str">
        <f t="shared" si="34"/>
        <v>No</v>
      </c>
    </row>
    <row r="2166" spans="1:18" x14ac:dyDescent="0.35">
      <c r="A2166" s="1">
        <v>40435</v>
      </c>
      <c r="B2166">
        <v>0</v>
      </c>
      <c r="C2166" t="s">
        <v>83</v>
      </c>
      <c r="D2166" t="s">
        <v>25</v>
      </c>
      <c r="E2166" t="s">
        <v>18</v>
      </c>
      <c r="F2166">
        <v>146</v>
      </c>
      <c r="G2166" t="s">
        <v>17</v>
      </c>
      <c r="H2166" t="s">
        <v>18</v>
      </c>
      <c r="I2166">
        <v>144</v>
      </c>
      <c r="J2166">
        <v>2</v>
      </c>
      <c r="K2166">
        <v>1</v>
      </c>
      <c r="L2166">
        <v>54</v>
      </c>
      <c r="M2166" t="s">
        <v>20</v>
      </c>
      <c r="N2166" t="s">
        <v>65</v>
      </c>
      <c r="O2166">
        <v>18234</v>
      </c>
      <c r="P2166">
        <v>183</v>
      </c>
      <c r="Q2166" t="s">
        <v>25</v>
      </c>
      <c r="R2166" t="str">
        <f t="shared" si="34"/>
        <v>No</v>
      </c>
    </row>
    <row r="2167" spans="1:18" x14ac:dyDescent="0.35">
      <c r="A2167" s="1">
        <v>40435</v>
      </c>
      <c r="B2167">
        <v>0</v>
      </c>
      <c r="C2167" t="s">
        <v>83</v>
      </c>
      <c r="D2167" t="s">
        <v>68</v>
      </c>
      <c r="E2167" t="s">
        <v>18</v>
      </c>
      <c r="F2167">
        <v>144</v>
      </c>
      <c r="G2167" t="s">
        <v>66</v>
      </c>
      <c r="H2167" t="s">
        <v>18</v>
      </c>
      <c r="I2167">
        <v>145</v>
      </c>
      <c r="J2167">
        <v>2</v>
      </c>
      <c r="K2167">
        <v>3</v>
      </c>
      <c r="L2167">
        <v>51</v>
      </c>
      <c r="M2167" t="s">
        <v>20</v>
      </c>
      <c r="N2167" t="s">
        <v>67</v>
      </c>
      <c r="O2167">
        <v>33878</v>
      </c>
      <c r="P2167">
        <v>155</v>
      </c>
      <c r="Q2167" t="s">
        <v>66</v>
      </c>
      <c r="R2167" t="str">
        <f t="shared" si="34"/>
        <v>Yes</v>
      </c>
    </row>
    <row r="2168" spans="1:18" x14ac:dyDescent="0.35">
      <c r="A2168" s="1">
        <v>40435</v>
      </c>
      <c r="B2168">
        <v>0</v>
      </c>
      <c r="C2168" t="s">
        <v>83</v>
      </c>
      <c r="D2168" t="s">
        <v>23</v>
      </c>
      <c r="E2168" t="s">
        <v>18</v>
      </c>
      <c r="F2168">
        <v>144</v>
      </c>
      <c r="G2168" t="s">
        <v>19</v>
      </c>
      <c r="H2168" t="s">
        <v>18</v>
      </c>
      <c r="I2168">
        <v>145</v>
      </c>
      <c r="J2168">
        <v>1</v>
      </c>
      <c r="K2168">
        <v>9</v>
      </c>
      <c r="L2168">
        <v>51</v>
      </c>
      <c r="M2168" t="s">
        <v>20</v>
      </c>
      <c r="N2168" t="s">
        <v>21</v>
      </c>
      <c r="O2168">
        <v>27438</v>
      </c>
      <c r="P2168">
        <v>137</v>
      </c>
      <c r="Q2168" t="s">
        <v>19</v>
      </c>
      <c r="R2168" t="str">
        <f t="shared" si="34"/>
        <v>Yes</v>
      </c>
    </row>
    <row r="2169" spans="1:18" x14ac:dyDescent="0.35">
      <c r="A2169" s="1">
        <v>40435</v>
      </c>
      <c r="B2169">
        <v>0</v>
      </c>
      <c r="C2169" t="s">
        <v>83</v>
      </c>
      <c r="D2169" t="s">
        <v>22</v>
      </c>
      <c r="E2169" t="s">
        <v>18</v>
      </c>
      <c r="F2169">
        <v>145</v>
      </c>
      <c r="G2169" t="s">
        <v>70</v>
      </c>
      <c r="H2169" t="s">
        <v>18</v>
      </c>
      <c r="I2169">
        <v>145</v>
      </c>
      <c r="J2169">
        <v>1</v>
      </c>
      <c r="K2169">
        <v>0</v>
      </c>
      <c r="L2169">
        <v>54</v>
      </c>
      <c r="M2169" t="s">
        <v>20</v>
      </c>
      <c r="N2169" t="s">
        <v>71</v>
      </c>
      <c r="O2169">
        <v>36076</v>
      </c>
      <c r="P2169">
        <v>137</v>
      </c>
      <c r="Q2169" t="s">
        <v>22</v>
      </c>
      <c r="R2169" t="str">
        <f t="shared" si="34"/>
        <v>No</v>
      </c>
    </row>
    <row r="2170" spans="1:18" x14ac:dyDescent="0.35">
      <c r="A2170" s="1">
        <v>40435</v>
      </c>
      <c r="B2170">
        <v>0</v>
      </c>
      <c r="C2170" t="s">
        <v>83</v>
      </c>
      <c r="D2170" t="s">
        <v>49</v>
      </c>
      <c r="E2170" t="s">
        <v>18</v>
      </c>
      <c r="F2170">
        <v>145</v>
      </c>
      <c r="G2170" t="s">
        <v>52</v>
      </c>
      <c r="H2170" t="s">
        <v>18</v>
      </c>
      <c r="I2170">
        <v>143</v>
      </c>
      <c r="J2170">
        <v>7</v>
      </c>
      <c r="K2170">
        <v>2</v>
      </c>
      <c r="L2170">
        <v>54</v>
      </c>
      <c r="M2170" t="s">
        <v>20</v>
      </c>
      <c r="N2170" t="s">
        <v>82</v>
      </c>
      <c r="O2170">
        <v>40509</v>
      </c>
      <c r="P2170">
        <v>142</v>
      </c>
      <c r="Q2170" t="s">
        <v>49</v>
      </c>
      <c r="R2170" t="str">
        <f t="shared" si="34"/>
        <v>No</v>
      </c>
    </row>
    <row r="2171" spans="1:18" x14ac:dyDescent="0.35">
      <c r="A2171" s="1">
        <v>40436</v>
      </c>
      <c r="B2171">
        <v>0</v>
      </c>
      <c r="C2171" t="s">
        <v>16</v>
      </c>
      <c r="D2171" t="s">
        <v>46</v>
      </c>
      <c r="E2171" t="s">
        <v>30</v>
      </c>
      <c r="F2171">
        <v>146</v>
      </c>
      <c r="G2171" t="s">
        <v>43</v>
      </c>
      <c r="H2171" t="s">
        <v>30</v>
      </c>
      <c r="I2171">
        <v>146</v>
      </c>
      <c r="J2171">
        <v>1</v>
      </c>
      <c r="K2171">
        <v>3</v>
      </c>
      <c r="L2171">
        <v>51</v>
      </c>
      <c r="M2171" t="s">
        <v>20</v>
      </c>
      <c r="N2171" t="s">
        <v>56</v>
      </c>
      <c r="O2171">
        <v>13651</v>
      </c>
      <c r="P2171">
        <v>115</v>
      </c>
      <c r="Q2171" t="s">
        <v>43</v>
      </c>
      <c r="R2171" t="str">
        <f t="shared" si="34"/>
        <v>Yes</v>
      </c>
    </row>
    <row r="2172" spans="1:18" x14ac:dyDescent="0.35">
      <c r="A2172" s="1">
        <v>40436</v>
      </c>
      <c r="B2172">
        <v>0</v>
      </c>
      <c r="C2172" t="s">
        <v>16</v>
      </c>
      <c r="D2172" t="s">
        <v>29</v>
      </c>
      <c r="E2172" t="s">
        <v>30</v>
      </c>
      <c r="F2172">
        <v>145</v>
      </c>
      <c r="G2172" t="s">
        <v>34</v>
      </c>
      <c r="H2172" t="s">
        <v>30</v>
      </c>
      <c r="I2172">
        <v>145</v>
      </c>
      <c r="J2172">
        <v>9</v>
      </c>
      <c r="K2172">
        <v>3</v>
      </c>
      <c r="L2172">
        <v>54</v>
      </c>
      <c r="M2172" t="s">
        <v>20</v>
      </c>
      <c r="N2172" t="s">
        <v>35</v>
      </c>
      <c r="O2172">
        <v>30063</v>
      </c>
      <c r="P2172">
        <v>184</v>
      </c>
      <c r="Q2172" t="s">
        <v>29</v>
      </c>
      <c r="R2172" t="str">
        <f t="shared" si="34"/>
        <v>No</v>
      </c>
    </row>
    <row r="2173" spans="1:18" x14ac:dyDescent="0.35">
      <c r="A2173" s="1">
        <v>40436</v>
      </c>
      <c r="B2173">
        <v>0</v>
      </c>
      <c r="C2173" t="s">
        <v>16</v>
      </c>
      <c r="D2173" t="s">
        <v>31</v>
      </c>
      <c r="E2173" t="s">
        <v>30</v>
      </c>
      <c r="F2173">
        <v>145</v>
      </c>
      <c r="G2173" t="s">
        <v>33</v>
      </c>
      <c r="H2173" t="s">
        <v>30</v>
      </c>
      <c r="I2173">
        <v>145</v>
      </c>
      <c r="J2173">
        <v>7</v>
      </c>
      <c r="K2173">
        <v>0</v>
      </c>
      <c r="L2173">
        <v>54</v>
      </c>
      <c r="M2173" t="s">
        <v>20</v>
      </c>
      <c r="N2173" t="s">
        <v>75</v>
      </c>
      <c r="O2173">
        <v>10183</v>
      </c>
      <c r="P2173">
        <v>134</v>
      </c>
      <c r="Q2173" t="s">
        <v>31</v>
      </c>
      <c r="R2173" t="str">
        <f t="shared" si="34"/>
        <v>No</v>
      </c>
    </row>
    <row r="2174" spans="1:18" x14ac:dyDescent="0.35">
      <c r="A2174" s="1">
        <v>40436</v>
      </c>
      <c r="B2174">
        <v>0</v>
      </c>
      <c r="C2174" t="s">
        <v>16</v>
      </c>
      <c r="D2174" t="s">
        <v>41</v>
      </c>
      <c r="E2174" t="s">
        <v>30</v>
      </c>
      <c r="F2174">
        <v>145</v>
      </c>
      <c r="G2174" t="s">
        <v>37</v>
      </c>
      <c r="H2174" t="s">
        <v>30</v>
      </c>
      <c r="I2174">
        <v>145</v>
      </c>
      <c r="J2174">
        <v>3</v>
      </c>
      <c r="K2174">
        <v>6</v>
      </c>
      <c r="L2174">
        <v>51</v>
      </c>
      <c r="M2174" t="s">
        <v>20</v>
      </c>
      <c r="N2174" t="s">
        <v>39</v>
      </c>
      <c r="O2174">
        <v>11087</v>
      </c>
      <c r="P2174">
        <v>173</v>
      </c>
      <c r="Q2174" t="s">
        <v>37</v>
      </c>
      <c r="R2174" t="str">
        <f t="shared" si="34"/>
        <v>Yes</v>
      </c>
    </row>
    <row r="2175" spans="1:18" x14ac:dyDescent="0.35">
      <c r="A2175" s="1">
        <v>40436</v>
      </c>
      <c r="B2175">
        <v>0</v>
      </c>
      <c r="C2175" t="s">
        <v>16</v>
      </c>
      <c r="D2175" t="s">
        <v>58</v>
      </c>
      <c r="E2175" t="s">
        <v>30</v>
      </c>
      <c r="F2175">
        <v>146</v>
      </c>
      <c r="G2175" t="s">
        <v>40</v>
      </c>
      <c r="H2175" t="s">
        <v>30</v>
      </c>
      <c r="I2175">
        <v>146</v>
      </c>
      <c r="J2175">
        <v>5</v>
      </c>
      <c r="K2175">
        <v>1</v>
      </c>
      <c r="L2175">
        <v>54</v>
      </c>
      <c r="M2175" t="s">
        <v>38</v>
      </c>
      <c r="N2175" t="s">
        <v>77</v>
      </c>
      <c r="O2175">
        <v>21936</v>
      </c>
      <c r="P2175">
        <v>165</v>
      </c>
      <c r="Q2175" t="s">
        <v>58</v>
      </c>
      <c r="R2175" t="str">
        <f t="shared" si="34"/>
        <v>No</v>
      </c>
    </row>
    <row r="2176" spans="1:18" x14ac:dyDescent="0.35">
      <c r="A2176" s="1">
        <v>40436</v>
      </c>
      <c r="B2176">
        <v>0</v>
      </c>
      <c r="C2176" t="s">
        <v>16</v>
      </c>
      <c r="D2176" t="s">
        <v>59</v>
      </c>
      <c r="E2176" t="s">
        <v>30</v>
      </c>
      <c r="F2176">
        <v>146</v>
      </c>
      <c r="G2176" t="s">
        <v>44</v>
      </c>
      <c r="H2176" t="s">
        <v>30</v>
      </c>
      <c r="I2176">
        <v>145</v>
      </c>
      <c r="J2176">
        <v>3</v>
      </c>
      <c r="K2176">
        <v>4</v>
      </c>
      <c r="L2176">
        <v>51</v>
      </c>
      <c r="M2176" t="s">
        <v>20</v>
      </c>
      <c r="N2176" t="s">
        <v>45</v>
      </c>
      <c r="O2176">
        <v>29733</v>
      </c>
      <c r="P2176">
        <v>189</v>
      </c>
      <c r="Q2176" t="s">
        <v>44</v>
      </c>
      <c r="R2176" t="str">
        <f t="shared" si="34"/>
        <v>Yes</v>
      </c>
    </row>
    <row r="2177" spans="1:18" x14ac:dyDescent="0.35">
      <c r="A2177" s="1">
        <v>40436</v>
      </c>
      <c r="B2177">
        <v>0</v>
      </c>
      <c r="C2177" t="s">
        <v>16</v>
      </c>
      <c r="D2177" t="s">
        <v>36</v>
      </c>
      <c r="E2177" t="s">
        <v>30</v>
      </c>
      <c r="F2177">
        <v>146</v>
      </c>
      <c r="G2177" t="s">
        <v>47</v>
      </c>
      <c r="H2177" t="s">
        <v>30</v>
      </c>
      <c r="I2177">
        <v>145</v>
      </c>
      <c r="J2177">
        <v>7</v>
      </c>
      <c r="K2177">
        <v>11</v>
      </c>
      <c r="L2177">
        <v>51</v>
      </c>
      <c r="M2177" t="s">
        <v>20</v>
      </c>
      <c r="N2177" t="s">
        <v>48</v>
      </c>
      <c r="O2177">
        <v>34964</v>
      </c>
      <c r="P2177">
        <v>176</v>
      </c>
      <c r="Q2177" t="s">
        <v>47</v>
      </c>
      <c r="R2177" t="str">
        <f t="shared" si="34"/>
        <v>Yes</v>
      </c>
    </row>
    <row r="2178" spans="1:18" x14ac:dyDescent="0.35">
      <c r="A2178" s="1">
        <v>40436</v>
      </c>
      <c r="B2178">
        <v>0</v>
      </c>
      <c r="C2178" t="s">
        <v>16</v>
      </c>
      <c r="D2178" t="s">
        <v>26</v>
      </c>
      <c r="E2178" t="s">
        <v>18</v>
      </c>
      <c r="F2178">
        <v>146</v>
      </c>
      <c r="G2178" t="s">
        <v>50</v>
      </c>
      <c r="H2178" t="s">
        <v>18</v>
      </c>
      <c r="I2178">
        <v>147</v>
      </c>
      <c r="J2178">
        <v>4</v>
      </c>
      <c r="K2178">
        <v>2</v>
      </c>
      <c r="L2178">
        <v>54</v>
      </c>
      <c r="M2178" t="s">
        <v>38</v>
      </c>
      <c r="N2178" t="s">
        <v>51</v>
      </c>
      <c r="O2178">
        <v>19237</v>
      </c>
      <c r="P2178">
        <v>173</v>
      </c>
      <c r="Q2178" t="s">
        <v>26</v>
      </c>
      <c r="R2178" t="str">
        <f t="shared" si="34"/>
        <v>No</v>
      </c>
    </row>
    <row r="2179" spans="1:18" x14ac:dyDescent="0.35">
      <c r="A2179" s="1">
        <v>40436</v>
      </c>
      <c r="B2179">
        <v>0</v>
      </c>
      <c r="C2179" t="s">
        <v>16</v>
      </c>
      <c r="D2179" t="s">
        <v>60</v>
      </c>
      <c r="E2179" t="s">
        <v>18</v>
      </c>
      <c r="F2179">
        <v>146</v>
      </c>
      <c r="G2179" t="s">
        <v>53</v>
      </c>
      <c r="H2179" t="s">
        <v>18</v>
      </c>
      <c r="I2179">
        <v>146</v>
      </c>
      <c r="J2179">
        <v>5</v>
      </c>
      <c r="K2179">
        <v>7</v>
      </c>
      <c r="L2179">
        <v>51</v>
      </c>
      <c r="M2179" t="s">
        <v>20</v>
      </c>
      <c r="N2179" t="s">
        <v>54</v>
      </c>
      <c r="O2179">
        <v>19923</v>
      </c>
      <c r="P2179">
        <v>182</v>
      </c>
      <c r="Q2179" t="s">
        <v>53</v>
      </c>
      <c r="R2179" t="str">
        <f t="shared" ref="R2179:R2242" si="35">IF(K2179&gt;J2179,"Yes","No")</f>
        <v>Yes</v>
      </c>
    </row>
    <row r="2180" spans="1:18" x14ac:dyDescent="0.35">
      <c r="A2180" s="1">
        <v>40436</v>
      </c>
      <c r="B2180">
        <v>0</v>
      </c>
      <c r="C2180" t="s">
        <v>16</v>
      </c>
      <c r="D2180" t="s">
        <v>62</v>
      </c>
      <c r="E2180" t="s">
        <v>18</v>
      </c>
      <c r="F2180">
        <v>145</v>
      </c>
      <c r="G2180" t="s">
        <v>63</v>
      </c>
      <c r="H2180" t="s">
        <v>18</v>
      </c>
      <c r="I2180">
        <v>146</v>
      </c>
      <c r="J2180">
        <v>6</v>
      </c>
      <c r="K2180">
        <v>9</v>
      </c>
      <c r="L2180">
        <v>51</v>
      </c>
      <c r="M2180" t="s">
        <v>38</v>
      </c>
      <c r="N2180" t="s">
        <v>64</v>
      </c>
      <c r="O2180">
        <v>30218</v>
      </c>
      <c r="P2180">
        <v>176</v>
      </c>
      <c r="Q2180" t="s">
        <v>63</v>
      </c>
      <c r="R2180" t="str">
        <f t="shared" si="35"/>
        <v>Yes</v>
      </c>
    </row>
    <row r="2181" spans="1:18" x14ac:dyDescent="0.35">
      <c r="A2181" s="1">
        <v>40436</v>
      </c>
      <c r="B2181">
        <v>0</v>
      </c>
      <c r="C2181" t="s">
        <v>16</v>
      </c>
      <c r="D2181" t="s">
        <v>25</v>
      </c>
      <c r="E2181" t="s">
        <v>18</v>
      </c>
      <c r="F2181">
        <v>147</v>
      </c>
      <c r="G2181" t="s">
        <v>17</v>
      </c>
      <c r="H2181" t="s">
        <v>18</v>
      </c>
      <c r="I2181">
        <v>145</v>
      </c>
      <c r="J2181">
        <v>10</v>
      </c>
      <c r="K2181">
        <v>5</v>
      </c>
      <c r="L2181">
        <v>54</v>
      </c>
      <c r="M2181" t="s">
        <v>20</v>
      </c>
      <c r="N2181" t="s">
        <v>65</v>
      </c>
      <c r="O2181">
        <v>19402</v>
      </c>
      <c r="P2181">
        <v>201</v>
      </c>
      <c r="Q2181" t="s">
        <v>25</v>
      </c>
      <c r="R2181" t="str">
        <f t="shared" si="35"/>
        <v>No</v>
      </c>
    </row>
    <row r="2182" spans="1:18" x14ac:dyDescent="0.35">
      <c r="A2182" s="1">
        <v>40436</v>
      </c>
      <c r="B2182">
        <v>0</v>
      </c>
      <c r="C2182" t="s">
        <v>16</v>
      </c>
      <c r="D2182" t="s">
        <v>68</v>
      </c>
      <c r="E2182" t="s">
        <v>18</v>
      </c>
      <c r="F2182">
        <v>145</v>
      </c>
      <c r="G2182" t="s">
        <v>66</v>
      </c>
      <c r="H2182" t="s">
        <v>18</v>
      </c>
      <c r="I2182">
        <v>146</v>
      </c>
      <c r="J2182">
        <v>8</v>
      </c>
      <c r="K2182">
        <v>6</v>
      </c>
      <c r="L2182">
        <v>60</v>
      </c>
      <c r="M2182" t="s">
        <v>38</v>
      </c>
      <c r="N2182" t="s">
        <v>67</v>
      </c>
      <c r="O2182">
        <v>30791</v>
      </c>
      <c r="P2182">
        <v>204</v>
      </c>
      <c r="Q2182" t="s">
        <v>68</v>
      </c>
      <c r="R2182" t="str">
        <f t="shared" si="35"/>
        <v>No</v>
      </c>
    </row>
    <row r="2183" spans="1:18" x14ac:dyDescent="0.35">
      <c r="A2183" s="1">
        <v>40436</v>
      </c>
      <c r="B2183">
        <v>0</v>
      </c>
      <c r="C2183" t="s">
        <v>16</v>
      </c>
      <c r="D2183" t="s">
        <v>23</v>
      </c>
      <c r="E2183" t="s">
        <v>18</v>
      </c>
      <c r="F2183">
        <v>145</v>
      </c>
      <c r="G2183" t="s">
        <v>19</v>
      </c>
      <c r="H2183" t="s">
        <v>18</v>
      </c>
      <c r="I2183">
        <v>146</v>
      </c>
      <c r="J2183">
        <v>7</v>
      </c>
      <c r="K2183">
        <v>8</v>
      </c>
      <c r="L2183">
        <v>51</v>
      </c>
      <c r="M2183" t="s">
        <v>20</v>
      </c>
      <c r="N2183" t="s">
        <v>21</v>
      </c>
      <c r="O2183">
        <v>29000</v>
      </c>
      <c r="P2183">
        <v>180</v>
      </c>
      <c r="Q2183" t="s">
        <v>19</v>
      </c>
      <c r="R2183" t="str">
        <f t="shared" si="35"/>
        <v>Yes</v>
      </c>
    </row>
    <row r="2184" spans="1:18" x14ac:dyDescent="0.35">
      <c r="A2184" s="1">
        <v>40436</v>
      </c>
      <c r="B2184">
        <v>0</v>
      </c>
      <c r="C2184" t="s">
        <v>16</v>
      </c>
      <c r="D2184" t="s">
        <v>22</v>
      </c>
      <c r="E2184" t="s">
        <v>18</v>
      </c>
      <c r="F2184">
        <v>146</v>
      </c>
      <c r="G2184" t="s">
        <v>70</v>
      </c>
      <c r="H2184" t="s">
        <v>18</v>
      </c>
      <c r="I2184">
        <v>146</v>
      </c>
      <c r="J2184">
        <v>1</v>
      </c>
      <c r="K2184">
        <v>2</v>
      </c>
      <c r="L2184">
        <v>51</v>
      </c>
      <c r="M2184" t="s">
        <v>20</v>
      </c>
      <c r="N2184" t="s">
        <v>71</v>
      </c>
      <c r="O2184">
        <v>34685</v>
      </c>
      <c r="P2184">
        <v>154</v>
      </c>
      <c r="Q2184" t="s">
        <v>70</v>
      </c>
      <c r="R2184" t="str">
        <f t="shared" si="35"/>
        <v>Yes</v>
      </c>
    </row>
    <row r="2185" spans="1:18" x14ac:dyDescent="0.35">
      <c r="A2185" s="1">
        <v>40436</v>
      </c>
      <c r="B2185">
        <v>0</v>
      </c>
      <c r="C2185" t="s">
        <v>16</v>
      </c>
      <c r="D2185" t="s">
        <v>49</v>
      </c>
      <c r="E2185" t="s">
        <v>18</v>
      </c>
      <c r="F2185">
        <v>146</v>
      </c>
      <c r="G2185" t="s">
        <v>52</v>
      </c>
      <c r="H2185" t="s">
        <v>18</v>
      </c>
      <c r="I2185">
        <v>144</v>
      </c>
      <c r="J2185">
        <v>7</v>
      </c>
      <c r="K2185">
        <v>3</v>
      </c>
      <c r="L2185">
        <v>54</v>
      </c>
      <c r="M2185" t="s">
        <v>20</v>
      </c>
      <c r="N2185" t="s">
        <v>82</v>
      </c>
      <c r="O2185">
        <v>41145</v>
      </c>
      <c r="P2185">
        <v>171</v>
      </c>
      <c r="Q2185" t="s">
        <v>49</v>
      </c>
      <c r="R2185" t="str">
        <f t="shared" si="35"/>
        <v>No</v>
      </c>
    </row>
    <row r="2186" spans="1:18" x14ac:dyDescent="0.35">
      <c r="A2186" s="1">
        <v>40437</v>
      </c>
      <c r="B2186">
        <v>0</v>
      </c>
      <c r="C2186" t="s">
        <v>28</v>
      </c>
      <c r="D2186" t="s">
        <v>29</v>
      </c>
      <c r="E2186" t="s">
        <v>30</v>
      </c>
      <c r="F2186">
        <v>146</v>
      </c>
      <c r="G2186" t="s">
        <v>34</v>
      </c>
      <c r="H2186" t="s">
        <v>30</v>
      </c>
      <c r="I2186">
        <v>146</v>
      </c>
      <c r="J2186">
        <v>8</v>
      </c>
      <c r="K2186">
        <v>5</v>
      </c>
      <c r="L2186">
        <v>54</v>
      </c>
      <c r="M2186" t="s">
        <v>20</v>
      </c>
      <c r="N2186" t="s">
        <v>35</v>
      </c>
      <c r="O2186">
        <v>27180</v>
      </c>
      <c r="P2186">
        <v>205</v>
      </c>
      <c r="Q2186" t="s">
        <v>29</v>
      </c>
      <c r="R2186" t="str">
        <f t="shared" si="35"/>
        <v>No</v>
      </c>
    </row>
    <row r="2187" spans="1:18" x14ac:dyDescent="0.35">
      <c r="A2187" s="1">
        <v>40437</v>
      </c>
      <c r="B2187">
        <v>0</v>
      </c>
      <c r="C2187" t="s">
        <v>28</v>
      </c>
      <c r="D2187" t="s">
        <v>31</v>
      </c>
      <c r="E2187" t="s">
        <v>30</v>
      </c>
      <c r="F2187">
        <v>146</v>
      </c>
      <c r="G2187" t="s">
        <v>33</v>
      </c>
      <c r="H2187" t="s">
        <v>30</v>
      </c>
      <c r="I2187">
        <v>146</v>
      </c>
      <c r="J2187">
        <v>2</v>
      </c>
      <c r="K2187">
        <v>3</v>
      </c>
      <c r="L2187">
        <v>65</v>
      </c>
      <c r="M2187" t="s">
        <v>20</v>
      </c>
      <c r="N2187" t="s">
        <v>75</v>
      </c>
      <c r="O2187">
        <v>14000</v>
      </c>
      <c r="P2187">
        <v>194</v>
      </c>
      <c r="Q2187" t="s">
        <v>33</v>
      </c>
      <c r="R2187" t="str">
        <f t="shared" si="35"/>
        <v>Yes</v>
      </c>
    </row>
    <row r="2188" spans="1:18" x14ac:dyDescent="0.35">
      <c r="A2188" s="1">
        <v>40437</v>
      </c>
      <c r="B2188">
        <v>0</v>
      </c>
      <c r="C2188" t="s">
        <v>28</v>
      </c>
      <c r="D2188" t="s">
        <v>60</v>
      </c>
      <c r="E2188" t="s">
        <v>18</v>
      </c>
      <c r="F2188">
        <v>147</v>
      </c>
      <c r="G2188" t="s">
        <v>53</v>
      </c>
      <c r="H2188" t="s">
        <v>18</v>
      </c>
      <c r="I2188">
        <v>147</v>
      </c>
      <c r="J2188">
        <v>3</v>
      </c>
      <c r="K2188">
        <v>1</v>
      </c>
      <c r="L2188">
        <v>54</v>
      </c>
      <c r="M2188" t="s">
        <v>38</v>
      </c>
      <c r="N2188" t="s">
        <v>54</v>
      </c>
      <c r="O2188">
        <v>22090</v>
      </c>
      <c r="P2188">
        <v>158</v>
      </c>
      <c r="Q2188" t="s">
        <v>60</v>
      </c>
      <c r="R2188" t="str">
        <f t="shared" si="35"/>
        <v>No</v>
      </c>
    </row>
    <row r="2189" spans="1:18" x14ac:dyDescent="0.35">
      <c r="A2189" s="1">
        <v>40437</v>
      </c>
      <c r="B2189">
        <v>0</v>
      </c>
      <c r="C2189" t="s">
        <v>28</v>
      </c>
      <c r="D2189" t="s">
        <v>23</v>
      </c>
      <c r="E2189" t="s">
        <v>18</v>
      </c>
      <c r="F2189">
        <v>146</v>
      </c>
      <c r="G2189" t="s">
        <v>19</v>
      </c>
      <c r="H2189" t="s">
        <v>18</v>
      </c>
      <c r="I2189">
        <v>147</v>
      </c>
      <c r="J2189">
        <v>2</v>
      </c>
      <c r="K2189">
        <v>6</v>
      </c>
      <c r="L2189">
        <v>51</v>
      </c>
      <c r="M2189" t="s">
        <v>20</v>
      </c>
      <c r="N2189" t="s">
        <v>21</v>
      </c>
      <c r="O2189">
        <v>28790</v>
      </c>
      <c r="P2189">
        <v>181</v>
      </c>
      <c r="Q2189" t="s">
        <v>19</v>
      </c>
      <c r="R2189" t="str">
        <f t="shared" si="35"/>
        <v>Yes</v>
      </c>
    </row>
    <row r="2190" spans="1:18" x14ac:dyDescent="0.35">
      <c r="A2190" s="1">
        <v>40437</v>
      </c>
      <c r="B2190">
        <v>0</v>
      </c>
      <c r="C2190" t="s">
        <v>28</v>
      </c>
      <c r="D2190" t="s">
        <v>22</v>
      </c>
      <c r="E2190" t="s">
        <v>18</v>
      </c>
      <c r="F2190">
        <v>147</v>
      </c>
      <c r="G2190" t="s">
        <v>70</v>
      </c>
      <c r="H2190" t="s">
        <v>18</v>
      </c>
      <c r="I2190">
        <v>147</v>
      </c>
      <c r="J2190">
        <v>2</v>
      </c>
      <c r="K2190">
        <v>10</v>
      </c>
      <c r="L2190">
        <v>51</v>
      </c>
      <c r="M2190" t="s">
        <v>20</v>
      </c>
      <c r="N2190" t="s">
        <v>71</v>
      </c>
      <c r="O2190">
        <v>38434</v>
      </c>
      <c r="P2190">
        <v>157</v>
      </c>
      <c r="Q2190" t="s">
        <v>70</v>
      </c>
      <c r="R2190" t="str">
        <f t="shared" si="35"/>
        <v>Yes</v>
      </c>
    </row>
    <row r="2191" spans="1:18" x14ac:dyDescent="0.35">
      <c r="A2191" s="1">
        <v>40437</v>
      </c>
      <c r="B2191">
        <v>0</v>
      </c>
      <c r="C2191" t="s">
        <v>28</v>
      </c>
      <c r="D2191" t="s">
        <v>62</v>
      </c>
      <c r="E2191" t="s">
        <v>18</v>
      </c>
      <c r="F2191">
        <v>146</v>
      </c>
      <c r="G2191" t="s">
        <v>52</v>
      </c>
      <c r="H2191" t="s">
        <v>18</v>
      </c>
      <c r="I2191">
        <v>145</v>
      </c>
      <c r="J2191">
        <v>0</v>
      </c>
      <c r="K2191">
        <v>4</v>
      </c>
      <c r="L2191">
        <v>51</v>
      </c>
      <c r="M2191" t="s">
        <v>20</v>
      </c>
      <c r="N2191" t="s">
        <v>82</v>
      </c>
      <c r="O2191">
        <v>38252</v>
      </c>
      <c r="P2191">
        <v>157</v>
      </c>
      <c r="Q2191" t="s">
        <v>52</v>
      </c>
      <c r="R2191" t="str">
        <f t="shared" si="35"/>
        <v>Yes</v>
      </c>
    </row>
    <row r="2192" spans="1:18" x14ac:dyDescent="0.35">
      <c r="A2192" s="1">
        <v>40438</v>
      </c>
      <c r="B2192">
        <v>0</v>
      </c>
      <c r="C2192" t="s">
        <v>55</v>
      </c>
      <c r="D2192" t="s">
        <v>59</v>
      </c>
      <c r="E2192" t="s">
        <v>30</v>
      </c>
      <c r="F2192">
        <v>147</v>
      </c>
      <c r="G2192" t="s">
        <v>43</v>
      </c>
      <c r="H2192" t="s">
        <v>30</v>
      </c>
      <c r="I2192">
        <v>147</v>
      </c>
      <c r="J2192">
        <v>4</v>
      </c>
      <c r="K2192">
        <v>3</v>
      </c>
      <c r="L2192">
        <v>54</v>
      </c>
      <c r="M2192" t="s">
        <v>20</v>
      </c>
      <c r="N2192" t="s">
        <v>56</v>
      </c>
      <c r="O2192">
        <v>32874</v>
      </c>
      <c r="P2192">
        <v>189</v>
      </c>
      <c r="Q2192" t="s">
        <v>59</v>
      </c>
      <c r="R2192" t="str">
        <f t="shared" si="35"/>
        <v>No</v>
      </c>
    </row>
    <row r="2193" spans="1:18" x14ac:dyDescent="0.35">
      <c r="A2193" s="1">
        <v>40438</v>
      </c>
      <c r="B2193">
        <v>0</v>
      </c>
      <c r="C2193" t="s">
        <v>55</v>
      </c>
      <c r="D2193" t="s">
        <v>46</v>
      </c>
      <c r="E2193" t="s">
        <v>30</v>
      </c>
      <c r="F2193">
        <v>147</v>
      </c>
      <c r="G2193" t="s">
        <v>58</v>
      </c>
      <c r="H2193" t="s">
        <v>30</v>
      </c>
      <c r="I2193">
        <v>147</v>
      </c>
      <c r="J2193">
        <v>11</v>
      </c>
      <c r="K2193">
        <v>9</v>
      </c>
      <c r="L2193">
        <v>54</v>
      </c>
      <c r="M2193" t="s">
        <v>20</v>
      </c>
      <c r="N2193" t="s">
        <v>86</v>
      </c>
      <c r="O2193">
        <v>37679</v>
      </c>
      <c r="P2193">
        <v>197</v>
      </c>
      <c r="Q2193" t="s">
        <v>46</v>
      </c>
      <c r="R2193" t="str">
        <f t="shared" si="35"/>
        <v>No</v>
      </c>
    </row>
    <row r="2194" spans="1:18" x14ac:dyDescent="0.35">
      <c r="A2194" s="1">
        <v>40438</v>
      </c>
      <c r="B2194">
        <v>0</v>
      </c>
      <c r="C2194" t="s">
        <v>55</v>
      </c>
      <c r="D2194" t="s">
        <v>36</v>
      </c>
      <c r="E2194" t="s">
        <v>30</v>
      </c>
      <c r="F2194">
        <v>147</v>
      </c>
      <c r="G2194" t="s">
        <v>34</v>
      </c>
      <c r="H2194" t="s">
        <v>30</v>
      </c>
      <c r="I2194">
        <v>147</v>
      </c>
      <c r="J2194">
        <v>9</v>
      </c>
      <c r="K2194">
        <v>2</v>
      </c>
      <c r="L2194">
        <v>54</v>
      </c>
      <c r="M2194" t="s">
        <v>20</v>
      </c>
      <c r="N2194" t="s">
        <v>35</v>
      </c>
      <c r="O2194">
        <v>28563</v>
      </c>
      <c r="P2194">
        <v>159</v>
      </c>
      <c r="Q2194" t="s">
        <v>36</v>
      </c>
      <c r="R2194" t="str">
        <f t="shared" si="35"/>
        <v>No</v>
      </c>
    </row>
    <row r="2195" spans="1:18" x14ac:dyDescent="0.35">
      <c r="A2195" s="1">
        <v>40438</v>
      </c>
      <c r="B2195">
        <v>0</v>
      </c>
      <c r="C2195" t="s">
        <v>55</v>
      </c>
      <c r="D2195" t="s">
        <v>33</v>
      </c>
      <c r="E2195" t="s">
        <v>30</v>
      </c>
      <c r="F2195">
        <v>147</v>
      </c>
      <c r="G2195" t="s">
        <v>37</v>
      </c>
      <c r="H2195" t="s">
        <v>30</v>
      </c>
      <c r="I2195">
        <v>146</v>
      </c>
      <c r="J2195">
        <v>11</v>
      </c>
      <c r="K2195">
        <v>4</v>
      </c>
      <c r="L2195">
        <v>54</v>
      </c>
      <c r="M2195" t="s">
        <v>20</v>
      </c>
      <c r="N2195" t="s">
        <v>39</v>
      </c>
      <c r="O2195">
        <v>21168</v>
      </c>
      <c r="P2195">
        <v>180</v>
      </c>
      <c r="Q2195" t="s">
        <v>33</v>
      </c>
      <c r="R2195" t="str">
        <f t="shared" si="35"/>
        <v>No</v>
      </c>
    </row>
    <row r="2196" spans="1:18" x14ac:dyDescent="0.35">
      <c r="A2196" s="1">
        <v>40438</v>
      </c>
      <c r="B2196">
        <v>0</v>
      </c>
      <c r="C2196" t="s">
        <v>55</v>
      </c>
      <c r="D2196" t="s">
        <v>41</v>
      </c>
      <c r="E2196" t="s">
        <v>30</v>
      </c>
      <c r="F2196">
        <v>146</v>
      </c>
      <c r="G2196" t="s">
        <v>29</v>
      </c>
      <c r="H2196" t="s">
        <v>30</v>
      </c>
      <c r="I2196">
        <v>147</v>
      </c>
      <c r="J2196">
        <v>3</v>
      </c>
      <c r="K2196">
        <v>1</v>
      </c>
      <c r="L2196">
        <v>54</v>
      </c>
      <c r="M2196" t="s">
        <v>20</v>
      </c>
      <c r="N2196" t="s">
        <v>76</v>
      </c>
      <c r="O2196">
        <v>40681</v>
      </c>
      <c r="P2196">
        <v>154</v>
      </c>
      <c r="Q2196" t="s">
        <v>41</v>
      </c>
      <c r="R2196" t="str">
        <f t="shared" si="35"/>
        <v>No</v>
      </c>
    </row>
    <row r="2197" spans="1:18" x14ac:dyDescent="0.35">
      <c r="A2197" s="1">
        <v>40438</v>
      </c>
      <c r="B2197">
        <v>0</v>
      </c>
      <c r="C2197" t="s">
        <v>55</v>
      </c>
      <c r="D2197" t="s">
        <v>47</v>
      </c>
      <c r="E2197" t="s">
        <v>30</v>
      </c>
      <c r="F2197">
        <v>146</v>
      </c>
      <c r="G2197" t="s">
        <v>40</v>
      </c>
      <c r="H2197" t="s">
        <v>30</v>
      </c>
      <c r="I2197">
        <v>147</v>
      </c>
      <c r="J2197">
        <v>1</v>
      </c>
      <c r="K2197">
        <v>2</v>
      </c>
      <c r="L2197">
        <v>51</v>
      </c>
      <c r="M2197" t="s">
        <v>20</v>
      </c>
      <c r="N2197" t="s">
        <v>77</v>
      </c>
      <c r="O2197">
        <v>19302</v>
      </c>
      <c r="P2197">
        <v>140</v>
      </c>
      <c r="Q2197" t="s">
        <v>40</v>
      </c>
      <c r="R2197" t="str">
        <f t="shared" si="35"/>
        <v>Yes</v>
      </c>
    </row>
    <row r="2198" spans="1:18" x14ac:dyDescent="0.35">
      <c r="A2198" s="1">
        <v>40438</v>
      </c>
      <c r="B2198">
        <v>0</v>
      </c>
      <c r="C2198" t="s">
        <v>55</v>
      </c>
      <c r="D2198" t="s">
        <v>31</v>
      </c>
      <c r="E2198" t="s">
        <v>30</v>
      </c>
      <c r="F2198">
        <v>147</v>
      </c>
      <c r="G2198" t="s">
        <v>44</v>
      </c>
      <c r="H2198" t="s">
        <v>30</v>
      </c>
      <c r="I2198">
        <v>146</v>
      </c>
      <c r="J2198">
        <v>4</v>
      </c>
      <c r="K2198">
        <v>3</v>
      </c>
      <c r="L2198">
        <v>54</v>
      </c>
      <c r="M2198" t="s">
        <v>20</v>
      </c>
      <c r="N2198" t="s">
        <v>45</v>
      </c>
      <c r="O2198">
        <v>23215</v>
      </c>
      <c r="P2198">
        <v>185</v>
      </c>
      <c r="Q2198" t="s">
        <v>31</v>
      </c>
      <c r="R2198" t="str">
        <f t="shared" si="35"/>
        <v>No</v>
      </c>
    </row>
    <row r="2199" spans="1:18" x14ac:dyDescent="0.35">
      <c r="A2199" s="1">
        <v>40438</v>
      </c>
      <c r="B2199">
        <v>0</v>
      </c>
      <c r="C2199" t="s">
        <v>55</v>
      </c>
      <c r="D2199" t="s">
        <v>49</v>
      </c>
      <c r="E2199" t="s">
        <v>18</v>
      </c>
      <c r="F2199">
        <v>147</v>
      </c>
      <c r="G2199" t="s">
        <v>17</v>
      </c>
      <c r="H2199" t="s">
        <v>18</v>
      </c>
      <c r="I2199">
        <v>146</v>
      </c>
      <c r="J2199">
        <v>2</v>
      </c>
      <c r="K2199">
        <v>0</v>
      </c>
      <c r="L2199">
        <v>54</v>
      </c>
      <c r="M2199" t="s">
        <v>20</v>
      </c>
      <c r="N2199" t="s">
        <v>65</v>
      </c>
      <c r="O2199">
        <v>22751</v>
      </c>
      <c r="P2199">
        <v>170</v>
      </c>
      <c r="Q2199" t="s">
        <v>49</v>
      </c>
      <c r="R2199" t="str">
        <f t="shared" si="35"/>
        <v>No</v>
      </c>
    </row>
    <row r="2200" spans="1:18" x14ac:dyDescent="0.35">
      <c r="A2200" s="1">
        <v>40438</v>
      </c>
      <c r="B2200">
        <v>0</v>
      </c>
      <c r="C2200" t="s">
        <v>55</v>
      </c>
      <c r="D2200" t="s">
        <v>53</v>
      </c>
      <c r="E2200" t="s">
        <v>18</v>
      </c>
      <c r="F2200">
        <v>148</v>
      </c>
      <c r="G2200" t="s">
        <v>66</v>
      </c>
      <c r="H2200" t="s">
        <v>18</v>
      </c>
      <c r="I2200">
        <v>147</v>
      </c>
      <c r="J2200">
        <v>3</v>
      </c>
      <c r="K2200">
        <v>5</v>
      </c>
      <c r="L2200">
        <v>51</v>
      </c>
      <c r="M2200" t="s">
        <v>20</v>
      </c>
      <c r="N2200" t="s">
        <v>67</v>
      </c>
      <c r="O2200">
        <v>30218</v>
      </c>
      <c r="P2200">
        <v>180</v>
      </c>
      <c r="Q2200" t="s">
        <v>66</v>
      </c>
      <c r="R2200" t="str">
        <f t="shared" si="35"/>
        <v>Yes</v>
      </c>
    </row>
    <row r="2201" spans="1:18" x14ac:dyDescent="0.35">
      <c r="A2201" s="1">
        <v>40438</v>
      </c>
      <c r="B2201">
        <v>0</v>
      </c>
      <c r="C2201" t="s">
        <v>55</v>
      </c>
      <c r="D2201" t="s">
        <v>63</v>
      </c>
      <c r="E2201" t="s">
        <v>18</v>
      </c>
      <c r="F2201">
        <v>147</v>
      </c>
      <c r="G2201" t="s">
        <v>22</v>
      </c>
      <c r="H2201" t="s">
        <v>18</v>
      </c>
      <c r="I2201">
        <v>148</v>
      </c>
      <c r="J2201">
        <v>7</v>
      </c>
      <c r="K2201">
        <v>5</v>
      </c>
      <c r="L2201">
        <v>54</v>
      </c>
      <c r="M2201" t="s">
        <v>20</v>
      </c>
      <c r="N2201" t="s">
        <v>85</v>
      </c>
      <c r="O2201">
        <v>38449</v>
      </c>
      <c r="P2201">
        <v>206</v>
      </c>
      <c r="Q2201" t="s">
        <v>63</v>
      </c>
      <c r="R2201" t="str">
        <f t="shared" si="35"/>
        <v>No</v>
      </c>
    </row>
    <row r="2202" spans="1:18" x14ac:dyDescent="0.35">
      <c r="A2202" s="1">
        <v>40438</v>
      </c>
      <c r="B2202">
        <v>0</v>
      </c>
      <c r="C2202" t="s">
        <v>55</v>
      </c>
      <c r="D2202" t="s">
        <v>50</v>
      </c>
      <c r="E2202" t="s">
        <v>18</v>
      </c>
      <c r="F2202">
        <v>148</v>
      </c>
      <c r="G2202" t="s">
        <v>19</v>
      </c>
      <c r="H2202" t="s">
        <v>18</v>
      </c>
      <c r="I2202">
        <v>148</v>
      </c>
      <c r="J2202">
        <v>6</v>
      </c>
      <c r="K2202">
        <v>4</v>
      </c>
      <c r="L2202">
        <v>54</v>
      </c>
      <c r="M2202" t="s">
        <v>20</v>
      </c>
      <c r="N2202" t="s">
        <v>21</v>
      </c>
      <c r="O2202">
        <v>28002</v>
      </c>
      <c r="P2202">
        <v>156</v>
      </c>
      <c r="Q2202" t="s">
        <v>50</v>
      </c>
      <c r="R2202" t="str">
        <f t="shared" si="35"/>
        <v>No</v>
      </c>
    </row>
    <row r="2203" spans="1:18" x14ac:dyDescent="0.35">
      <c r="A2203" s="1">
        <v>40438</v>
      </c>
      <c r="B2203">
        <v>0</v>
      </c>
      <c r="C2203" t="s">
        <v>55</v>
      </c>
      <c r="D2203" t="s">
        <v>26</v>
      </c>
      <c r="E2203" t="s">
        <v>18</v>
      </c>
      <c r="F2203">
        <v>147</v>
      </c>
      <c r="G2203" t="s">
        <v>25</v>
      </c>
      <c r="H2203" t="s">
        <v>18</v>
      </c>
      <c r="I2203">
        <v>148</v>
      </c>
      <c r="J2203">
        <v>1</v>
      </c>
      <c r="K2203">
        <v>9</v>
      </c>
      <c r="L2203">
        <v>51</v>
      </c>
      <c r="M2203" t="s">
        <v>20</v>
      </c>
      <c r="N2203" t="s">
        <v>80</v>
      </c>
      <c r="O2203">
        <v>45338</v>
      </c>
      <c r="P2203">
        <v>160</v>
      </c>
      <c r="Q2203" t="s">
        <v>25</v>
      </c>
      <c r="R2203" t="str">
        <f t="shared" si="35"/>
        <v>Yes</v>
      </c>
    </row>
    <row r="2204" spans="1:18" x14ac:dyDescent="0.35">
      <c r="A2204" s="1">
        <v>40438</v>
      </c>
      <c r="B2204">
        <v>0</v>
      </c>
      <c r="C2204" t="s">
        <v>55</v>
      </c>
      <c r="D2204" t="s">
        <v>60</v>
      </c>
      <c r="E2204" t="s">
        <v>18</v>
      </c>
      <c r="F2204">
        <v>148</v>
      </c>
      <c r="G2204" t="s">
        <v>23</v>
      </c>
      <c r="H2204" t="s">
        <v>18</v>
      </c>
      <c r="I2204">
        <v>147</v>
      </c>
      <c r="J2204">
        <v>3</v>
      </c>
      <c r="K2204">
        <v>4</v>
      </c>
      <c r="L2204">
        <v>52</v>
      </c>
      <c r="M2204" t="s">
        <v>20</v>
      </c>
      <c r="N2204" t="s">
        <v>24</v>
      </c>
      <c r="O2204">
        <v>22939</v>
      </c>
      <c r="P2204">
        <v>170</v>
      </c>
      <c r="Q2204" t="s">
        <v>23</v>
      </c>
      <c r="R2204" t="str">
        <f t="shared" si="35"/>
        <v>Yes</v>
      </c>
    </row>
    <row r="2205" spans="1:18" x14ac:dyDescent="0.35">
      <c r="A2205" s="1">
        <v>40438</v>
      </c>
      <c r="B2205">
        <v>0</v>
      </c>
      <c r="C2205" t="s">
        <v>55</v>
      </c>
      <c r="D2205" t="s">
        <v>68</v>
      </c>
      <c r="E2205" t="s">
        <v>18</v>
      </c>
      <c r="F2205">
        <v>146</v>
      </c>
      <c r="G2205" t="s">
        <v>70</v>
      </c>
      <c r="H2205" t="s">
        <v>18</v>
      </c>
      <c r="I2205">
        <v>148</v>
      </c>
      <c r="J2205">
        <v>3</v>
      </c>
      <c r="K2205">
        <v>0</v>
      </c>
      <c r="L2205">
        <v>54</v>
      </c>
      <c r="M2205" t="s">
        <v>20</v>
      </c>
      <c r="N2205" t="s">
        <v>71</v>
      </c>
      <c r="O2205">
        <v>41835</v>
      </c>
      <c r="P2205">
        <v>149</v>
      </c>
      <c r="Q2205" t="s">
        <v>68</v>
      </c>
      <c r="R2205" t="str">
        <f t="shared" si="35"/>
        <v>No</v>
      </c>
    </row>
    <row r="2206" spans="1:18" x14ac:dyDescent="0.35">
      <c r="A2206" s="1">
        <v>40438</v>
      </c>
      <c r="B2206">
        <v>0</v>
      </c>
      <c r="C2206" t="s">
        <v>55</v>
      </c>
      <c r="D2206" t="s">
        <v>62</v>
      </c>
      <c r="E2206" t="s">
        <v>18</v>
      </c>
      <c r="F2206">
        <v>147</v>
      </c>
      <c r="G2206" t="s">
        <v>52</v>
      </c>
      <c r="H2206" t="s">
        <v>18</v>
      </c>
      <c r="I2206">
        <v>146</v>
      </c>
      <c r="J2206">
        <v>4</v>
      </c>
      <c r="K2206">
        <v>14</v>
      </c>
      <c r="L2206">
        <v>51</v>
      </c>
      <c r="M2206" t="s">
        <v>20</v>
      </c>
      <c r="N2206" t="s">
        <v>82</v>
      </c>
      <c r="O2206">
        <v>37806</v>
      </c>
      <c r="P2206">
        <v>173</v>
      </c>
      <c r="Q2206" t="s">
        <v>52</v>
      </c>
      <c r="R2206" t="str">
        <f t="shared" si="35"/>
        <v>Yes</v>
      </c>
    </row>
    <row r="2207" spans="1:18" x14ac:dyDescent="0.35">
      <c r="A2207" s="1">
        <v>40439</v>
      </c>
      <c r="B2207">
        <v>0</v>
      </c>
      <c r="C2207" t="s">
        <v>72</v>
      </c>
      <c r="D2207" t="s">
        <v>59</v>
      </c>
      <c r="E2207" t="s">
        <v>30</v>
      </c>
      <c r="F2207">
        <v>148</v>
      </c>
      <c r="G2207" t="s">
        <v>43</v>
      </c>
      <c r="H2207" t="s">
        <v>30</v>
      </c>
      <c r="I2207">
        <v>148</v>
      </c>
      <c r="J2207">
        <v>11</v>
      </c>
      <c r="K2207">
        <v>3</v>
      </c>
      <c r="L2207">
        <v>54</v>
      </c>
      <c r="M2207" t="s">
        <v>20</v>
      </c>
      <c r="N2207" t="s">
        <v>56</v>
      </c>
      <c r="O2207">
        <v>48775</v>
      </c>
      <c r="P2207">
        <v>179</v>
      </c>
      <c r="Q2207" t="s">
        <v>59</v>
      </c>
      <c r="R2207" t="str">
        <f t="shared" si="35"/>
        <v>No</v>
      </c>
    </row>
    <row r="2208" spans="1:18" x14ac:dyDescent="0.35">
      <c r="A2208" s="1">
        <v>40439</v>
      </c>
      <c r="B2208">
        <v>0</v>
      </c>
      <c r="C2208" t="s">
        <v>72</v>
      </c>
      <c r="D2208" t="s">
        <v>46</v>
      </c>
      <c r="E2208" t="s">
        <v>30</v>
      </c>
      <c r="F2208">
        <v>148</v>
      </c>
      <c r="G2208" t="s">
        <v>58</v>
      </c>
      <c r="H2208" t="s">
        <v>30</v>
      </c>
      <c r="I2208">
        <v>148</v>
      </c>
      <c r="J2208">
        <v>4</v>
      </c>
      <c r="K2208">
        <v>3</v>
      </c>
      <c r="L2208">
        <v>54</v>
      </c>
      <c r="M2208" t="s">
        <v>20</v>
      </c>
      <c r="N2208" t="s">
        <v>86</v>
      </c>
      <c r="O2208">
        <v>37863</v>
      </c>
      <c r="P2208">
        <v>196</v>
      </c>
      <c r="Q2208" t="s">
        <v>46</v>
      </c>
      <c r="R2208" t="str">
        <f t="shared" si="35"/>
        <v>No</v>
      </c>
    </row>
    <row r="2209" spans="1:18" x14ac:dyDescent="0.35">
      <c r="A2209" s="1">
        <v>40439</v>
      </c>
      <c r="B2209">
        <v>0</v>
      </c>
      <c r="C2209" t="s">
        <v>72</v>
      </c>
      <c r="D2209" t="s">
        <v>36</v>
      </c>
      <c r="E2209" t="s">
        <v>30</v>
      </c>
      <c r="F2209">
        <v>148</v>
      </c>
      <c r="G2209" t="s">
        <v>34</v>
      </c>
      <c r="H2209" t="s">
        <v>30</v>
      </c>
      <c r="I2209">
        <v>148</v>
      </c>
      <c r="J2209">
        <v>6</v>
      </c>
      <c r="K2209">
        <v>3</v>
      </c>
      <c r="L2209">
        <v>54</v>
      </c>
      <c r="M2209" t="s">
        <v>38</v>
      </c>
      <c r="N2209" t="s">
        <v>35</v>
      </c>
      <c r="O2209">
        <v>27828</v>
      </c>
      <c r="P2209">
        <v>162</v>
      </c>
      <c r="Q2209" t="s">
        <v>36</v>
      </c>
      <c r="R2209" t="str">
        <f t="shared" si="35"/>
        <v>No</v>
      </c>
    </row>
    <row r="2210" spans="1:18" x14ac:dyDescent="0.35">
      <c r="A2210" s="1">
        <v>40439</v>
      </c>
      <c r="B2210">
        <v>0</v>
      </c>
      <c r="C2210" t="s">
        <v>72</v>
      </c>
      <c r="D2210" t="s">
        <v>33</v>
      </c>
      <c r="E2210" t="s">
        <v>30</v>
      </c>
      <c r="F2210">
        <v>148</v>
      </c>
      <c r="G2210" t="s">
        <v>37</v>
      </c>
      <c r="H2210" t="s">
        <v>30</v>
      </c>
      <c r="I2210">
        <v>147</v>
      </c>
      <c r="J2210">
        <v>6</v>
      </c>
      <c r="K2210">
        <v>4</v>
      </c>
      <c r="L2210">
        <v>54</v>
      </c>
      <c r="M2210" t="s">
        <v>20</v>
      </c>
      <c r="N2210" t="s">
        <v>39</v>
      </c>
      <c r="O2210">
        <v>18112</v>
      </c>
      <c r="P2210">
        <v>177</v>
      </c>
      <c r="Q2210" t="s">
        <v>33</v>
      </c>
      <c r="R2210" t="str">
        <f t="shared" si="35"/>
        <v>No</v>
      </c>
    </row>
    <row r="2211" spans="1:18" x14ac:dyDescent="0.35">
      <c r="A2211" s="1">
        <v>40439</v>
      </c>
      <c r="B2211">
        <v>0</v>
      </c>
      <c r="C2211" t="s">
        <v>72</v>
      </c>
      <c r="D2211" t="s">
        <v>41</v>
      </c>
      <c r="E2211" t="s">
        <v>30</v>
      </c>
      <c r="F2211">
        <v>147</v>
      </c>
      <c r="G2211" t="s">
        <v>29</v>
      </c>
      <c r="H2211" t="s">
        <v>30</v>
      </c>
      <c r="I2211">
        <v>148</v>
      </c>
      <c r="J2211">
        <v>2</v>
      </c>
      <c r="K2211">
        <v>4</v>
      </c>
      <c r="L2211">
        <v>51</v>
      </c>
      <c r="M2211" t="s">
        <v>38</v>
      </c>
      <c r="N2211" t="s">
        <v>76</v>
      </c>
      <c r="O2211">
        <v>40847</v>
      </c>
      <c r="P2211">
        <v>149</v>
      </c>
      <c r="Q2211" t="s">
        <v>29</v>
      </c>
      <c r="R2211" t="str">
        <f t="shared" si="35"/>
        <v>Yes</v>
      </c>
    </row>
    <row r="2212" spans="1:18" x14ac:dyDescent="0.35">
      <c r="A2212" s="1">
        <v>40439</v>
      </c>
      <c r="B2212">
        <v>0</v>
      </c>
      <c r="C2212" t="s">
        <v>72</v>
      </c>
      <c r="D2212" t="s">
        <v>47</v>
      </c>
      <c r="E2212" t="s">
        <v>30</v>
      </c>
      <c r="F2212">
        <v>147</v>
      </c>
      <c r="G2212" t="s">
        <v>40</v>
      </c>
      <c r="H2212" t="s">
        <v>30</v>
      </c>
      <c r="I2212">
        <v>148</v>
      </c>
      <c r="J2212">
        <v>6</v>
      </c>
      <c r="K2212">
        <v>1</v>
      </c>
      <c r="L2212">
        <v>54</v>
      </c>
      <c r="M2212" t="s">
        <v>20</v>
      </c>
      <c r="N2212" t="s">
        <v>77</v>
      </c>
      <c r="O2212">
        <v>20843</v>
      </c>
      <c r="P2212">
        <v>140</v>
      </c>
      <c r="Q2212" t="s">
        <v>47</v>
      </c>
      <c r="R2212" t="str">
        <f t="shared" si="35"/>
        <v>No</v>
      </c>
    </row>
    <row r="2213" spans="1:18" x14ac:dyDescent="0.35">
      <c r="A2213" s="1">
        <v>40439</v>
      </c>
      <c r="B2213">
        <v>0</v>
      </c>
      <c r="C2213" t="s">
        <v>72</v>
      </c>
      <c r="D2213" t="s">
        <v>31</v>
      </c>
      <c r="E2213" t="s">
        <v>30</v>
      </c>
      <c r="F2213">
        <v>148</v>
      </c>
      <c r="G2213" t="s">
        <v>44</v>
      </c>
      <c r="H2213" t="s">
        <v>30</v>
      </c>
      <c r="I2213">
        <v>147</v>
      </c>
      <c r="J2213">
        <v>3</v>
      </c>
      <c r="K2213">
        <v>4</v>
      </c>
      <c r="L2213">
        <v>59</v>
      </c>
      <c r="M2213" t="s">
        <v>20</v>
      </c>
      <c r="N2213" t="s">
        <v>45</v>
      </c>
      <c r="O2213">
        <v>31896</v>
      </c>
      <c r="P2213">
        <v>194</v>
      </c>
      <c r="Q2213" t="s">
        <v>44</v>
      </c>
      <c r="R2213" t="str">
        <f t="shared" si="35"/>
        <v>Yes</v>
      </c>
    </row>
    <row r="2214" spans="1:18" x14ac:dyDescent="0.35">
      <c r="A2214" s="1">
        <v>40439</v>
      </c>
      <c r="B2214">
        <v>0</v>
      </c>
      <c r="C2214" t="s">
        <v>72</v>
      </c>
      <c r="D2214" t="s">
        <v>49</v>
      </c>
      <c r="E2214" t="s">
        <v>18</v>
      </c>
      <c r="F2214">
        <v>148</v>
      </c>
      <c r="G2214" t="s">
        <v>17</v>
      </c>
      <c r="H2214" t="s">
        <v>18</v>
      </c>
      <c r="I2214">
        <v>147</v>
      </c>
      <c r="J2214">
        <v>5</v>
      </c>
      <c r="K2214">
        <v>3</v>
      </c>
      <c r="L2214">
        <v>54</v>
      </c>
      <c r="M2214" t="s">
        <v>20</v>
      </c>
      <c r="N2214" t="s">
        <v>65</v>
      </c>
      <c r="O2214">
        <v>28716</v>
      </c>
      <c r="P2214">
        <v>168</v>
      </c>
      <c r="Q2214" t="s">
        <v>49</v>
      </c>
      <c r="R2214" t="str">
        <f t="shared" si="35"/>
        <v>No</v>
      </c>
    </row>
    <row r="2215" spans="1:18" x14ac:dyDescent="0.35">
      <c r="A2215" s="1">
        <v>40439</v>
      </c>
      <c r="B2215">
        <v>0</v>
      </c>
      <c r="C2215" t="s">
        <v>72</v>
      </c>
      <c r="D2215" t="s">
        <v>53</v>
      </c>
      <c r="E2215" t="s">
        <v>18</v>
      </c>
      <c r="F2215">
        <v>149</v>
      </c>
      <c r="G2215" t="s">
        <v>66</v>
      </c>
      <c r="H2215" t="s">
        <v>18</v>
      </c>
      <c r="I2215">
        <v>148</v>
      </c>
      <c r="J2215">
        <v>11</v>
      </c>
      <c r="K2215">
        <v>1</v>
      </c>
      <c r="L2215">
        <v>54</v>
      </c>
      <c r="M2215" t="s">
        <v>20</v>
      </c>
      <c r="N2215" t="s">
        <v>67</v>
      </c>
      <c r="O2215">
        <v>29855</v>
      </c>
      <c r="P2215">
        <v>189</v>
      </c>
      <c r="Q2215" t="s">
        <v>53</v>
      </c>
      <c r="R2215" t="str">
        <f t="shared" si="35"/>
        <v>No</v>
      </c>
    </row>
    <row r="2216" spans="1:18" x14ac:dyDescent="0.35">
      <c r="A2216" s="1">
        <v>40439</v>
      </c>
      <c r="B2216">
        <v>0</v>
      </c>
      <c r="C2216" t="s">
        <v>72</v>
      </c>
      <c r="D2216" t="s">
        <v>63</v>
      </c>
      <c r="E2216" t="s">
        <v>18</v>
      </c>
      <c r="F2216">
        <v>148</v>
      </c>
      <c r="G2216" t="s">
        <v>22</v>
      </c>
      <c r="H2216" t="s">
        <v>18</v>
      </c>
      <c r="I2216">
        <v>149</v>
      </c>
      <c r="J2216">
        <v>12</v>
      </c>
      <c r="K2216">
        <v>2</v>
      </c>
      <c r="L2216">
        <v>54</v>
      </c>
      <c r="M2216" t="s">
        <v>38</v>
      </c>
      <c r="N2216" t="s">
        <v>85</v>
      </c>
      <c r="O2216">
        <v>40191</v>
      </c>
      <c r="P2216">
        <v>175</v>
      </c>
      <c r="Q2216" t="s">
        <v>63</v>
      </c>
      <c r="R2216" t="str">
        <f t="shared" si="35"/>
        <v>No</v>
      </c>
    </row>
    <row r="2217" spans="1:18" x14ac:dyDescent="0.35">
      <c r="A2217" s="1">
        <v>40439</v>
      </c>
      <c r="B2217">
        <v>0</v>
      </c>
      <c r="C2217" t="s">
        <v>72</v>
      </c>
      <c r="D2217" t="s">
        <v>50</v>
      </c>
      <c r="E2217" t="s">
        <v>18</v>
      </c>
      <c r="F2217">
        <v>149</v>
      </c>
      <c r="G2217" t="s">
        <v>19</v>
      </c>
      <c r="H2217" t="s">
        <v>18</v>
      </c>
      <c r="I2217">
        <v>149</v>
      </c>
      <c r="J2217">
        <v>4</v>
      </c>
      <c r="K2217">
        <v>2</v>
      </c>
      <c r="L2217">
        <v>54</v>
      </c>
      <c r="M2217" t="s">
        <v>38</v>
      </c>
      <c r="N2217" t="s">
        <v>21</v>
      </c>
      <c r="O2217">
        <v>33051</v>
      </c>
      <c r="P2217">
        <v>148</v>
      </c>
      <c r="Q2217" t="s">
        <v>50</v>
      </c>
      <c r="R2217" t="str">
        <f t="shared" si="35"/>
        <v>No</v>
      </c>
    </row>
    <row r="2218" spans="1:18" x14ac:dyDescent="0.35">
      <c r="A2218" s="1">
        <v>40439</v>
      </c>
      <c r="B2218">
        <v>0</v>
      </c>
      <c r="C2218" t="s">
        <v>72</v>
      </c>
      <c r="D2218" t="s">
        <v>26</v>
      </c>
      <c r="E2218" t="s">
        <v>18</v>
      </c>
      <c r="F2218">
        <v>148</v>
      </c>
      <c r="G2218" t="s">
        <v>25</v>
      </c>
      <c r="H2218" t="s">
        <v>18</v>
      </c>
      <c r="I2218">
        <v>149</v>
      </c>
      <c r="J2218">
        <v>2</v>
      </c>
      <c r="K2218">
        <v>5</v>
      </c>
      <c r="L2218">
        <v>51</v>
      </c>
      <c r="M2218" t="s">
        <v>20</v>
      </c>
      <c r="N2218" t="s">
        <v>80</v>
      </c>
      <c r="O2218">
        <v>45222</v>
      </c>
      <c r="P2218">
        <v>178</v>
      </c>
      <c r="Q2218" t="s">
        <v>25</v>
      </c>
      <c r="R2218" t="str">
        <f t="shared" si="35"/>
        <v>Yes</v>
      </c>
    </row>
    <row r="2219" spans="1:18" x14ac:dyDescent="0.35">
      <c r="A2219" s="1">
        <v>40439</v>
      </c>
      <c r="B2219">
        <v>0</v>
      </c>
      <c r="C2219" t="s">
        <v>72</v>
      </c>
      <c r="D2219" t="s">
        <v>60</v>
      </c>
      <c r="E2219" t="s">
        <v>18</v>
      </c>
      <c r="F2219">
        <v>149</v>
      </c>
      <c r="G2219" t="s">
        <v>23</v>
      </c>
      <c r="H2219" t="s">
        <v>18</v>
      </c>
      <c r="I2219">
        <v>148</v>
      </c>
      <c r="J2219">
        <v>6</v>
      </c>
      <c r="K2219">
        <v>9</v>
      </c>
      <c r="L2219">
        <v>51</v>
      </c>
      <c r="M2219" t="s">
        <v>20</v>
      </c>
      <c r="N2219" t="s">
        <v>24</v>
      </c>
      <c r="O2219">
        <v>25981</v>
      </c>
      <c r="P2219">
        <v>199</v>
      </c>
      <c r="Q2219" t="s">
        <v>23</v>
      </c>
      <c r="R2219" t="str">
        <f t="shared" si="35"/>
        <v>Yes</v>
      </c>
    </row>
    <row r="2220" spans="1:18" x14ac:dyDescent="0.35">
      <c r="A2220" s="1">
        <v>40439</v>
      </c>
      <c r="B2220">
        <v>0</v>
      </c>
      <c r="C2220" t="s">
        <v>72</v>
      </c>
      <c r="D2220" t="s">
        <v>68</v>
      </c>
      <c r="E2220" t="s">
        <v>18</v>
      </c>
      <c r="F2220">
        <v>147</v>
      </c>
      <c r="G2220" t="s">
        <v>70</v>
      </c>
      <c r="H2220" t="s">
        <v>18</v>
      </c>
      <c r="I2220">
        <v>149</v>
      </c>
      <c r="J2220">
        <v>2</v>
      </c>
      <c r="K2220">
        <v>1</v>
      </c>
      <c r="L2220">
        <v>54</v>
      </c>
      <c r="M2220" t="s">
        <v>20</v>
      </c>
      <c r="N2220" t="s">
        <v>71</v>
      </c>
      <c r="O2220">
        <v>41767</v>
      </c>
      <c r="P2220">
        <v>156</v>
      </c>
      <c r="Q2220" t="s">
        <v>68</v>
      </c>
      <c r="R2220" t="str">
        <f t="shared" si="35"/>
        <v>No</v>
      </c>
    </row>
    <row r="2221" spans="1:18" x14ac:dyDescent="0.35">
      <c r="A2221" s="1">
        <v>40439</v>
      </c>
      <c r="B2221">
        <v>0</v>
      </c>
      <c r="C2221" t="s">
        <v>72</v>
      </c>
      <c r="D2221" t="s">
        <v>62</v>
      </c>
      <c r="E2221" t="s">
        <v>18</v>
      </c>
      <c r="F2221">
        <v>148</v>
      </c>
      <c r="G2221" t="s">
        <v>52</v>
      </c>
      <c r="H2221" t="s">
        <v>18</v>
      </c>
      <c r="I2221">
        <v>147</v>
      </c>
      <c r="J2221">
        <v>8</v>
      </c>
      <c r="K2221">
        <v>4</v>
      </c>
      <c r="L2221">
        <v>54</v>
      </c>
      <c r="M2221" t="s">
        <v>38</v>
      </c>
      <c r="N2221" t="s">
        <v>82</v>
      </c>
      <c r="O2221">
        <v>40205</v>
      </c>
      <c r="P2221">
        <v>215</v>
      </c>
      <c r="Q2221" t="s">
        <v>62</v>
      </c>
      <c r="R2221" t="str">
        <f t="shared" si="35"/>
        <v>No</v>
      </c>
    </row>
    <row r="2222" spans="1:18" x14ac:dyDescent="0.35">
      <c r="A2222" s="1">
        <v>40440</v>
      </c>
      <c r="B2222">
        <v>0</v>
      </c>
      <c r="C2222" t="s">
        <v>73</v>
      </c>
      <c r="D2222" t="s">
        <v>59</v>
      </c>
      <c r="E2222" t="s">
        <v>30</v>
      </c>
      <c r="F2222">
        <v>149</v>
      </c>
      <c r="G2222" t="s">
        <v>43</v>
      </c>
      <c r="H2222" t="s">
        <v>30</v>
      </c>
      <c r="I2222">
        <v>149</v>
      </c>
      <c r="J2222">
        <v>3</v>
      </c>
      <c r="K2222">
        <v>4</v>
      </c>
      <c r="L2222">
        <v>63</v>
      </c>
      <c r="M2222" t="s">
        <v>38</v>
      </c>
      <c r="N2222" t="s">
        <v>56</v>
      </c>
      <c r="O2222">
        <v>39537</v>
      </c>
      <c r="P2222">
        <v>221</v>
      </c>
      <c r="Q2222" t="s">
        <v>43</v>
      </c>
      <c r="R2222" t="str">
        <f t="shared" si="35"/>
        <v>Yes</v>
      </c>
    </row>
    <row r="2223" spans="1:18" x14ac:dyDescent="0.35">
      <c r="A2223" s="1">
        <v>40440</v>
      </c>
      <c r="B2223">
        <v>0</v>
      </c>
      <c r="C2223" t="s">
        <v>73</v>
      </c>
      <c r="D2223" t="s">
        <v>46</v>
      </c>
      <c r="E2223" t="s">
        <v>30</v>
      </c>
      <c r="F2223">
        <v>149</v>
      </c>
      <c r="G2223" t="s">
        <v>58</v>
      </c>
      <c r="H2223" t="s">
        <v>30</v>
      </c>
      <c r="I2223">
        <v>149</v>
      </c>
      <c r="J2223">
        <v>0</v>
      </c>
      <c r="K2223">
        <v>6</v>
      </c>
      <c r="L2223">
        <v>51</v>
      </c>
      <c r="M2223" t="s">
        <v>38</v>
      </c>
      <c r="N2223" t="s">
        <v>86</v>
      </c>
      <c r="O2223">
        <v>37234</v>
      </c>
      <c r="P2223">
        <v>157</v>
      </c>
      <c r="Q2223" t="s">
        <v>58</v>
      </c>
      <c r="R2223" t="str">
        <f t="shared" si="35"/>
        <v>Yes</v>
      </c>
    </row>
    <row r="2224" spans="1:18" x14ac:dyDescent="0.35">
      <c r="A2224" s="1">
        <v>40440</v>
      </c>
      <c r="B2224">
        <v>0</v>
      </c>
      <c r="C2224" t="s">
        <v>73</v>
      </c>
      <c r="D2224" t="s">
        <v>36</v>
      </c>
      <c r="E2224" t="s">
        <v>30</v>
      </c>
      <c r="F2224">
        <v>149</v>
      </c>
      <c r="G2224" t="s">
        <v>34</v>
      </c>
      <c r="H2224" t="s">
        <v>30</v>
      </c>
      <c r="I2224">
        <v>149</v>
      </c>
      <c r="J2224">
        <v>9</v>
      </c>
      <c r="K2224">
        <v>7</v>
      </c>
      <c r="L2224">
        <v>66</v>
      </c>
      <c r="M2224" t="s">
        <v>20</v>
      </c>
      <c r="N2224" t="s">
        <v>35</v>
      </c>
      <c r="O2224">
        <v>25417</v>
      </c>
      <c r="P2224">
        <v>253</v>
      </c>
      <c r="Q2224" t="s">
        <v>36</v>
      </c>
      <c r="R2224" t="str">
        <f t="shared" si="35"/>
        <v>No</v>
      </c>
    </row>
    <row r="2225" spans="1:18" x14ac:dyDescent="0.35">
      <c r="A2225" s="1">
        <v>40440</v>
      </c>
      <c r="B2225">
        <v>0</v>
      </c>
      <c r="C2225" t="s">
        <v>73</v>
      </c>
      <c r="D2225" t="s">
        <v>33</v>
      </c>
      <c r="E2225" t="s">
        <v>30</v>
      </c>
      <c r="F2225">
        <v>149</v>
      </c>
      <c r="G2225" t="s">
        <v>37</v>
      </c>
      <c r="H2225" t="s">
        <v>30</v>
      </c>
      <c r="I2225">
        <v>148</v>
      </c>
      <c r="J2225">
        <v>4</v>
      </c>
      <c r="K2225">
        <v>6</v>
      </c>
      <c r="L2225">
        <v>51</v>
      </c>
      <c r="M2225" t="s">
        <v>38</v>
      </c>
      <c r="N2225" t="s">
        <v>39</v>
      </c>
      <c r="O2225">
        <v>17803</v>
      </c>
      <c r="P2225">
        <v>161</v>
      </c>
      <c r="Q2225" t="s">
        <v>37</v>
      </c>
      <c r="R2225" t="str">
        <f t="shared" si="35"/>
        <v>Yes</v>
      </c>
    </row>
    <row r="2226" spans="1:18" x14ac:dyDescent="0.35">
      <c r="A2226" s="1">
        <v>40440</v>
      </c>
      <c r="B2226">
        <v>0</v>
      </c>
      <c r="C2226" t="s">
        <v>73</v>
      </c>
      <c r="D2226" t="s">
        <v>41</v>
      </c>
      <c r="E2226" t="s">
        <v>30</v>
      </c>
      <c r="F2226">
        <v>148</v>
      </c>
      <c r="G2226" t="s">
        <v>29</v>
      </c>
      <c r="H2226" t="s">
        <v>30</v>
      </c>
      <c r="I2226">
        <v>149</v>
      </c>
      <c r="J2226">
        <v>6</v>
      </c>
      <c r="K2226">
        <v>2</v>
      </c>
      <c r="L2226">
        <v>54</v>
      </c>
      <c r="M2226" t="s">
        <v>38</v>
      </c>
      <c r="N2226" t="s">
        <v>76</v>
      </c>
      <c r="O2226">
        <v>40088</v>
      </c>
      <c r="P2226">
        <v>182</v>
      </c>
      <c r="Q2226" t="s">
        <v>41</v>
      </c>
      <c r="R2226" t="str">
        <f t="shared" si="35"/>
        <v>No</v>
      </c>
    </row>
    <row r="2227" spans="1:18" x14ac:dyDescent="0.35">
      <c r="A2227" s="1">
        <v>40440</v>
      </c>
      <c r="B2227">
        <v>0</v>
      </c>
      <c r="C2227" t="s">
        <v>73</v>
      </c>
      <c r="D2227" t="s">
        <v>47</v>
      </c>
      <c r="E2227" t="s">
        <v>30</v>
      </c>
      <c r="F2227">
        <v>148</v>
      </c>
      <c r="G2227" t="s">
        <v>40</v>
      </c>
      <c r="H2227" t="s">
        <v>30</v>
      </c>
      <c r="I2227">
        <v>149</v>
      </c>
      <c r="J2227">
        <v>1</v>
      </c>
      <c r="K2227">
        <v>2</v>
      </c>
      <c r="L2227">
        <v>51</v>
      </c>
      <c r="M2227" t="s">
        <v>38</v>
      </c>
      <c r="N2227" t="s">
        <v>77</v>
      </c>
      <c r="O2227">
        <v>20764</v>
      </c>
      <c r="P2227">
        <v>157</v>
      </c>
      <c r="Q2227" t="s">
        <v>40</v>
      </c>
      <c r="R2227" t="str">
        <f t="shared" si="35"/>
        <v>Yes</v>
      </c>
    </row>
    <row r="2228" spans="1:18" x14ac:dyDescent="0.35">
      <c r="A2228" s="1">
        <v>40440</v>
      </c>
      <c r="B2228">
        <v>0</v>
      </c>
      <c r="C2228" t="s">
        <v>73</v>
      </c>
      <c r="D2228" t="s">
        <v>31</v>
      </c>
      <c r="E2228" t="s">
        <v>30</v>
      </c>
      <c r="F2228">
        <v>149</v>
      </c>
      <c r="G2228" t="s">
        <v>44</v>
      </c>
      <c r="H2228" t="s">
        <v>30</v>
      </c>
      <c r="I2228">
        <v>148</v>
      </c>
      <c r="J2228">
        <v>6</v>
      </c>
      <c r="K2228">
        <v>3</v>
      </c>
      <c r="L2228">
        <v>54</v>
      </c>
      <c r="M2228" t="s">
        <v>38</v>
      </c>
      <c r="N2228" t="s">
        <v>45</v>
      </c>
      <c r="O2228">
        <v>25794</v>
      </c>
      <c r="P2228">
        <v>194</v>
      </c>
      <c r="Q2228" t="s">
        <v>31</v>
      </c>
      <c r="R2228" t="str">
        <f t="shared" si="35"/>
        <v>No</v>
      </c>
    </row>
    <row r="2229" spans="1:18" x14ac:dyDescent="0.35">
      <c r="A2229" s="1">
        <v>40440</v>
      </c>
      <c r="B2229">
        <v>0</v>
      </c>
      <c r="C2229" t="s">
        <v>73</v>
      </c>
      <c r="D2229" t="s">
        <v>49</v>
      </c>
      <c r="E2229" t="s">
        <v>18</v>
      </c>
      <c r="F2229">
        <v>149</v>
      </c>
      <c r="G2229" t="s">
        <v>17</v>
      </c>
      <c r="H2229" t="s">
        <v>18</v>
      </c>
      <c r="I2229">
        <v>148</v>
      </c>
      <c r="J2229">
        <v>13</v>
      </c>
      <c r="K2229">
        <v>3</v>
      </c>
      <c r="L2229">
        <v>54</v>
      </c>
      <c r="M2229" t="s">
        <v>38</v>
      </c>
      <c r="N2229" t="s">
        <v>65</v>
      </c>
      <c r="O2229">
        <v>20203</v>
      </c>
      <c r="P2229">
        <v>195</v>
      </c>
      <c r="Q2229" t="s">
        <v>49</v>
      </c>
      <c r="R2229" t="str">
        <f t="shared" si="35"/>
        <v>No</v>
      </c>
    </row>
    <row r="2230" spans="1:18" x14ac:dyDescent="0.35">
      <c r="A2230" s="1">
        <v>40440</v>
      </c>
      <c r="B2230">
        <v>0</v>
      </c>
      <c r="C2230" t="s">
        <v>73</v>
      </c>
      <c r="D2230" t="s">
        <v>53</v>
      </c>
      <c r="E2230" t="s">
        <v>18</v>
      </c>
      <c r="F2230">
        <v>150</v>
      </c>
      <c r="G2230" t="s">
        <v>66</v>
      </c>
      <c r="H2230" t="s">
        <v>18</v>
      </c>
      <c r="I2230">
        <v>149</v>
      </c>
      <c r="J2230">
        <v>3</v>
      </c>
      <c r="K2230">
        <v>4</v>
      </c>
      <c r="L2230">
        <v>51</v>
      </c>
      <c r="M2230" t="s">
        <v>38</v>
      </c>
      <c r="N2230" t="s">
        <v>67</v>
      </c>
      <c r="O2230">
        <v>32520</v>
      </c>
      <c r="P2230">
        <v>155</v>
      </c>
      <c r="Q2230" t="s">
        <v>66</v>
      </c>
      <c r="R2230" t="str">
        <f t="shared" si="35"/>
        <v>Yes</v>
      </c>
    </row>
    <row r="2231" spans="1:18" x14ac:dyDescent="0.35">
      <c r="A2231" s="1">
        <v>40440</v>
      </c>
      <c r="B2231">
        <v>0</v>
      </c>
      <c r="C2231" t="s">
        <v>73</v>
      </c>
      <c r="D2231" t="s">
        <v>63</v>
      </c>
      <c r="E2231" t="s">
        <v>18</v>
      </c>
      <c r="F2231">
        <v>149</v>
      </c>
      <c r="G2231" t="s">
        <v>22</v>
      </c>
      <c r="H2231" t="s">
        <v>18</v>
      </c>
      <c r="I2231">
        <v>150</v>
      </c>
      <c r="J2231">
        <v>6</v>
      </c>
      <c r="K2231">
        <v>7</v>
      </c>
      <c r="L2231">
        <v>64</v>
      </c>
      <c r="M2231" t="s">
        <v>38</v>
      </c>
      <c r="N2231" t="s">
        <v>85</v>
      </c>
      <c r="O2231">
        <v>37402</v>
      </c>
      <c r="P2231">
        <v>261</v>
      </c>
      <c r="Q2231" t="s">
        <v>22</v>
      </c>
      <c r="R2231" t="str">
        <f t="shared" si="35"/>
        <v>Yes</v>
      </c>
    </row>
    <row r="2232" spans="1:18" x14ac:dyDescent="0.35">
      <c r="A2232" s="1">
        <v>40440</v>
      </c>
      <c r="B2232">
        <v>0</v>
      </c>
      <c r="C2232" t="s">
        <v>73</v>
      </c>
      <c r="D2232" t="s">
        <v>50</v>
      </c>
      <c r="E2232" t="s">
        <v>18</v>
      </c>
      <c r="F2232">
        <v>150</v>
      </c>
      <c r="G2232" t="s">
        <v>19</v>
      </c>
      <c r="H2232" t="s">
        <v>18</v>
      </c>
      <c r="I2232">
        <v>150</v>
      </c>
      <c r="J2232">
        <v>6</v>
      </c>
      <c r="K2232">
        <v>3</v>
      </c>
      <c r="L2232">
        <v>54</v>
      </c>
      <c r="M2232" t="s">
        <v>38</v>
      </c>
      <c r="N2232" t="s">
        <v>21</v>
      </c>
      <c r="O2232">
        <v>33612</v>
      </c>
      <c r="P2232">
        <v>177</v>
      </c>
      <c r="Q2232" t="s">
        <v>50</v>
      </c>
      <c r="R2232" t="str">
        <f t="shared" si="35"/>
        <v>No</v>
      </c>
    </row>
    <row r="2233" spans="1:18" x14ac:dyDescent="0.35">
      <c r="A2233" s="1">
        <v>40440</v>
      </c>
      <c r="B2233">
        <v>0</v>
      </c>
      <c r="C2233" t="s">
        <v>73</v>
      </c>
      <c r="D2233" t="s">
        <v>26</v>
      </c>
      <c r="E2233" t="s">
        <v>18</v>
      </c>
      <c r="F2233">
        <v>149</v>
      </c>
      <c r="G2233" t="s">
        <v>25</v>
      </c>
      <c r="H2233" t="s">
        <v>18</v>
      </c>
      <c r="I2233">
        <v>150</v>
      </c>
      <c r="J2233">
        <v>6</v>
      </c>
      <c r="K2233">
        <v>7</v>
      </c>
      <c r="L2233">
        <v>51</v>
      </c>
      <c r="M2233" t="s">
        <v>38</v>
      </c>
      <c r="N2233" t="s">
        <v>80</v>
      </c>
      <c r="O2233">
        <v>44936</v>
      </c>
      <c r="P2233">
        <v>195</v>
      </c>
      <c r="Q2233" t="s">
        <v>25</v>
      </c>
      <c r="R2233" t="str">
        <f t="shared" si="35"/>
        <v>Yes</v>
      </c>
    </row>
    <row r="2234" spans="1:18" x14ac:dyDescent="0.35">
      <c r="A2234" s="1">
        <v>40440</v>
      </c>
      <c r="B2234">
        <v>0</v>
      </c>
      <c r="C2234" t="s">
        <v>73</v>
      </c>
      <c r="D2234" t="s">
        <v>60</v>
      </c>
      <c r="E2234" t="s">
        <v>18</v>
      </c>
      <c r="F2234">
        <v>150</v>
      </c>
      <c r="G2234" t="s">
        <v>23</v>
      </c>
      <c r="H2234" t="s">
        <v>18</v>
      </c>
      <c r="I2234">
        <v>149</v>
      </c>
      <c r="J2234">
        <v>3</v>
      </c>
      <c r="K2234">
        <v>4</v>
      </c>
      <c r="L2234">
        <v>51</v>
      </c>
      <c r="M2234" t="s">
        <v>38</v>
      </c>
      <c r="N2234" t="s">
        <v>24</v>
      </c>
      <c r="O2234">
        <v>18331</v>
      </c>
      <c r="P2234">
        <v>150</v>
      </c>
      <c r="Q2234" t="s">
        <v>23</v>
      </c>
      <c r="R2234" t="str">
        <f t="shared" si="35"/>
        <v>Yes</v>
      </c>
    </row>
    <row r="2235" spans="1:18" x14ac:dyDescent="0.35">
      <c r="A2235" s="1">
        <v>40440</v>
      </c>
      <c r="B2235">
        <v>0</v>
      </c>
      <c r="C2235" t="s">
        <v>73</v>
      </c>
      <c r="D2235" t="s">
        <v>68</v>
      </c>
      <c r="E2235" t="s">
        <v>18</v>
      </c>
      <c r="F2235">
        <v>148</v>
      </c>
      <c r="G2235" t="s">
        <v>70</v>
      </c>
      <c r="H2235" t="s">
        <v>18</v>
      </c>
      <c r="I2235">
        <v>150</v>
      </c>
      <c r="J2235">
        <v>2</v>
      </c>
      <c r="K2235">
        <v>9</v>
      </c>
      <c r="L2235">
        <v>51</v>
      </c>
      <c r="M2235" t="s">
        <v>38</v>
      </c>
      <c r="N2235" t="s">
        <v>71</v>
      </c>
      <c r="O2235">
        <v>41113</v>
      </c>
      <c r="P2235">
        <v>176</v>
      </c>
      <c r="Q2235" t="s">
        <v>70</v>
      </c>
      <c r="R2235" t="str">
        <f t="shared" si="35"/>
        <v>Yes</v>
      </c>
    </row>
    <row r="2236" spans="1:18" x14ac:dyDescent="0.35">
      <c r="A2236" s="1">
        <v>40440</v>
      </c>
      <c r="B2236">
        <v>0</v>
      </c>
      <c r="C2236" t="s">
        <v>73</v>
      </c>
      <c r="D2236" t="s">
        <v>62</v>
      </c>
      <c r="E2236" t="s">
        <v>18</v>
      </c>
      <c r="F2236">
        <v>149</v>
      </c>
      <c r="G2236" t="s">
        <v>52</v>
      </c>
      <c r="H2236" t="s">
        <v>18</v>
      </c>
      <c r="I2236">
        <v>148</v>
      </c>
      <c r="J2236">
        <v>1</v>
      </c>
      <c r="K2236">
        <v>4</v>
      </c>
      <c r="L2236">
        <v>51</v>
      </c>
      <c r="M2236" t="s">
        <v>38</v>
      </c>
      <c r="N2236" t="s">
        <v>82</v>
      </c>
      <c r="O2236">
        <v>37885</v>
      </c>
      <c r="P2236">
        <v>142</v>
      </c>
      <c r="Q2236" t="s">
        <v>52</v>
      </c>
      <c r="R2236" t="str">
        <f t="shared" si="35"/>
        <v>Yes</v>
      </c>
    </row>
    <row r="2237" spans="1:18" x14ac:dyDescent="0.35">
      <c r="A2237" s="1">
        <v>40441</v>
      </c>
      <c r="B2237">
        <v>0</v>
      </c>
      <c r="C2237" t="s">
        <v>74</v>
      </c>
      <c r="D2237" t="s">
        <v>47</v>
      </c>
      <c r="E2237" t="s">
        <v>30</v>
      </c>
      <c r="F2237">
        <v>149</v>
      </c>
      <c r="G2237" t="s">
        <v>31</v>
      </c>
      <c r="H2237" t="s">
        <v>30</v>
      </c>
      <c r="I2237">
        <v>150</v>
      </c>
      <c r="J2237">
        <v>4</v>
      </c>
      <c r="K2237">
        <v>7</v>
      </c>
      <c r="L2237">
        <v>51</v>
      </c>
      <c r="M2237" t="s">
        <v>20</v>
      </c>
      <c r="N2237" t="s">
        <v>32</v>
      </c>
      <c r="O2237">
        <v>41404</v>
      </c>
      <c r="P2237">
        <v>199</v>
      </c>
      <c r="Q2237" t="s">
        <v>31</v>
      </c>
      <c r="R2237" t="str">
        <f t="shared" si="35"/>
        <v>Yes</v>
      </c>
    </row>
    <row r="2238" spans="1:18" x14ac:dyDescent="0.35">
      <c r="A2238" s="1">
        <v>40441</v>
      </c>
      <c r="B2238">
        <v>0</v>
      </c>
      <c r="C2238" t="s">
        <v>74</v>
      </c>
      <c r="D2238" t="s">
        <v>43</v>
      </c>
      <c r="E2238" t="s">
        <v>30</v>
      </c>
      <c r="F2238">
        <v>150</v>
      </c>
      <c r="G2238" t="s">
        <v>58</v>
      </c>
      <c r="H2238" t="s">
        <v>30</v>
      </c>
      <c r="I2238">
        <v>150</v>
      </c>
      <c r="J2238">
        <v>4</v>
      </c>
      <c r="K2238">
        <v>2</v>
      </c>
      <c r="L2238">
        <v>54</v>
      </c>
      <c r="M2238" t="s">
        <v>20</v>
      </c>
      <c r="N2238" t="s">
        <v>86</v>
      </c>
      <c r="O2238">
        <v>37560</v>
      </c>
      <c r="P2238">
        <v>192</v>
      </c>
      <c r="Q2238" t="s">
        <v>43</v>
      </c>
      <c r="R2238" t="str">
        <f t="shared" si="35"/>
        <v>No</v>
      </c>
    </row>
    <row r="2239" spans="1:18" x14ac:dyDescent="0.35">
      <c r="A2239" s="1">
        <v>40441</v>
      </c>
      <c r="B2239">
        <v>0</v>
      </c>
      <c r="C2239" t="s">
        <v>74</v>
      </c>
      <c r="D2239" t="s">
        <v>37</v>
      </c>
      <c r="E2239" t="s">
        <v>30</v>
      </c>
      <c r="F2239">
        <v>149</v>
      </c>
      <c r="G2239" t="s">
        <v>36</v>
      </c>
      <c r="H2239" t="s">
        <v>30</v>
      </c>
      <c r="I2239">
        <v>150</v>
      </c>
      <c r="J2239">
        <v>5</v>
      </c>
      <c r="K2239">
        <v>7</v>
      </c>
      <c r="L2239">
        <v>51</v>
      </c>
      <c r="M2239" t="s">
        <v>20</v>
      </c>
      <c r="N2239" t="s">
        <v>57</v>
      </c>
      <c r="O2239">
        <v>24382</v>
      </c>
      <c r="P2239">
        <v>163</v>
      </c>
      <c r="Q2239" t="s">
        <v>36</v>
      </c>
      <c r="R2239" t="str">
        <f t="shared" si="35"/>
        <v>Yes</v>
      </c>
    </row>
    <row r="2240" spans="1:18" x14ac:dyDescent="0.35">
      <c r="A2240" s="1">
        <v>40441</v>
      </c>
      <c r="B2240">
        <v>0</v>
      </c>
      <c r="C2240" t="s">
        <v>74</v>
      </c>
      <c r="D2240" t="s">
        <v>33</v>
      </c>
      <c r="E2240" t="s">
        <v>30</v>
      </c>
      <c r="F2240">
        <v>150</v>
      </c>
      <c r="G2240" t="s">
        <v>29</v>
      </c>
      <c r="H2240" t="s">
        <v>30</v>
      </c>
      <c r="I2240">
        <v>150</v>
      </c>
      <c r="J2240">
        <v>3</v>
      </c>
      <c r="K2240">
        <v>9</v>
      </c>
      <c r="L2240">
        <v>51</v>
      </c>
      <c r="M2240" t="s">
        <v>20</v>
      </c>
      <c r="N2240" t="s">
        <v>76</v>
      </c>
      <c r="O2240">
        <v>39228</v>
      </c>
      <c r="P2240">
        <v>162</v>
      </c>
      <c r="Q2240" t="s">
        <v>29</v>
      </c>
      <c r="R2240" t="str">
        <f t="shared" si="35"/>
        <v>Yes</v>
      </c>
    </row>
    <row r="2241" spans="1:18" x14ac:dyDescent="0.35">
      <c r="A2241" s="1">
        <v>40441</v>
      </c>
      <c r="B2241">
        <v>0</v>
      </c>
      <c r="C2241" t="s">
        <v>74</v>
      </c>
      <c r="D2241" t="s">
        <v>44</v>
      </c>
      <c r="E2241" t="s">
        <v>30</v>
      </c>
      <c r="F2241">
        <v>149</v>
      </c>
      <c r="G2241" t="s">
        <v>59</v>
      </c>
      <c r="H2241" t="s">
        <v>30</v>
      </c>
      <c r="I2241">
        <v>150</v>
      </c>
      <c r="J2241">
        <v>6</v>
      </c>
      <c r="K2241">
        <v>8</v>
      </c>
      <c r="L2241">
        <v>51</v>
      </c>
      <c r="M2241" t="s">
        <v>20</v>
      </c>
      <c r="N2241" t="s">
        <v>84</v>
      </c>
      <c r="O2241">
        <v>47437</v>
      </c>
      <c r="P2241">
        <v>199</v>
      </c>
      <c r="Q2241" t="s">
        <v>59</v>
      </c>
      <c r="R2241" t="str">
        <f t="shared" si="35"/>
        <v>Yes</v>
      </c>
    </row>
    <row r="2242" spans="1:18" x14ac:dyDescent="0.35">
      <c r="A2242" s="1">
        <v>40441</v>
      </c>
      <c r="B2242">
        <v>0</v>
      </c>
      <c r="C2242" t="s">
        <v>74</v>
      </c>
      <c r="D2242" t="s">
        <v>34</v>
      </c>
      <c r="E2242" t="s">
        <v>30</v>
      </c>
      <c r="F2242">
        <v>150</v>
      </c>
      <c r="G2242" t="s">
        <v>41</v>
      </c>
      <c r="H2242" t="s">
        <v>30</v>
      </c>
      <c r="I2242">
        <v>149</v>
      </c>
      <c r="J2242">
        <v>0</v>
      </c>
      <c r="K2242">
        <v>3</v>
      </c>
      <c r="L2242">
        <v>51</v>
      </c>
      <c r="M2242" t="s">
        <v>20</v>
      </c>
      <c r="N2242" t="s">
        <v>42</v>
      </c>
      <c r="O2242">
        <v>10090</v>
      </c>
      <c r="P2242">
        <v>173</v>
      </c>
      <c r="Q2242" t="s">
        <v>41</v>
      </c>
      <c r="R2242" t="str">
        <f t="shared" si="35"/>
        <v>Yes</v>
      </c>
    </row>
    <row r="2243" spans="1:18" x14ac:dyDescent="0.35">
      <c r="A2243" s="1">
        <v>40441</v>
      </c>
      <c r="B2243">
        <v>0</v>
      </c>
      <c r="C2243" t="s">
        <v>74</v>
      </c>
      <c r="D2243" t="s">
        <v>52</v>
      </c>
      <c r="E2243" t="s">
        <v>18</v>
      </c>
      <c r="F2243">
        <v>149</v>
      </c>
      <c r="G2243" t="s">
        <v>17</v>
      </c>
      <c r="H2243" t="s">
        <v>18</v>
      </c>
      <c r="I2243">
        <v>149</v>
      </c>
      <c r="J2243">
        <v>0</v>
      </c>
      <c r="K2243">
        <v>4</v>
      </c>
      <c r="L2243">
        <v>51</v>
      </c>
      <c r="M2243" t="s">
        <v>38</v>
      </c>
      <c r="N2243" t="s">
        <v>65</v>
      </c>
      <c r="O2243">
        <v>20955</v>
      </c>
      <c r="P2243">
        <v>112</v>
      </c>
      <c r="Q2243" t="s">
        <v>17</v>
      </c>
      <c r="R2243" t="str">
        <f t="shared" ref="R2243:R2306" si="36">IF(K2243&gt;J2243,"Yes","No")</f>
        <v>Yes</v>
      </c>
    </row>
    <row r="2244" spans="1:18" x14ac:dyDescent="0.35">
      <c r="A2244" s="1">
        <v>40441</v>
      </c>
      <c r="B2244">
        <v>0</v>
      </c>
      <c r="C2244" t="s">
        <v>74</v>
      </c>
      <c r="D2244" t="s">
        <v>53</v>
      </c>
      <c r="E2244" t="s">
        <v>18</v>
      </c>
      <c r="F2244">
        <v>151</v>
      </c>
      <c r="G2244" t="s">
        <v>68</v>
      </c>
      <c r="H2244" t="s">
        <v>18</v>
      </c>
      <c r="I2244">
        <v>149</v>
      </c>
      <c r="J2244">
        <v>5</v>
      </c>
      <c r="K2244">
        <v>2</v>
      </c>
      <c r="L2244">
        <v>54</v>
      </c>
      <c r="M2244" t="s">
        <v>20</v>
      </c>
      <c r="N2244" t="s">
        <v>69</v>
      </c>
      <c r="O2244">
        <v>30024</v>
      </c>
      <c r="P2244">
        <v>178</v>
      </c>
      <c r="Q2244" t="s">
        <v>53</v>
      </c>
      <c r="R2244" t="str">
        <f t="shared" si="36"/>
        <v>No</v>
      </c>
    </row>
    <row r="2245" spans="1:18" x14ac:dyDescent="0.35">
      <c r="A2245" s="1">
        <v>40441</v>
      </c>
      <c r="B2245">
        <v>0</v>
      </c>
      <c r="C2245" t="s">
        <v>74</v>
      </c>
      <c r="D2245" t="s">
        <v>50</v>
      </c>
      <c r="E2245" t="s">
        <v>18</v>
      </c>
      <c r="F2245">
        <v>151</v>
      </c>
      <c r="G2245" t="s">
        <v>25</v>
      </c>
      <c r="H2245" t="s">
        <v>18</v>
      </c>
      <c r="I2245">
        <v>151</v>
      </c>
      <c r="J2245">
        <v>1</v>
      </c>
      <c r="K2245">
        <v>3</v>
      </c>
      <c r="L2245">
        <v>51</v>
      </c>
      <c r="M2245" t="s">
        <v>20</v>
      </c>
      <c r="N2245" t="s">
        <v>80</v>
      </c>
      <c r="O2245">
        <v>45256</v>
      </c>
      <c r="P2245">
        <v>165</v>
      </c>
      <c r="Q2245" t="s">
        <v>25</v>
      </c>
      <c r="R2245" t="str">
        <f t="shared" si="36"/>
        <v>Yes</v>
      </c>
    </row>
    <row r="2246" spans="1:18" x14ac:dyDescent="0.35">
      <c r="A2246" s="1">
        <v>40441</v>
      </c>
      <c r="B2246">
        <v>0</v>
      </c>
      <c r="C2246" t="s">
        <v>74</v>
      </c>
      <c r="D2246" t="s">
        <v>66</v>
      </c>
      <c r="E2246" t="s">
        <v>18</v>
      </c>
      <c r="F2246">
        <v>150</v>
      </c>
      <c r="G2246" t="s">
        <v>26</v>
      </c>
      <c r="H2246" t="s">
        <v>18</v>
      </c>
      <c r="I2246">
        <v>150</v>
      </c>
      <c r="J2246">
        <v>8</v>
      </c>
      <c r="K2246">
        <v>2</v>
      </c>
      <c r="L2246">
        <v>54</v>
      </c>
      <c r="M2246" t="s">
        <v>20</v>
      </c>
      <c r="N2246" t="s">
        <v>27</v>
      </c>
      <c r="O2246">
        <v>10999</v>
      </c>
      <c r="P2246">
        <v>160</v>
      </c>
      <c r="Q2246" t="s">
        <v>66</v>
      </c>
      <c r="R2246" t="str">
        <f t="shared" si="36"/>
        <v>No</v>
      </c>
    </row>
    <row r="2247" spans="1:18" x14ac:dyDescent="0.35">
      <c r="A2247" s="1">
        <v>40442</v>
      </c>
      <c r="B2247">
        <v>0</v>
      </c>
      <c r="C2247" t="s">
        <v>83</v>
      </c>
      <c r="D2247" t="s">
        <v>47</v>
      </c>
      <c r="E2247" t="s">
        <v>30</v>
      </c>
      <c r="F2247">
        <v>150</v>
      </c>
      <c r="G2247" t="s">
        <v>31</v>
      </c>
      <c r="H2247" t="s">
        <v>30</v>
      </c>
      <c r="I2247">
        <v>151</v>
      </c>
      <c r="J2247">
        <v>0</v>
      </c>
      <c r="K2247">
        <v>2</v>
      </c>
      <c r="L2247">
        <v>51</v>
      </c>
      <c r="M2247" t="s">
        <v>20</v>
      </c>
      <c r="N2247" t="s">
        <v>32</v>
      </c>
      <c r="O2247">
        <v>41707</v>
      </c>
      <c r="P2247">
        <v>132</v>
      </c>
      <c r="Q2247" t="s">
        <v>31</v>
      </c>
      <c r="R2247" t="str">
        <f t="shared" si="36"/>
        <v>Yes</v>
      </c>
    </row>
    <row r="2248" spans="1:18" x14ac:dyDescent="0.35">
      <c r="A2248" s="1">
        <v>40442</v>
      </c>
      <c r="B2248">
        <v>0</v>
      </c>
      <c r="C2248" t="s">
        <v>83</v>
      </c>
      <c r="D2248" t="s">
        <v>43</v>
      </c>
      <c r="E2248" t="s">
        <v>30</v>
      </c>
      <c r="F2248">
        <v>151</v>
      </c>
      <c r="G2248" t="s">
        <v>58</v>
      </c>
      <c r="H2248" t="s">
        <v>30</v>
      </c>
      <c r="I2248">
        <v>151</v>
      </c>
      <c r="J2248">
        <v>9</v>
      </c>
      <c r="K2248">
        <v>1</v>
      </c>
      <c r="L2248">
        <v>54</v>
      </c>
      <c r="M2248" t="s">
        <v>20</v>
      </c>
      <c r="N2248" t="s">
        <v>86</v>
      </c>
      <c r="O2248">
        <v>37464</v>
      </c>
      <c r="P2248">
        <v>208</v>
      </c>
      <c r="Q2248" t="s">
        <v>43</v>
      </c>
      <c r="R2248" t="str">
        <f t="shared" si="36"/>
        <v>No</v>
      </c>
    </row>
    <row r="2249" spans="1:18" x14ac:dyDescent="0.35">
      <c r="A2249" s="1">
        <v>40442</v>
      </c>
      <c r="B2249">
        <v>0</v>
      </c>
      <c r="C2249" t="s">
        <v>83</v>
      </c>
      <c r="D2249" t="s">
        <v>37</v>
      </c>
      <c r="E2249" t="s">
        <v>30</v>
      </c>
      <c r="F2249">
        <v>150</v>
      </c>
      <c r="G2249" t="s">
        <v>36</v>
      </c>
      <c r="H2249" t="s">
        <v>30</v>
      </c>
      <c r="I2249">
        <v>151</v>
      </c>
      <c r="J2249">
        <v>9</v>
      </c>
      <c r="K2249">
        <v>6</v>
      </c>
      <c r="L2249">
        <v>54</v>
      </c>
      <c r="M2249" t="s">
        <v>20</v>
      </c>
      <c r="N2249" t="s">
        <v>57</v>
      </c>
      <c r="O2249">
        <v>26178</v>
      </c>
      <c r="P2249">
        <v>187</v>
      </c>
      <c r="Q2249" t="s">
        <v>37</v>
      </c>
      <c r="R2249" t="str">
        <f t="shared" si="36"/>
        <v>No</v>
      </c>
    </row>
    <row r="2250" spans="1:18" x14ac:dyDescent="0.35">
      <c r="A2250" s="1">
        <v>40442</v>
      </c>
      <c r="B2250">
        <v>0</v>
      </c>
      <c r="C2250" t="s">
        <v>83</v>
      </c>
      <c r="D2250" t="s">
        <v>33</v>
      </c>
      <c r="E2250" t="s">
        <v>30</v>
      </c>
      <c r="F2250">
        <v>151</v>
      </c>
      <c r="G2250" t="s">
        <v>29</v>
      </c>
      <c r="H2250" t="s">
        <v>30</v>
      </c>
      <c r="I2250">
        <v>151</v>
      </c>
      <c r="J2250">
        <v>4</v>
      </c>
      <c r="K2250">
        <v>6</v>
      </c>
      <c r="L2250">
        <v>51</v>
      </c>
      <c r="M2250" t="s">
        <v>20</v>
      </c>
      <c r="N2250" t="s">
        <v>76</v>
      </c>
      <c r="O2250">
        <v>39580</v>
      </c>
      <c r="P2250">
        <v>188</v>
      </c>
      <c r="Q2250" t="s">
        <v>29</v>
      </c>
      <c r="R2250" t="str">
        <f t="shared" si="36"/>
        <v>Yes</v>
      </c>
    </row>
    <row r="2251" spans="1:18" x14ac:dyDescent="0.35">
      <c r="A2251" s="1">
        <v>40442</v>
      </c>
      <c r="B2251">
        <v>0</v>
      </c>
      <c r="C2251" t="s">
        <v>83</v>
      </c>
      <c r="D2251" t="s">
        <v>44</v>
      </c>
      <c r="E2251" t="s">
        <v>30</v>
      </c>
      <c r="F2251">
        <v>150</v>
      </c>
      <c r="G2251" t="s">
        <v>59</v>
      </c>
      <c r="H2251" t="s">
        <v>30</v>
      </c>
      <c r="I2251">
        <v>151</v>
      </c>
      <c r="J2251">
        <v>3</v>
      </c>
      <c r="K2251">
        <v>8</v>
      </c>
      <c r="L2251">
        <v>51</v>
      </c>
      <c r="M2251" t="s">
        <v>20</v>
      </c>
      <c r="N2251" t="s">
        <v>84</v>
      </c>
      <c r="O2251">
        <v>46609</v>
      </c>
      <c r="P2251">
        <v>194</v>
      </c>
      <c r="Q2251" t="s">
        <v>59</v>
      </c>
      <c r="R2251" t="str">
        <f t="shared" si="36"/>
        <v>Yes</v>
      </c>
    </row>
    <row r="2252" spans="1:18" x14ac:dyDescent="0.35">
      <c r="A2252" s="1">
        <v>40442</v>
      </c>
      <c r="B2252">
        <v>0</v>
      </c>
      <c r="C2252" t="s">
        <v>83</v>
      </c>
      <c r="D2252" t="s">
        <v>34</v>
      </c>
      <c r="E2252" t="s">
        <v>30</v>
      </c>
      <c r="F2252">
        <v>151</v>
      </c>
      <c r="G2252" t="s">
        <v>41</v>
      </c>
      <c r="H2252" t="s">
        <v>30</v>
      </c>
      <c r="I2252">
        <v>150</v>
      </c>
      <c r="J2252">
        <v>2</v>
      </c>
      <c r="K2252">
        <v>7</v>
      </c>
      <c r="L2252">
        <v>51</v>
      </c>
      <c r="M2252" t="s">
        <v>20</v>
      </c>
      <c r="N2252" t="s">
        <v>42</v>
      </c>
      <c r="O2252">
        <v>11158</v>
      </c>
      <c r="P2252">
        <v>150</v>
      </c>
      <c r="Q2252" t="s">
        <v>41</v>
      </c>
      <c r="R2252" t="str">
        <f t="shared" si="36"/>
        <v>Yes</v>
      </c>
    </row>
    <row r="2253" spans="1:18" x14ac:dyDescent="0.35">
      <c r="A2253" s="1">
        <v>40442</v>
      </c>
      <c r="B2253">
        <v>0</v>
      </c>
      <c r="C2253" t="s">
        <v>83</v>
      </c>
      <c r="D2253" t="s">
        <v>40</v>
      </c>
      <c r="E2253" t="s">
        <v>30</v>
      </c>
      <c r="F2253">
        <v>150</v>
      </c>
      <c r="G2253" t="s">
        <v>46</v>
      </c>
      <c r="H2253" t="s">
        <v>30</v>
      </c>
      <c r="I2253">
        <v>150</v>
      </c>
      <c r="J2253">
        <v>3</v>
      </c>
      <c r="K2253">
        <v>5</v>
      </c>
      <c r="L2253">
        <v>51</v>
      </c>
      <c r="M2253" t="s">
        <v>20</v>
      </c>
      <c r="N2253" t="s">
        <v>78</v>
      </c>
      <c r="O2253">
        <v>12158</v>
      </c>
      <c r="P2253">
        <v>132</v>
      </c>
      <c r="Q2253" t="s">
        <v>46</v>
      </c>
      <c r="R2253" t="str">
        <f t="shared" si="36"/>
        <v>Yes</v>
      </c>
    </row>
    <row r="2254" spans="1:18" x14ac:dyDescent="0.35">
      <c r="A2254" s="1">
        <v>40442</v>
      </c>
      <c r="B2254">
        <v>0</v>
      </c>
      <c r="C2254" t="s">
        <v>83</v>
      </c>
      <c r="D2254" t="s">
        <v>63</v>
      </c>
      <c r="E2254" t="s">
        <v>18</v>
      </c>
      <c r="F2254">
        <v>150</v>
      </c>
      <c r="G2254" t="s">
        <v>60</v>
      </c>
      <c r="H2254" t="s">
        <v>18</v>
      </c>
      <c r="I2254">
        <v>151</v>
      </c>
      <c r="J2254">
        <v>1</v>
      </c>
      <c r="K2254">
        <v>3</v>
      </c>
      <c r="L2254">
        <v>51</v>
      </c>
      <c r="M2254" t="s">
        <v>20</v>
      </c>
      <c r="N2254" t="s">
        <v>61</v>
      </c>
      <c r="O2254">
        <v>37460</v>
      </c>
      <c r="P2254">
        <v>154</v>
      </c>
      <c r="Q2254" t="s">
        <v>60</v>
      </c>
      <c r="R2254" t="str">
        <f t="shared" si="36"/>
        <v>Yes</v>
      </c>
    </row>
    <row r="2255" spans="1:18" x14ac:dyDescent="0.35">
      <c r="A2255" s="1">
        <v>40442</v>
      </c>
      <c r="B2255">
        <v>0</v>
      </c>
      <c r="C2255" t="s">
        <v>83</v>
      </c>
      <c r="D2255" t="s">
        <v>70</v>
      </c>
      <c r="E2255" t="s">
        <v>18</v>
      </c>
      <c r="F2255">
        <v>151</v>
      </c>
      <c r="G2255" t="s">
        <v>49</v>
      </c>
      <c r="H2255" t="s">
        <v>18</v>
      </c>
      <c r="I2255">
        <v>150</v>
      </c>
      <c r="J2255">
        <v>1</v>
      </c>
      <c r="K2255">
        <v>0</v>
      </c>
      <c r="L2255">
        <v>54</v>
      </c>
      <c r="M2255" t="s">
        <v>20</v>
      </c>
      <c r="N2255" t="s">
        <v>79</v>
      </c>
      <c r="O2255">
        <v>36364</v>
      </c>
      <c r="P2255">
        <v>140</v>
      </c>
      <c r="Q2255" t="s">
        <v>70</v>
      </c>
      <c r="R2255" t="str">
        <f t="shared" si="36"/>
        <v>No</v>
      </c>
    </row>
    <row r="2256" spans="1:18" x14ac:dyDescent="0.35">
      <c r="A2256" s="1">
        <v>40442</v>
      </c>
      <c r="B2256">
        <v>0</v>
      </c>
      <c r="C2256" t="s">
        <v>83</v>
      </c>
      <c r="D2256" t="s">
        <v>19</v>
      </c>
      <c r="E2256" t="s">
        <v>18</v>
      </c>
      <c r="F2256">
        <v>151</v>
      </c>
      <c r="G2256" t="s">
        <v>17</v>
      </c>
      <c r="H2256" t="s">
        <v>18</v>
      </c>
      <c r="I2256">
        <v>150</v>
      </c>
      <c r="J2256">
        <v>2</v>
      </c>
      <c r="K2256">
        <v>5</v>
      </c>
      <c r="L2256">
        <v>51</v>
      </c>
      <c r="M2256" t="s">
        <v>20</v>
      </c>
      <c r="N2256" t="s">
        <v>65</v>
      </c>
      <c r="O2256">
        <v>19422</v>
      </c>
      <c r="P2256">
        <v>148</v>
      </c>
      <c r="Q2256" t="s">
        <v>17</v>
      </c>
      <c r="R2256" t="str">
        <f t="shared" si="36"/>
        <v>Yes</v>
      </c>
    </row>
    <row r="2257" spans="1:18" x14ac:dyDescent="0.35">
      <c r="A2257" s="1">
        <v>40442</v>
      </c>
      <c r="B2257">
        <v>0</v>
      </c>
      <c r="C2257" t="s">
        <v>83</v>
      </c>
      <c r="D2257" t="s">
        <v>62</v>
      </c>
      <c r="E2257" t="s">
        <v>18</v>
      </c>
      <c r="F2257">
        <v>150</v>
      </c>
      <c r="G2257" t="s">
        <v>22</v>
      </c>
      <c r="H2257" t="s">
        <v>18</v>
      </c>
      <c r="I2257">
        <v>151</v>
      </c>
      <c r="J2257">
        <v>6</v>
      </c>
      <c r="K2257">
        <v>0</v>
      </c>
      <c r="L2257">
        <v>54</v>
      </c>
      <c r="M2257" t="s">
        <v>20</v>
      </c>
      <c r="N2257" t="s">
        <v>85</v>
      </c>
      <c r="O2257">
        <v>44166</v>
      </c>
      <c r="P2257">
        <v>140</v>
      </c>
      <c r="Q2257" t="s">
        <v>62</v>
      </c>
      <c r="R2257" t="str">
        <f t="shared" si="36"/>
        <v>No</v>
      </c>
    </row>
    <row r="2258" spans="1:18" x14ac:dyDescent="0.35">
      <c r="A2258" s="1">
        <v>40442</v>
      </c>
      <c r="B2258">
        <v>0</v>
      </c>
      <c r="C2258" t="s">
        <v>83</v>
      </c>
      <c r="D2258" t="s">
        <v>53</v>
      </c>
      <c r="E2258" t="s">
        <v>18</v>
      </c>
      <c r="F2258">
        <v>152</v>
      </c>
      <c r="G2258" t="s">
        <v>68</v>
      </c>
      <c r="H2258" t="s">
        <v>18</v>
      </c>
      <c r="I2258">
        <v>150</v>
      </c>
      <c r="J2258">
        <v>4</v>
      </c>
      <c r="K2258">
        <v>3</v>
      </c>
      <c r="L2258">
        <v>54</v>
      </c>
      <c r="M2258" t="s">
        <v>20</v>
      </c>
      <c r="N2258" t="s">
        <v>69</v>
      </c>
      <c r="O2258">
        <v>22761</v>
      </c>
      <c r="P2258">
        <v>167</v>
      </c>
      <c r="Q2258" t="s">
        <v>53</v>
      </c>
      <c r="R2258" t="str">
        <f t="shared" si="36"/>
        <v>No</v>
      </c>
    </row>
    <row r="2259" spans="1:18" x14ac:dyDescent="0.35">
      <c r="A2259" s="1">
        <v>40442</v>
      </c>
      <c r="B2259">
        <v>0</v>
      </c>
      <c r="C2259" t="s">
        <v>83</v>
      </c>
      <c r="D2259" t="s">
        <v>50</v>
      </c>
      <c r="E2259" t="s">
        <v>18</v>
      </c>
      <c r="F2259">
        <v>152</v>
      </c>
      <c r="G2259" t="s">
        <v>25</v>
      </c>
      <c r="H2259" t="s">
        <v>18</v>
      </c>
      <c r="I2259">
        <v>152</v>
      </c>
      <c r="J2259">
        <v>3</v>
      </c>
      <c r="K2259">
        <v>5</v>
      </c>
      <c r="L2259">
        <v>51</v>
      </c>
      <c r="M2259" t="s">
        <v>20</v>
      </c>
      <c r="N2259" t="s">
        <v>80</v>
      </c>
      <c r="O2259">
        <v>45264</v>
      </c>
      <c r="P2259">
        <v>180</v>
      </c>
      <c r="Q2259" t="s">
        <v>25</v>
      </c>
      <c r="R2259" t="str">
        <f t="shared" si="36"/>
        <v>Yes</v>
      </c>
    </row>
    <row r="2260" spans="1:18" x14ac:dyDescent="0.35">
      <c r="A2260" s="1">
        <v>40442</v>
      </c>
      <c r="B2260">
        <v>0</v>
      </c>
      <c r="C2260" t="s">
        <v>83</v>
      </c>
      <c r="D2260" t="s">
        <v>52</v>
      </c>
      <c r="E2260" t="s">
        <v>18</v>
      </c>
      <c r="F2260">
        <v>150</v>
      </c>
      <c r="G2260" t="s">
        <v>23</v>
      </c>
      <c r="H2260" t="s">
        <v>18</v>
      </c>
      <c r="I2260">
        <v>150</v>
      </c>
      <c r="J2260">
        <v>2</v>
      </c>
      <c r="K2260">
        <v>5</v>
      </c>
      <c r="L2260">
        <v>51</v>
      </c>
      <c r="M2260" t="s">
        <v>20</v>
      </c>
      <c r="N2260" t="s">
        <v>24</v>
      </c>
      <c r="O2260">
        <v>15478</v>
      </c>
      <c r="P2260">
        <v>151</v>
      </c>
      <c r="Q2260" t="s">
        <v>23</v>
      </c>
      <c r="R2260" t="str">
        <f t="shared" si="36"/>
        <v>Yes</v>
      </c>
    </row>
    <row r="2261" spans="1:18" x14ac:dyDescent="0.35">
      <c r="A2261" s="1">
        <v>40442</v>
      </c>
      <c r="B2261">
        <v>0</v>
      </c>
      <c r="C2261" t="s">
        <v>83</v>
      </c>
      <c r="D2261" t="s">
        <v>66</v>
      </c>
      <c r="E2261" t="s">
        <v>18</v>
      </c>
      <c r="F2261">
        <v>151</v>
      </c>
      <c r="G2261" t="s">
        <v>26</v>
      </c>
      <c r="H2261" t="s">
        <v>18</v>
      </c>
      <c r="I2261">
        <v>151</v>
      </c>
      <c r="J2261">
        <v>4</v>
      </c>
      <c r="K2261">
        <v>8</v>
      </c>
      <c r="L2261">
        <v>51</v>
      </c>
      <c r="M2261" t="s">
        <v>20</v>
      </c>
      <c r="N2261" t="s">
        <v>27</v>
      </c>
      <c r="O2261">
        <v>11893</v>
      </c>
      <c r="P2261">
        <v>193</v>
      </c>
      <c r="Q2261" t="s">
        <v>26</v>
      </c>
      <c r="R2261" t="str">
        <f t="shared" si="36"/>
        <v>Yes</v>
      </c>
    </row>
    <row r="2262" spans="1:18" x14ac:dyDescent="0.35">
      <c r="A2262" s="1">
        <v>40443</v>
      </c>
      <c r="B2262">
        <v>0</v>
      </c>
      <c r="C2262" t="s">
        <v>16</v>
      </c>
      <c r="D2262" t="s">
        <v>47</v>
      </c>
      <c r="E2262" t="s">
        <v>30</v>
      </c>
      <c r="F2262">
        <v>151</v>
      </c>
      <c r="G2262" t="s">
        <v>31</v>
      </c>
      <c r="H2262" t="s">
        <v>30</v>
      </c>
      <c r="I2262">
        <v>152</v>
      </c>
      <c r="J2262">
        <v>2</v>
      </c>
      <c r="K2262">
        <v>1</v>
      </c>
      <c r="L2262">
        <v>72</v>
      </c>
      <c r="M2262" t="s">
        <v>20</v>
      </c>
      <c r="N2262" t="s">
        <v>32</v>
      </c>
      <c r="O2262">
        <v>41222</v>
      </c>
      <c r="P2262">
        <v>216</v>
      </c>
      <c r="Q2262" t="s">
        <v>47</v>
      </c>
      <c r="R2262" t="str">
        <f t="shared" si="36"/>
        <v>No</v>
      </c>
    </row>
    <row r="2263" spans="1:18" x14ac:dyDescent="0.35">
      <c r="A2263" s="1">
        <v>40443</v>
      </c>
      <c r="B2263">
        <v>0</v>
      </c>
      <c r="C2263" t="s">
        <v>16</v>
      </c>
      <c r="D2263" t="s">
        <v>43</v>
      </c>
      <c r="E2263" t="s">
        <v>30</v>
      </c>
      <c r="F2263">
        <v>152</v>
      </c>
      <c r="G2263" t="s">
        <v>58</v>
      </c>
      <c r="H2263" t="s">
        <v>30</v>
      </c>
      <c r="I2263">
        <v>152</v>
      </c>
      <c r="J2263">
        <v>1</v>
      </c>
      <c r="K2263">
        <v>6</v>
      </c>
      <c r="L2263">
        <v>51</v>
      </c>
      <c r="M2263" t="s">
        <v>20</v>
      </c>
      <c r="N2263" t="s">
        <v>86</v>
      </c>
      <c r="O2263">
        <v>37729</v>
      </c>
      <c r="P2263">
        <v>164</v>
      </c>
      <c r="Q2263" t="s">
        <v>58</v>
      </c>
      <c r="R2263" t="str">
        <f t="shared" si="36"/>
        <v>Yes</v>
      </c>
    </row>
    <row r="2264" spans="1:18" x14ac:dyDescent="0.35">
      <c r="A2264" s="1">
        <v>40443</v>
      </c>
      <c r="B2264">
        <v>0</v>
      </c>
      <c r="C2264" t="s">
        <v>16</v>
      </c>
      <c r="D2264" t="s">
        <v>37</v>
      </c>
      <c r="E2264" t="s">
        <v>30</v>
      </c>
      <c r="F2264">
        <v>151</v>
      </c>
      <c r="G2264" t="s">
        <v>36</v>
      </c>
      <c r="H2264" t="s">
        <v>30</v>
      </c>
      <c r="I2264">
        <v>152</v>
      </c>
      <c r="J2264">
        <v>2</v>
      </c>
      <c r="K2264">
        <v>4</v>
      </c>
      <c r="L2264">
        <v>51</v>
      </c>
      <c r="M2264" t="s">
        <v>20</v>
      </c>
      <c r="N2264" t="s">
        <v>57</v>
      </c>
      <c r="O2264">
        <v>24678</v>
      </c>
      <c r="P2264">
        <v>140</v>
      </c>
      <c r="Q2264" t="s">
        <v>36</v>
      </c>
      <c r="R2264" t="str">
        <f t="shared" si="36"/>
        <v>Yes</v>
      </c>
    </row>
    <row r="2265" spans="1:18" x14ac:dyDescent="0.35">
      <c r="A2265" s="1">
        <v>40443</v>
      </c>
      <c r="B2265">
        <v>0</v>
      </c>
      <c r="C2265" t="s">
        <v>16</v>
      </c>
      <c r="D2265" t="s">
        <v>33</v>
      </c>
      <c r="E2265" t="s">
        <v>30</v>
      </c>
      <c r="F2265">
        <v>152</v>
      </c>
      <c r="G2265" t="s">
        <v>29</v>
      </c>
      <c r="H2265" t="s">
        <v>30</v>
      </c>
      <c r="I2265">
        <v>152</v>
      </c>
      <c r="J2265">
        <v>1</v>
      </c>
      <c r="K2265">
        <v>5</v>
      </c>
      <c r="L2265">
        <v>51</v>
      </c>
      <c r="M2265" t="s">
        <v>38</v>
      </c>
      <c r="N2265" t="s">
        <v>76</v>
      </c>
      <c r="O2265">
        <v>40139</v>
      </c>
      <c r="P2265">
        <v>142</v>
      </c>
      <c r="Q2265" t="s">
        <v>29</v>
      </c>
      <c r="R2265" t="str">
        <f t="shared" si="36"/>
        <v>Yes</v>
      </c>
    </row>
    <row r="2266" spans="1:18" x14ac:dyDescent="0.35">
      <c r="A2266" s="1">
        <v>40443</v>
      </c>
      <c r="B2266">
        <v>0</v>
      </c>
      <c r="C2266" t="s">
        <v>16</v>
      </c>
      <c r="D2266" t="s">
        <v>44</v>
      </c>
      <c r="E2266" t="s">
        <v>30</v>
      </c>
      <c r="F2266">
        <v>151</v>
      </c>
      <c r="G2266" t="s">
        <v>59</v>
      </c>
      <c r="H2266" t="s">
        <v>30</v>
      </c>
      <c r="I2266">
        <v>152</v>
      </c>
      <c r="J2266">
        <v>7</v>
      </c>
      <c r="K2266">
        <v>2</v>
      </c>
      <c r="L2266">
        <v>54</v>
      </c>
      <c r="M2266" t="s">
        <v>20</v>
      </c>
      <c r="N2266" t="s">
        <v>84</v>
      </c>
      <c r="O2266">
        <v>46986</v>
      </c>
      <c r="P2266">
        <v>195</v>
      </c>
      <c r="Q2266" t="s">
        <v>44</v>
      </c>
      <c r="R2266" t="str">
        <f t="shared" si="36"/>
        <v>No</v>
      </c>
    </row>
    <row r="2267" spans="1:18" x14ac:dyDescent="0.35">
      <c r="A2267" s="1">
        <v>40443</v>
      </c>
      <c r="B2267">
        <v>0</v>
      </c>
      <c r="C2267" t="s">
        <v>16</v>
      </c>
      <c r="D2267" t="s">
        <v>34</v>
      </c>
      <c r="E2267" t="s">
        <v>30</v>
      </c>
      <c r="F2267">
        <v>152</v>
      </c>
      <c r="G2267" t="s">
        <v>41</v>
      </c>
      <c r="H2267" t="s">
        <v>30</v>
      </c>
      <c r="I2267">
        <v>151</v>
      </c>
      <c r="J2267">
        <v>4</v>
      </c>
      <c r="K2267">
        <v>3</v>
      </c>
      <c r="L2267">
        <v>54</v>
      </c>
      <c r="M2267" t="s">
        <v>38</v>
      </c>
      <c r="N2267" t="s">
        <v>42</v>
      </c>
      <c r="O2267">
        <v>16056</v>
      </c>
      <c r="P2267">
        <v>158</v>
      </c>
      <c r="Q2267" t="s">
        <v>34</v>
      </c>
      <c r="R2267" t="str">
        <f t="shared" si="36"/>
        <v>No</v>
      </c>
    </row>
    <row r="2268" spans="1:18" x14ac:dyDescent="0.35">
      <c r="A2268" s="1">
        <v>40443</v>
      </c>
      <c r="B2268">
        <v>0</v>
      </c>
      <c r="C2268" t="s">
        <v>16</v>
      </c>
      <c r="D2268" t="s">
        <v>40</v>
      </c>
      <c r="E2268" t="s">
        <v>30</v>
      </c>
      <c r="F2268">
        <v>151</v>
      </c>
      <c r="G2268" t="s">
        <v>46</v>
      </c>
      <c r="H2268" t="s">
        <v>30</v>
      </c>
      <c r="I2268">
        <v>151</v>
      </c>
      <c r="J2268">
        <v>6</v>
      </c>
      <c r="K2268">
        <v>3</v>
      </c>
      <c r="L2268">
        <v>54</v>
      </c>
      <c r="M2268" t="s">
        <v>20</v>
      </c>
      <c r="N2268" t="s">
        <v>78</v>
      </c>
      <c r="O2268">
        <v>12302</v>
      </c>
      <c r="P2268">
        <v>153</v>
      </c>
      <c r="Q2268" t="s">
        <v>40</v>
      </c>
      <c r="R2268" t="str">
        <f t="shared" si="36"/>
        <v>No</v>
      </c>
    </row>
    <row r="2269" spans="1:18" x14ac:dyDescent="0.35">
      <c r="A2269" s="1">
        <v>40443</v>
      </c>
      <c r="B2269">
        <v>0</v>
      </c>
      <c r="C2269" t="s">
        <v>16</v>
      </c>
      <c r="D2269" t="s">
        <v>63</v>
      </c>
      <c r="E2269" t="s">
        <v>18</v>
      </c>
      <c r="F2269">
        <v>151</v>
      </c>
      <c r="G2269" t="s">
        <v>60</v>
      </c>
      <c r="H2269" t="s">
        <v>18</v>
      </c>
      <c r="I2269">
        <v>152</v>
      </c>
      <c r="J2269">
        <v>4</v>
      </c>
      <c r="K2269">
        <v>8</v>
      </c>
      <c r="L2269">
        <v>51</v>
      </c>
      <c r="M2269" t="s">
        <v>20</v>
      </c>
      <c r="N2269" t="s">
        <v>61</v>
      </c>
      <c r="O2269">
        <v>29903</v>
      </c>
      <c r="P2269">
        <v>192</v>
      </c>
      <c r="Q2269" t="s">
        <v>60</v>
      </c>
      <c r="R2269" t="str">
        <f t="shared" si="36"/>
        <v>Yes</v>
      </c>
    </row>
    <row r="2270" spans="1:18" x14ac:dyDescent="0.35">
      <c r="A2270" s="1">
        <v>40443</v>
      </c>
      <c r="B2270">
        <v>0</v>
      </c>
      <c r="C2270" t="s">
        <v>16</v>
      </c>
      <c r="D2270" t="s">
        <v>70</v>
      </c>
      <c r="E2270" t="s">
        <v>18</v>
      </c>
      <c r="F2270">
        <v>152</v>
      </c>
      <c r="G2270" t="s">
        <v>49</v>
      </c>
      <c r="H2270" t="s">
        <v>18</v>
      </c>
      <c r="I2270">
        <v>151</v>
      </c>
      <c r="J2270">
        <v>0</v>
      </c>
      <c r="K2270">
        <v>2</v>
      </c>
      <c r="L2270">
        <v>51</v>
      </c>
      <c r="M2270" t="s">
        <v>20</v>
      </c>
      <c r="N2270" t="s">
        <v>79</v>
      </c>
      <c r="O2270">
        <v>37285</v>
      </c>
      <c r="P2270">
        <v>142</v>
      </c>
      <c r="Q2270" t="s">
        <v>49</v>
      </c>
      <c r="R2270" t="str">
        <f t="shared" si="36"/>
        <v>Yes</v>
      </c>
    </row>
    <row r="2271" spans="1:18" x14ac:dyDescent="0.35">
      <c r="A2271" s="1">
        <v>40443</v>
      </c>
      <c r="B2271">
        <v>0</v>
      </c>
      <c r="C2271" t="s">
        <v>16</v>
      </c>
      <c r="D2271" t="s">
        <v>19</v>
      </c>
      <c r="E2271" t="s">
        <v>18</v>
      </c>
      <c r="F2271">
        <v>152</v>
      </c>
      <c r="G2271" t="s">
        <v>17</v>
      </c>
      <c r="H2271" t="s">
        <v>18</v>
      </c>
      <c r="I2271">
        <v>151</v>
      </c>
      <c r="J2271">
        <v>5</v>
      </c>
      <c r="K2271">
        <v>7</v>
      </c>
      <c r="L2271">
        <v>51</v>
      </c>
      <c r="M2271" t="s">
        <v>20</v>
      </c>
      <c r="N2271" t="s">
        <v>65</v>
      </c>
      <c r="O2271">
        <v>21123</v>
      </c>
      <c r="P2271">
        <v>171</v>
      </c>
      <c r="Q2271" t="s">
        <v>17</v>
      </c>
      <c r="R2271" t="str">
        <f t="shared" si="36"/>
        <v>Yes</v>
      </c>
    </row>
    <row r="2272" spans="1:18" x14ac:dyDescent="0.35">
      <c r="A2272" s="1">
        <v>40443</v>
      </c>
      <c r="B2272">
        <v>0</v>
      </c>
      <c r="C2272" t="s">
        <v>16</v>
      </c>
      <c r="D2272" t="s">
        <v>62</v>
      </c>
      <c r="E2272" t="s">
        <v>18</v>
      </c>
      <c r="F2272">
        <v>151</v>
      </c>
      <c r="G2272" t="s">
        <v>22</v>
      </c>
      <c r="H2272" t="s">
        <v>18</v>
      </c>
      <c r="I2272">
        <v>152</v>
      </c>
      <c r="J2272">
        <v>3</v>
      </c>
      <c r="K2272">
        <v>1</v>
      </c>
      <c r="L2272">
        <v>54</v>
      </c>
      <c r="M2272" t="s">
        <v>20</v>
      </c>
      <c r="N2272" t="s">
        <v>85</v>
      </c>
      <c r="O2272">
        <v>33728</v>
      </c>
      <c r="P2272">
        <v>160</v>
      </c>
      <c r="Q2272" t="s">
        <v>62</v>
      </c>
      <c r="R2272" t="str">
        <f t="shared" si="36"/>
        <v>No</v>
      </c>
    </row>
    <row r="2273" spans="1:18" x14ac:dyDescent="0.35">
      <c r="A2273" s="1">
        <v>40443</v>
      </c>
      <c r="B2273">
        <v>0</v>
      </c>
      <c r="C2273" t="s">
        <v>16</v>
      </c>
      <c r="D2273" t="s">
        <v>53</v>
      </c>
      <c r="E2273" t="s">
        <v>18</v>
      </c>
      <c r="F2273">
        <v>153</v>
      </c>
      <c r="G2273" t="s">
        <v>68</v>
      </c>
      <c r="H2273" t="s">
        <v>18</v>
      </c>
      <c r="I2273">
        <v>151</v>
      </c>
      <c r="J2273">
        <v>1</v>
      </c>
      <c r="K2273">
        <v>13</v>
      </c>
      <c r="L2273">
        <v>51</v>
      </c>
      <c r="M2273" t="s">
        <v>20</v>
      </c>
      <c r="N2273" t="s">
        <v>69</v>
      </c>
      <c r="O2273">
        <v>27004</v>
      </c>
      <c r="P2273">
        <v>177</v>
      </c>
      <c r="Q2273" t="s">
        <v>68</v>
      </c>
      <c r="R2273" t="str">
        <f t="shared" si="36"/>
        <v>Yes</v>
      </c>
    </row>
    <row r="2274" spans="1:18" x14ac:dyDescent="0.35">
      <c r="A2274" s="1">
        <v>40443</v>
      </c>
      <c r="B2274">
        <v>0</v>
      </c>
      <c r="C2274" t="s">
        <v>16</v>
      </c>
      <c r="D2274" t="s">
        <v>50</v>
      </c>
      <c r="E2274" t="s">
        <v>18</v>
      </c>
      <c r="F2274">
        <v>153</v>
      </c>
      <c r="G2274" t="s">
        <v>25</v>
      </c>
      <c r="H2274" t="s">
        <v>18</v>
      </c>
      <c r="I2274">
        <v>153</v>
      </c>
      <c r="J2274">
        <v>0</v>
      </c>
      <c r="K2274">
        <v>1</v>
      </c>
      <c r="L2274">
        <v>51</v>
      </c>
      <c r="M2274" t="s">
        <v>20</v>
      </c>
      <c r="N2274" t="s">
        <v>80</v>
      </c>
      <c r="O2274">
        <v>45310</v>
      </c>
      <c r="P2274">
        <v>167</v>
      </c>
      <c r="Q2274" t="s">
        <v>25</v>
      </c>
      <c r="R2274" t="str">
        <f t="shared" si="36"/>
        <v>Yes</v>
      </c>
    </row>
    <row r="2275" spans="1:18" x14ac:dyDescent="0.35">
      <c r="A2275" s="1">
        <v>40443</v>
      </c>
      <c r="B2275">
        <v>0</v>
      </c>
      <c r="C2275" t="s">
        <v>16</v>
      </c>
      <c r="D2275" t="s">
        <v>52</v>
      </c>
      <c r="E2275" t="s">
        <v>18</v>
      </c>
      <c r="F2275">
        <v>151</v>
      </c>
      <c r="G2275" t="s">
        <v>23</v>
      </c>
      <c r="H2275" t="s">
        <v>18</v>
      </c>
      <c r="I2275">
        <v>151</v>
      </c>
      <c r="J2275">
        <v>6</v>
      </c>
      <c r="K2275">
        <v>11</v>
      </c>
      <c r="L2275">
        <v>51</v>
      </c>
      <c r="M2275" t="s">
        <v>20</v>
      </c>
      <c r="N2275" t="s">
        <v>24</v>
      </c>
      <c r="O2275">
        <v>11785</v>
      </c>
      <c r="P2275">
        <v>171</v>
      </c>
      <c r="Q2275" t="s">
        <v>23</v>
      </c>
      <c r="R2275" t="str">
        <f t="shared" si="36"/>
        <v>Yes</v>
      </c>
    </row>
    <row r="2276" spans="1:18" x14ac:dyDescent="0.35">
      <c r="A2276" s="1">
        <v>40443</v>
      </c>
      <c r="B2276">
        <v>0</v>
      </c>
      <c r="C2276" t="s">
        <v>16</v>
      </c>
      <c r="D2276" t="s">
        <v>66</v>
      </c>
      <c r="E2276" t="s">
        <v>18</v>
      </c>
      <c r="F2276">
        <v>152</v>
      </c>
      <c r="G2276" t="s">
        <v>26</v>
      </c>
      <c r="H2276" t="s">
        <v>18</v>
      </c>
      <c r="I2276">
        <v>152</v>
      </c>
      <c r="J2276">
        <v>3</v>
      </c>
      <c r="K2276">
        <v>4</v>
      </c>
      <c r="L2276">
        <v>51</v>
      </c>
      <c r="M2276" t="s">
        <v>20</v>
      </c>
      <c r="N2276" t="s">
        <v>27</v>
      </c>
      <c r="O2276">
        <v>12213</v>
      </c>
      <c r="P2276">
        <v>185</v>
      </c>
      <c r="Q2276" t="s">
        <v>26</v>
      </c>
      <c r="R2276" t="str">
        <f t="shared" si="36"/>
        <v>Yes</v>
      </c>
    </row>
    <row r="2277" spans="1:18" x14ac:dyDescent="0.35">
      <c r="A2277" s="1">
        <v>40444</v>
      </c>
      <c r="B2277">
        <v>0</v>
      </c>
      <c r="C2277" t="s">
        <v>28</v>
      </c>
      <c r="D2277" t="s">
        <v>37</v>
      </c>
      <c r="E2277" t="s">
        <v>30</v>
      </c>
      <c r="F2277">
        <v>152</v>
      </c>
      <c r="G2277" t="s">
        <v>33</v>
      </c>
      <c r="H2277" t="s">
        <v>30</v>
      </c>
      <c r="I2277">
        <v>153</v>
      </c>
      <c r="J2277">
        <v>4</v>
      </c>
      <c r="K2277">
        <v>2</v>
      </c>
      <c r="L2277">
        <v>54</v>
      </c>
      <c r="M2277" t="s">
        <v>20</v>
      </c>
      <c r="N2277" t="s">
        <v>75</v>
      </c>
      <c r="O2277">
        <v>16625</v>
      </c>
      <c r="P2277">
        <v>184</v>
      </c>
      <c r="Q2277" t="s">
        <v>37</v>
      </c>
      <c r="R2277" t="str">
        <f t="shared" si="36"/>
        <v>No</v>
      </c>
    </row>
    <row r="2278" spans="1:18" x14ac:dyDescent="0.35">
      <c r="A2278" s="1">
        <v>40444</v>
      </c>
      <c r="B2278">
        <v>0</v>
      </c>
      <c r="C2278" t="s">
        <v>28</v>
      </c>
      <c r="D2278" t="s">
        <v>44</v>
      </c>
      <c r="E2278" t="s">
        <v>30</v>
      </c>
      <c r="F2278">
        <v>152</v>
      </c>
      <c r="G2278" t="s">
        <v>59</v>
      </c>
      <c r="H2278" t="s">
        <v>30</v>
      </c>
      <c r="I2278">
        <v>153</v>
      </c>
      <c r="J2278">
        <v>10</v>
      </c>
      <c r="K2278">
        <v>3</v>
      </c>
      <c r="L2278">
        <v>54</v>
      </c>
      <c r="M2278" t="s">
        <v>20</v>
      </c>
      <c r="N2278" t="s">
        <v>84</v>
      </c>
      <c r="O2278">
        <v>47646</v>
      </c>
      <c r="P2278">
        <v>203</v>
      </c>
      <c r="Q2278" t="s">
        <v>44</v>
      </c>
      <c r="R2278" t="str">
        <f t="shared" si="36"/>
        <v>No</v>
      </c>
    </row>
    <row r="2279" spans="1:18" x14ac:dyDescent="0.35">
      <c r="A2279" s="1">
        <v>40444</v>
      </c>
      <c r="B2279">
        <v>0</v>
      </c>
      <c r="C2279" t="s">
        <v>28</v>
      </c>
      <c r="D2279" t="s">
        <v>47</v>
      </c>
      <c r="E2279" t="s">
        <v>30</v>
      </c>
      <c r="F2279">
        <v>152</v>
      </c>
      <c r="G2279" t="s">
        <v>41</v>
      </c>
      <c r="H2279" t="s">
        <v>30</v>
      </c>
      <c r="I2279">
        <v>152</v>
      </c>
      <c r="J2279">
        <v>0</v>
      </c>
      <c r="K2279">
        <v>5</v>
      </c>
      <c r="L2279">
        <v>51</v>
      </c>
      <c r="M2279" t="s">
        <v>20</v>
      </c>
      <c r="N2279" t="s">
        <v>42</v>
      </c>
      <c r="O2279">
        <v>10815</v>
      </c>
      <c r="P2279">
        <v>142</v>
      </c>
      <c r="Q2279" t="s">
        <v>41</v>
      </c>
      <c r="R2279" t="str">
        <f t="shared" si="36"/>
        <v>Yes</v>
      </c>
    </row>
    <row r="2280" spans="1:18" x14ac:dyDescent="0.35">
      <c r="A2280" s="1">
        <v>40444</v>
      </c>
      <c r="B2280">
        <v>0</v>
      </c>
      <c r="C2280" t="s">
        <v>28</v>
      </c>
      <c r="D2280" t="s">
        <v>40</v>
      </c>
      <c r="E2280" t="s">
        <v>30</v>
      </c>
      <c r="F2280">
        <v>152</v>
      </c>
      <c r="G2280" t="s">
        <v>46</v>
      </c>
      <c r="H2280" t="s">
        <v>30</v>
      </c>
      <c r="I2280">
        <v>152</v>
      </c>
      <c r="J2280">
        <v>0</v>
      </c>
      <c r="K2280">
        <v>1</v>
      </c>
      <c r="L2280">
        <v>51</v>
      </c>
      <c r="M2280" t="s">
        <v>38</v>
      </c>
      <c r="N2280" t="s">
        <v>78</v>
      </c>
      <c r="O2280">
        <v>12590</v>
      </c>
      <c r="P2280">
        <v>141</v>
      </c>
      <c r="Q2280" t="s">
        <v>46</v>
      </c>
      <c r="R2280" t="str">
        <f t="shared" si="36"/>
        <v>Yes</v>
      </c>
    </row>
    <row r="2281" spans="1:18" x14ac:dyDescent="0.35">
      <c r="A2281" s="1">
        <v>40444</v>
      </c>
      <c r="B2281">
        <v>0</v>
      </c>
      <c r="C2281" t="s">
        <v>28</v>
      </c>
      <c r="D2281" t="s">
        <v>63</v>
      </c>
      <c r="E2281" t="s">
        <v>18</v>
      </c>
      <c r="F2281">
        <v>152</v>
      </c>
      <c r="G2281" t="s">
        <v>60</v>
      </c>
      <c r="H2281" t="s">
        <v>18</v>
      </c>
      <c r="I2281">
        <v>153</v>
      </c>
      <c r="J2281">
        <v>9</v>
      </c>
      <c r="K2281">
        <v>10</v>
      </c>
      <c r="L2281">
        <v>51</v>
      </c>
      <c r="M2281" t="s">
        <v>20</v>
      </c>
      <c r="N2281" t="s">
        <v>61</v>
      </c>
      <c r="O2281">
        <v>30093</v>
      </c>
      <c r="P2281">
        <v>228</v>
      </c>
      <c r="Q2281" t="s">
        <v>60</v>
      </c>
      <c r="R2281" t="str">
        <f t="shared" si="36"/>
        <v>Yes</v>
      </c>
    </row>
    <row r="2282" spans="1:18" x14ac:dyDescent="0.35">
      <c r="A2282" s="1">
        <v>40444</v>
      </c>
      <c r="B2282">
        <v>0</v>
      </c>
      <c r="C2282" t="s">
        <v>28</v>
      </c>
      <c r="D2282" t="s">
        <v>70</v>
      </c>
      <c r="E2282" t="s">
        <v>18</v>
      </c>
      <c r="F2282">
        <v>153</v>
      </c>
      <c r="G2282" t="s">
        <v>49</v>
      </c>
      <c r="H2282" t="s">
        <v>18</v>
      </c>
      <c r="I2282">
        <v>152</v>
      </c>
      <c r="J2282">
        <v>13</v>
      </c>
      <c r="K2282">
        <v>0</v>
      </c>
      <c r="L2282">
        <v>54</v>
      </c>
      <c r="M2282" t="s">
        <v>20</v>
      </c>
      <c r="N2282" t="s">
        <v>79</v>
      </c>
      <c r="O2282">
        <v>34481</v>
      </c>
      <c r="P2282">
        <v>168</v>
      </c>
      <c r="Q2282" t="s">
        <v>70</v>
      </c>
      <c r="R2282" t="str">
        <f t="shared" si="36"/>
        <v>No</v>
      </c>
    </row>
    <row r="2283" spans="1:18" x14ac:dyDescent="0.35">
      <c r="A2283" s="1">
        <v>40444</v>
      </c>
      <c r="B2283">
        <v>0</v>
      </c>
      <c r="C2283" t="s">
        <v>28</v>
      </c>
      <c r="D2283" t="s">
        <v>62</v>
      </c>
      <c r="E2283" t="s">
        <v>18</v>
      </c>
      <c r="F2283">
        <v>152</v>
      </c>
      <c r="G2283" t="s">
        <v>22</v>
      </c>
      <c r="H2283" t="s">
        <v>18</v>
      </c>
      <c r="I2283">
        <v>153</v>
      </c>
      <c r="J2283">
        <v>1</v>
      </c>
      <c r="K2283">
        <v>3</v>
      </c>
      <c r="L2283">
        <v>51</v>
      </c>
      <c r="M2283" t="s">
        <v>20</v>
      </c>
      <c r="N2283" t="s">
        <v>85</v>
      </c>
      <c r="O2283">
        <v>33040</v>
      </c>
      <c r="P2283">
        <v>157</v>
      </c>
      <c r="Q2283" t="s">
        <v>22</v>
      </c>
      <c r="R2283" t="str">
        <f t="shared" si="36"/>
        <v>Yes</v>
      </c>
    </row>
    <row r="2284" spans="1:18" x14ac:dyDescent="0.35">
      <c r="A2284" s="1">
        <v>40444</v>
      </c>
      <c r="B2284">
        <v>0</v>
      </c>
      <c r="C2284" t="s">
        <v>28</v>
      </c>
      <c r="D2284" t="s">
        <v>17</v>
      </c>
      <c r="E2284" t="s">
        <v>18</v>
      </c>
      <c r="F2284">
        <v>152</v>
      </c>
      <c r="G2284" t="s">
        <v>68</v>
      </c>
      <c r="H2284" t="s">
        <v>18</v>
      </c>
      <c r="I2284">
        <v>152</v>
      </c>
      <c r="J2284">
        <v>3</v>
      </c>
      <c r="K2284">
        <v>8</v>
      </c>
      <c r="L2284">
        <v>51</v>
      </c>
      <c r="M2284" t="s">
        <v>20</v>
      </c>
      <c r="N2284" t="s">
        <v>69</v>
      </c>
      <c r="O2284">
        <v>31212</v>
      </c>
      <c r="P2284">
        <v>170</v>
      </c>
      <c r="Q2284" t="s">
        <v>68</v>
      </c>
      <c r="R2284" t="str">
        <f t="shared" si="36"/>
        <v>Yes</v>
      </c>
    </row>
    <row r="2285" spans="1:18" x14ac:dyDescent="0.35">
      <c r="A2285" s="1">
        <v>40444</v>
      </c>
      <c r="B2285">
        <v>0</v>
      </c>
      <c r="C2285" t="s">
        <v>28</v>
      </c>
      <c r="D2285" t="s">
        <v>52</v>
      </c>
      <c r="E2285" t="s">
        <v>18</v>
      </c>
      <c r="F2285">
        <v>152</v>
      </c>
      <c r="G2285" t="s">
        <v>23</v>
      </c>
      <c r="H2285" t="s">
        <v>18</v>
      </c>
      <c r="I2285">
        <v>152</v>
      </c>
      <c r="J2285">
        <v>9</v>
      </c>
      <c r="K2285">
        <v>2</v>
      </c>
      <c r="L2285">
        <v>54</v>
      </c>
      <c r="M2285" t="s">
        <v>38</v>
      </c>
      <c r="N2285" t="s">
        <v>24</v>
      </c>
      <c r="O2285">
        <v>15802</v>
      </c>
      <c r="P2285">
        <v>188</v>
      </c>
      <c r="Q2285" t="s">
        <v>52</v>
      </c>
      <c r="R2285" t="str">
        <f t="shared" si="36"/>
        <v>No</v>
      </c>
    </row>
    <row r="2286" spans="1:18" x14ac:dyDescent="0.35">
      <c r="A2286" s="1">
        <v>40444</v>
      </c>
      <c r="B2286">
        <v>0</v>
      </c>
      <c r="C2286" t="s">
        <v>28</v>
      </c>
      <c r="D2286" t="s">
        <v>66</v>
      </c>
      <c r="E2286" t="s">
        <v>18</v>
      </c>
      <c r="F2286">
        <v>153</v>
      </c>
      <c r="G2286" t="s">
        <v>26</v>
      </c>
      <c r="H2286" t="s">
        <v>18</v>
      </c>
      <c r="I2286">
        <v>153</v>
      </c>
      <c r="J2286">
        <v>2</v>
      </c>
      <c r="K2286">
        <v>7</v>
      </c>
      <c r="L2286">
        <v>51</v>
      </c>
      <c r="M2286" t="s">
        <v>38</v>
      </c>
      <c r="N2286" t="s">
        <v>27</v>
      </c>
      <c r="O2286">
        <v>14633</v>
      </c>
      <c r="P2286">
        <v>149</v>
      </c>
      <c r="Q2286" t="s">
        <v>26</v>
      </c>
      <c r="R2286" t="str">
        <f t="shared" si="36"/>
        <v>Yes</v>
      </c>
    </row>
    <row r="2287" spans="1:18" x14ac:dyDescent="0.35">
      <c r="A2287" s="1">
        <v>40445</v>
      </c>
      <c r="B2287">
        <v>0</v>
      </c>
      <c r="C2287" t="s">
        <v>55</v>
      </c>
      <c r="D2287" t="s">
        <v>34</v>
      </c>
      <c r="E2287" t="s">
        <v>30</v>
      </c>
      <c r="F2287">
        <v>153</v>
      </c>
      <c r="G2287" t="s">
        <v>31</v>
      </c>
      <c r="H2287" t="s">
        <v>30</v>
      </c>
      <c r="I2287">
        <v>153</v>
      </c>
      <c r="J2287">
        <v>2</v>
      </c>
      <c r="K2287">
        <v>1</v>
      </c>
      <c r="L2287">
        <v>54</v>
      </c>
      <c r="M2287" t="s">
        <v>20</v>
      </c>
      <c r="N2287" t="s">
        <v>32</v>
      </c>
      <c r="O2287">
        <v>41046</v>
      </c>
      <c r="P2287">
        <v>151</v>
      </c>
      <c r="Q2287" t="s">
        <v>34</v>
      </c>
      <c r="R2287" t="str">
        <f t="shared" si="36"/>
        <v>No</v>
      </c>
    </row>
    <row r="2288" spans="1:18" x14ac:dyDescent="0.35">
      <c r="A2288" s="1">
        <v>40445</v>
      </c>
      <c r="B2288">
        <v>0</v>
      </c>
      <c r="C2288" t="s">
        <v>55</v>
      </c>
      <c r="D2288" t="s">
        <v>37</v>
      </c>
      <c r="E2288" t="s">
        <v>30</v>
      </c>
      <c r="F2288">
        <v>153</v>
      </c>
      <c r="G2288" t="s">
        <v>33</v>
      </c>
      <c r="H2288" t="s">
        <v>30</v>
      </c>
      <c r="I2288">
        <v>154</v>
      </c>
      <c r="J2288">
        <v>3</v>
      </c>
      <c r="K2288">
        <v>7</v>
      </c>
      <c r="L2288">
        <v>51</v>
      </c>
      <c r="M2288" t="s">
        <v>20</v>
      </c>
      <c r="N2288" t="s">
        <v>75</v>
      </c>
      <c r="O2288">
        <v>25100</v>
      </c>
      <c r="P2288">
        <v>148</v>
      </c>
      <c r="Q2288" t="s">
        <v>33</v>
      </c>
      <c r="R2288" t="str">
        <f t="shared" si="36"/>
        <v>Yes</v>
      </c>
    </row>
    <row r="2289" spans="1:18" x14ac:dyDescent="0.35">
      <c r="A2289" s="1">
        <v>40445</v>
      </c>
      <c r="B2289">
        <v>0</v>
      </c>
      <c r="C2289" t="s">
        <v>55</v>
      </c>
      <c r="D2289" t="s">
        <v>29</v>
      </c>
      <c r="E2289" t="s">
        <v>30</v>
      </c>
      <c r="F2289">
        <v>153</v>
      </c>
      <c r="G2289" t="s">
        <v>36</v>
      </c>
      <c r="H2289" t="s">
        <v>30</v>
      </c>
      <c r="I2289">
        <v>153</v>
      </c>
      <c r="J2289">
        <v>1</v>
      </c>
      <c r="K2289">
        <v>10</v>
      </c>
      <c r="L2289">
        <v>51</v>
      </c>
      <c r="M2289" t="s">
        <v>20</v>
      </c>
      <c r="N2289" t="s">
        <v>57</v>
      </c>
      <c r="O2289">
        <v>30083</v>
      </c>
      <c r="P2289">
        <v>169</v>
      </c>
      <c r="Q2289" t="s">
        <v>36</v>
      </c>
      <c r="R2289" t="str">
        <f t="shared" si="36"/>
        <v>Yes</v>
      </c>
    </row>
    <row r="2290" spans="1:18" x14ac:dyDescent="0.35">
      <c r="A2290" s="1">
        <v>40445</v>
      </c>
      <c r="B2290">
        <v>0</v>
      </c>
      <c r="C2290" t="s">
        <v>55</v>
      </c>
      <c r="D2290" t="s">
        <v>58</v>
      </c>
      <c r="E2290" t="s">
        <v>30</v>
      </c>
      <c r="F2290">
        <v>153</v>
      </c>
      <c r="G2290" t="s">
        <v>59</v>
      </c>
      <c r="H2290" t="s">
        <v>30</v>
      </c>
      <c r="I2290">
        <v>154</v>
      </c>
      <c r="J2290">
        <v>10</v>
      </c>
      <c r="K2290">
        <v>8</v>
      </c>
      <c r="L2290">
        <v>54</v>
      </c>
      <c r="M2290" t="s">
        <v>20</v>
      </c>
      <c r="N2290" t="s">
        <v>84</v>
      </c>
      <c r="O2290">
        <v>49457</v>
      </c>
      <c r="P2290">
        <v>194</v>
      </c>
      <c r="Q2290" t="s">
        <v>58</v>
      </c>
      <c r="R2290" t="str">
        <f t="shared" si="36"/>
        <v>No</v>
      </c>
    </row>
    <row r="2291" spans="1:18" x14ac:dyDescent="0.35">
      <c r="A2291" s="1">
        <v>40445</v>
      </c>
      <c r="B2291">
        <v>0</v>
      </c>
      <c r="C2291" t="s">
        <v>55</v>
      </c>
      <c r="D2291" t="s">
        <v>47</v>
      </c>
      <c r="E2291" t="s">
        <v>30</v>
      </c>
      <c r="F2291">
        <v>153</v>
      </c>
      <c r="G2291" t="s">
        <v>41</v>
      </c>
      <c r="H2291" t="s">
        <v>30</v>
      </c>
      <c r="I2291">
        <v>153</v>
      </c>
      <c r="J2291">
        <v>10</v>
      </c>
      <c r="K2291">
        <v>3</v>
      </c>
      <c r="L2291">
        <v>54</v>
      </c>
      <c r="M2291" t="s">
        <v>20</v>
      </c>
      <c r="N2291" t="s">
        <v>42</v>
      </c>
      <c r="O2291">
        <v>13539</v>
      </c>
      <c r="P2291">
        <v>183</v>
      </c>
      <c r="Q2291" t="s">
        <v>47</v>
      </c>
      <c r="R2291" t="str">
        <f t="shared" si="36"/>
        <v>No</v>
      </c>
    </row>
    <row r="2292" spans="1:18" x14ac:dyDescent="0.35">
      <c r="A2292" s="1">
        <v>40445</v>
      </c>
      <c r="B2292">
        <v>0</v>
      </c>
      <c r="C2292" t="s">
        <v>55</v>
      </c>
      <c r="D2292" t="s">
        <v>40</v>
      </c>
      <c r="E2292" t="s">
        <v>30</v>
      </c>
      <c r="F2292">
        <v>153</v>
      </c>
      <c r="G2292" t="s">
        <v>44</v>
      </c>
      <c r="H2292" t="s">
        <v>30</v>
      </c>
      <c r="I2292">
        <v>153</v>
      </c>
      <c r="J2292">
        <v>3</v>
      </c>
      <c r="K2292">
        <v>5</v>
      </c>
      <c r="L2292">
        <v>51</v>
      </c>
      <c r="M2292" t="s">
        <v>20</v>
      </c>
      <c r="N2292" t="s">
        <v>45</v>
      </c>
      <c r="O2292">
        <v>17840</v>
      </c>
      <c r="P2292">
        <v>172</v>
      </c>
      <c r="Q2292" t="s">
        <v>44</v>
      </c>
      <c r="R2292" t="str">
        <f t="shared" si="36"/>
        <v>Yes</v>
      </c>
    </row>
    <row r="2293" spans="1:18" x14ac:dyDescent="0.35">
      <c r="A2293" s="1">
        <v>40445</v>
      </c>
      <c r="B2293">
        <v>0</v>
      </c>
      <c r="C2293" t="s">
        <v>55</v>
      </c>
      <c r="D2293" t="s">
        <v>43</v>
      </c>
      <c r="E2293" t="s">
        <v>30</v>
      </c>
      <c r="F2293">
        <v>153</v>
      </c>
      <c r="G2293" t="s">
        <v>46</v>
      </c>
      <c r="H2293" t="s">
        <v>30</v>
      </c>
      <c r="I2293">
        <v>153</v>
      </c>
      <c r="J2293">
        <v>4</v>
      </c>
      <c r="K2293">
        <v>6</v>
      </c>
      <c r="L2293">
        <v>51</v>
      </c>
      <c r="M2293" t="s">
        <v>20</v>
      </c>
      <c r="N2293" t="s">
        <v>78</v>
      </c>
      <c r="O2293">
        <v>13412</v>
      </c>
      <c r="P2293">
        <v>173</v>
      </c>
      <c r="Q2293" t="s">
        <v>46</v>
      </c>
      <c r="R2293" t="str">
        <f t="shared" si="36"/>
        <v>Yes</v>
      </c>
    </row>
    <row r="2294" spans="1:18" x14ac:dyDescent="0.35">
      <c r="A2294" s="1">
        <v>40445</v>
      </c>
      <c r="B2294">
        <v>0</v>
      </c>
      <c r="C2294" t="s">
        <v>55</v>
      </c>
      <c r="D2294" t="s">
        <v>22</v>
      </c>
      <c r="E2294" t="s">
        <v>18</v>
      </c>
      <c r="F2294">
        <v>154</v>
      </c>
      <c r="G2294" t="s">
        <v>60</v>
      </c>
      <c r="H2294" t="s">
        <v>18</v>
      </c>
      <c r="I2294">
        <v>154</v>
      </c>
      <c r="J2294">
        <v>3</v>
      </c>
      <c r="K2294">
        <v>1</v>
      </c>
      <c r="L2294">
        <v>54</v>
      </c>
      <c r="M2294" t="s">
        <v>20</v>
      </c>
      <c r="N2294" t="s">
        <v>61</v>
      </c>
      <c r="O2294">
        <v>38516</v>
      </c>
      <c r="P2294">
        <v>146</v>
      </c>
      <c r="Q2294" t="s">
        <v>22</v>
      </c>
      <c r="R2294" t="str">
        <f t="shared" si="36"/>
        <v>No</v>
      </c>
    </row>
    <row r="2295" spans="1:18" x14ac:dyDescent="0.35">
      <c r="A2295" s="1">
        <v>40445</v>
      </c>
      <c r="B2295">
        <v>0</v>
      </c>
      <c r="C2295" t="s">
        <v>55</v>
      </c>
      <c r="D2295" t="s">
        <v>52</v>
      </c>
      <c r="E2295" t="s">
        <v>18</v>
      </c>
      <c r="F2295">
        <v>153</v>
      </c>
      <c r="G2295" t="s">
        <v>49</v>
      </c>
      <c r="H2295" t="s">
        <v>18</v>
      </c>
      <c r="I2295">
        <v>153</v>
      </c>
      <c r="J2295">
        <v>7</v>
      </c>
      <c r="K2295">
        <v>1</v>
      </c>
      <c r="L2295">
        <v>54</v>
      </c>
      <c r="M2295" t="s">
        <v>38</v>
      </c>
      <c r="N2295" t="s">
        <v>79</v>
      </c>
      <c r="O2295">
        <v>36553</v>
      </c>
      <c r="P2295">
        <v>155</v>
      </c>
      <c r="Q2295" t="s">
        <v>52</v>
      </c>
      <c r="R2295" t="str">
        <f t="shared" si="36"/>
        <v>No</v>
      </c>
    </row>
    <row r="2296" spans="1:18" x14ac:dyDescent="0.35">
      <c r="A2296" s="1">
        <v>40445</v>
      </c>
      <c r="B2296">
        <v>0</v>
      </c>
      <c r="C2296" t="s">
        <v>55</v>
      </c>
      <c r="D2296" t="s">
        <v>70</v>
      </c>
      <c r="E2296" t="s">
        <v>18</v>
      </c>
      <c r="F2296">
        <v>154</v>
      </c>
      <c r="G2296" t="s">
        <v>63</v>
      </c>
      <c r="H2296" t="s">
        <v>18</v>
      </c>
      <c r="I2296">
        <v>153</v>
      </c>
      <c r="J2296">
        <v>2</v>
      </c>
      <c r="K2296">
        <v>1</v>
      </c>
      <c r="L2296">
        <v>54</v>
      </c>
      <c r="M2296" t="s">
        <v>20</v>
      </c>
      <c r="N2296" t="s">
        <v>64</v>
      </c>
      <c r="O2296">
        <v>49071</v>
      </c>
      <c r="P2296">
        <v>141</v>
      </c>
      <c r="Q2296" t="s">
        <v>70</v>
      </c>
      <c r="R2296" t="str">
        <f t="shared" si="36"/>
        <v>No</v>
      </c>
    </row>
    <row r="2297" spans="1:18" x14ac:dyDescent="0.35">
      <c r="A2297" s="1">
        <v>40445</v>
      </c>
      <c r="B2297">
        <v>0</v>
      </c>
      <c r="C2297" t="s">
        <v>55</v>
      </c>
      <c r="D2297" t="s">
        <v>17</v>
      </c>
      <c r="E2297" t="s">
        <v>18</v>
      </c>
      <c r="F2297">
        <v>153</v>
      </c>
      <c r="G2297" t="s">
        <v>68</v>
      </c>
      <c r="H2297" t="s">
        <v>18</v>
      </c>
      <c r="I2297">
        <v>153</v>
      </c>
      <c r="J2297">
        <v>2</v>
      </c>
      <c r="K2297">
        <v>6</v>
      </c>
      <c r="L2297">
        <v>51</v>
      </c>
      <c r="M2297" t="s">
        <v>20</v>
      </c>
      <c r="N2297" t="s">
        <v>69</v>
      </c>
      <c r="O2297">
        <v>32235</v>
      </c>
      <c r="P2297">
        <v>173</v>
      </c>
      <c r="Q2297" t="s">
        <v>68</v>
      </c>
      <c r="R2297" t="str">
        <f t="shared" si="36"/>
        <v>Yes</v>
      </c>
    </row>
    <row r="2298" spans="1:18" x14ac:dyDescent="0.35">
      <c r="A2298" s="1">
        <v>40445</v>
      </c>
      <c r="B2298">
        <v>0</v>
      </c>
      <c r="C2298" t="s">
        <v>55</v>
      </c>
      <c r="D2298" t="s">
        <v>19</v>
      </c>
      <c r="E2298" t="s">
        <v>18</v>
      </c>
      <c r="F2298">
        <v>153</v>
      </c>
      <c r="G2298" t="s">
        <v>25</v>
      </c>
      <c r="H2298" t="s">
        <v>18</v>
      </c>
      <c r="I2298">
        <v>154</v>
      </c>
      <c r="J2298">
        <v>2</v>
      </c>
      <c r="K2298">
        <v>3</v>
      </c>
      <c r="L2298">
        <v>51</v>
      </c>
      <c r="M2298" t="s">
        <v>20</v>
      </c>
      <c r="N2298" t="s">
        <v>80</v>
      </c>
      <c r="O2298">
        <v>45309</v>
      </c>
      <c r="P2298">
        <v>130</v>
      </c>
      <c r="Q2298" t="s">
        <v>25</v>
      </c>
      <c r="R2298" t="str">
        <f t="shared" si="36"/>
        <v>Yes</v>
      </c>
    </row>
    <row r="2299" spans="1:18" x14ac:dyDescent="0.35">
      <c r="A2299" s="1">
        <v>40445</v>
      </c>
      <c r="B2299">
        <v>0</v>
      </c>
      <c r="C2299" t="s">
        <v>55</v>
      </c>
      <c r="D2299" t="s">
        <v>66</v>
      </c>
      <c r="E2299" t="s">
        <v>18</v>
      </c>
      <c r="F2299">
        <v>154</v>
      </c>
      <c r="G2299" t="s">
        <v>23</v>
      </c>
      <c r="H2299" t="s">
        <v>18</v>
      </c>
      <c r="I2299">
        <v>153</v>
      </c>
      <c r="J2299">
        <v>10</v>
      </c>
      <c r="K2299">
        <v>7</v>
      </c>
      <c r="L2299">
        <v>54</v>
      </c>
      <c r="M2299" t="s">
        <v>20</v>
      </c>
      <c r="N2299" t="s">
        <v>24</v>
      </c>
      <c r="O2299">
        <v>22279</v>
      </c>
      <c r="P2299">
        <v>193</v>
      </c>
      <c r="Q2299" t="s">
        <v>66</v>
      </c>
      <c r="R2299" t="str">
        <f t="shared" si="36"/>
        <v>No</v>
      </c>
    </row>
    <row r="2300" spans="1:18" x14ac:dyDescent="0.35">
      <c r="A2300" s="1">
        <v>40445</v>
      </c>
      <c r="B2300">
        <v>0</v>
      </c>
      <c r="C2300" t="s">
        <v>55</v>
      </c>
      <c r="D2300" t="s">
        <v>53</v>
      </c>
      <c r="E2300" t="s">
        <v>18</v>
      </c>
      <c r="F2300">
        <v>154</v>
      </c>
      <c r="G2300" t="s">
        <v>62</v>
      </c>
      <c r="H2300" t="s">
        <v>18</v>
      </c>
      <c r="I2300">
        <v>153</v>
      </c>
      <c r="J2300">
        <v>3</v>
      </c>
      <c r="K2300">
        <v>4</v>
      </c>
      <c r="L2300">
        <v>51</v>
      </c>
      <c r="M2300" t="s">
        <v>20</v>
      </c>
      <c r="N2300" t="s">
        <v>81</v>
      </c>
      <c r="O2300">
        <v>35310</v>
      </c>
      <c r="P2300">
        <v>194</v>
      </c>
      <c r="Q2300" t="s">
        <v>62</v>
      </c>
      <c r="R2300" t="str">
        <f t="shared" si="36"/>
        <v>Yes</v>
      </c>
    </row>
    <row r="2301" spans="1:18" x14ac:dyDescent="0.35">
      <c r="A2301" s="1">
        <v>40445</v>
      </c>
      <c r="B2301">
        <v>0</v>
      </c>
      <c r="C2301" t="s">
        <v>55</v>
      </c>
      <c r="D2301" t="s">
        <v>50</v>
      </c>
      <c r="E2301" t="s">
        <v>18</v>
      </c>
      <c r="F2301">
        <v>154</v>
      </c>
      <c r="G2301" t="s">
        <v>26</v>
      </c>
      <c r="H2301" t="s">
        <v>18</v>
      </c>
      <c r="I2301">
        <v>154</v>
      </c>
      <c r="J2301">
        <v>3</v>
      </c>
      <c r="K2301">
        <v>8</v>
      </c>
      <c r="L2301">
        <v>51</v>
      </c>
      <c r="M2301" t="s">
        <v>20</v>
      </c>
      <c r="N2301" t="s">
        <v>27</v>
      </c>
      <c r="O2301">
        <v>22515</v>
      </c>
      <c r="P2301">
        <v>188</v>
      </c>
      <c r="Q2301" t="s">
        <v>26</v>
      </c>
      <c r="R2301" t="str">
        <f t="shared" si="36"/>
        <v>Yes</v>
      </c>
    </row>
    <row r="2302" spans="1:18" x14ac:dyDescent="0.35">
      <c r="A2302" s="1">
        <v>40446</v>
      </c>
      <c r="B2302">
        <v>0</v>
      </c>
      <c r="C2302" t="s">
        <v>72</v>
      </c>
      <c r="D2302" t="s">
        <v>34</v>
      </c>
      <c r="E2302" t="s">
        <v>30</v>
      </c>
      <c r="F2302">
        <v>154</v>
      </c>
      <c r="G2302" t="s">
        <v>31</v>
      </c>
      <c r="H2302" t="s">
        <v>30</v>
      </c>
      <c r="I2302">
        <v>154</v>
      </c>
      <c r="J2302">
        <v>6</v>
      </c>
      <c r="K2302">
        <v>2</v>
      </c>
      <c r="L2302">
        <v>54</v>
      </c>
      <c r="M2302" t="s">
        <v>20</v>
      </c>
      <c r="N2302" t="s">
        <v>32</v>
      </c>
      <c r="O2302">
        <v>40758</v>
      </c>
      <c r="P2302">
        <v>157</v>
      </c>
      <c r="Q2302" t="s">
        <v>34</v>
      </c>
      <c r="R2302" t="str">
        <f t="shared" si="36"/>
        <v>No</v>
      </c>
    </row>
    <row r="2303" spans="1:18" x14ac:dyDescent="0.35">
      <c r="A2303" s="1">
        <v>40446</v>
      </c>
      <c r="B2303">
        <v>0</v>
      </c>
      <c r="C2303" t="s">
        <v>72</v>
      </c>
      <c r="D2303" t="s">
        <v>37</v>
      </c>
      <c r="E2303" t="s">
        <v>30</v>
      </c>
      <c r="F2303">
        <v>154</v>
      </c>
      <c r="G2303" t="s">
        <v>33</v>
      </c>
      <c r="H2303" t="s">
        <v>30</v>
      </c>
      <c r="I2303">
        <v>155</v>
      </c>
      <c r="J2303">
        <v>1</v>
      </c>
      <c r="K2303">
        <v>7</v>
      </c>
      <c r="L2303">
        <v>51</v>
      </c>
      <c r="M2303" t="s">
        <v>20</v>
      </c>
      <c r="N2303" t="s">
        <v>75</v>
      </c>
      <c r="O2303">
        <v>19746</v>
      </c>
      <c r="P2303">
        <v>180</v>
      </c>
      <c r="Q2303" t="s">
        <v>33</v>
      </c>
      <c r="R2303" t="str">
        <f t="shared" si="36"/>
        <v>Yes</v>
      </c>
    </row>
    <row r="2304" spans="1:18" x14ac:dyDescent="0.35">
      <c r="A2304" s="1">
        <v>40446</v>
      </c>
      <c r="B2304">
        <v>0</v>
      </c>
      <c r="C2304" t="s">
        <v>72</v>
      </c>
      <c r="D2304" t="s">
        <v>29</v>
      </c>
      <c r="E2304" t="s">
        <v>30</v>
      </c>
      <c r="F2304">
        <v>154</v>
      </c>
      <c r="G2304" t="s">
        <v>36</v>
      </c>
      <c r="H2304" t="s">
        <v>30</v>
      </c>
      <c r="I2304">
        <v>154</v>
      </c>
      <c r="J2304">
        <v>10</v>
      </c>
      <c r="K2304">
        <v>11</v>
      </c>
      <c r="L2304">
        <v>76</v>
      </c>
      <c r="M2304" t="s">
        <v>20</v>
      </c>
      <c r="N2304" t="s">
        <v>57</v>
      </c>
      <c r="O2304">
        <v>34129</v>
      </c>
      <c r="P2304">
        <v>259</v>
      </c>
      <c r="Q2304" t="s">
        <v>36</v>
      </c>
      <c r="R2304" t="str">
        <f t="shared" si="36"/>
        <v>Yes</v>
      </c>
    </row>
    <row r="2305" spans="1:18" x14ac:dyDescent="0.35">
      <c r="A2305" s="1">
        <v>40446</v>
      </c>
      <c r="B2305">
        <v>0</v>
      </c>
      <c r="C2305" t="s">
        <v>72</v>
      </c>
      <c r="D2305" t="s">
        <v>58</v>
      </c>
      <c r="E2305" t="s">
        <v>30</v>
      </c>
      <c r="F2305">
        <v>154</v>
      </c>
      <c r="G2305" t="s">
        <v>59</v>
      </c>
      <c r="H2305" t="s">
        <v>30</v>
      </c>
      <c r="I2305">
        <v>155</v>
      </c>
      <c r="J2305">
        <v>7</v>
      </c>
      <c r="K2305">
        <v>3</v>
      </c>
      <c r="L2305">
        <v>54</v>
      </c>
      <c r="M2305" t="s">
        <v>38</v>
      </c>
      <c r="N2305" t="s">
        <v>84</v>
      </c>
      <c r="O2305">
        <v>49558</v>
      </c>
      <c r="P2305">
        <v>207</v>
      </c>
      <c r="Q2305" t="s">
        <v>58</v>
      </c>
      <c r="R2305" t="str">
        <f t="shared" si="36"/>
        <v>No</v>
      </c>
    </row>
    <row r="2306" spans="1:18" x14ac:dyDescent="0.35">
      <c r="A2306" s="1">
        <v>40446</v>
      </c>
      <c r="B2306">
        <v>0</v>
      </c>
      <c r="C2306" t="s">
        <v>72</v>
      </c>
      <c r="D2306" t="s">
        <v>47</v>
      </c>
      <c r="E2306" t="s">
        <v>30</v>
      </c>
      <c r="F2306">
        <v>154</v>
      </c>
      <c r="G2306" t="s">
        <v>41</v>
      </c>
      <c r="H2306" t="s">
        <v>30</v>
      </c>
      <c r="I2306">
        <v>154</v>
      </c>
      <c r="J2306">
        <v>4</v>
      </c>
      <c r="K2306">
        <v>3</v>
      </c>
      <c r="L2306">
        <v>54</v>
      </c>
      <c r="M2306" t="s">
        <v>38</v>
      </c>
      <c r="N2306" t="s">
        <v>42</v>
      </c>
      <c r="O2306">
        <v>20136</v>
      </c>
      <c r="P2306">
        <v>194</v>
      </c>
      <c r="Q2306" t="s">
        <v>47</v>
      </c>
      <c r="R2306" t="str">
        <f t="shared" si="36"/>
        <v>No</v>
      </c>
    </row>
    <row r="2307" spans="1:18" x14ac:dyDescent="0.35">
      <c r="A2307" s="1">
        <v>40446</v>
      </c>
      <c r="B2307">
        <v>0</v>
      </c>
      <c r="C2307" t="s">
        <v>72</v>
      </c>
      <c r="D2307" t="s">
        <v>40</v>
      </c>
      <c r="E2307" t="s">
        <v>30</v>
      </c>
      <c r="F2307">
        <v>154</v>
      </c>
      <c r="G2307" t="s">
        <v>44</v>
      </c>
      <c r="H2307" t="s">
        <v>30</v>
      </c>
      <c r="I2307">
        <v>154</v>
      </c>
      <c r="J2307">
        <v>1</v>
      </c>
      <c r="K2307">
        <v>9</v>
      </c>
      <c r="L2307">
        <v>51</v>
      </c>
      <c r="M2307" t="s">
        <v>20</v>
      </c>
      <c r="N2307" t="s">
        <v>45</v>
      </c>
      <c r="O2307">
        <v>26427</v>
      </c>
      <c r="P2307">
        <v>145</v>
      </c>
      <c r="Q2307" t="s">
        <v>44</v>
      </c>
      <c r="R2307" t="str">
        <f t="shared" ref="R2307:R2370" si="37">IF(K2307&gt;J2307,"Yes","No")</f>
        <v>Yes</v>
      </c>
    </row>
    <row r="2308" spans="1:18" x14ac:dyDescent="0.35">
      <c r="A2308" s="1">
        <v>40446</v>
      </c>
      <c r="B2308">
        <v>0</v>
      </c>
      <c r="C2308" t="s">
        <v>72</v>
      </c>
      <c r="D2308" t="s">
        <v>43</v>
      </c>
      <c r="E2308" t="s">
        <v>30</v>
      </c>
      <c r="F2308">
        <v>154</v>
      </c>
      <c r="G2308" t="s">
        <v>46</v>
      </c>
      <c r="H2308" t="s">
        <v>30</v>
      </c>
      <c r="I2308">
        <v>154</v>
      </c>
      <c r="J2308">
        <v>4</v>
      </c>
      <c r="K2308">
        <v>5</v>
      </c>
      <c r="L2308">
        <v>63</v>
      </c>
      <c r="M2308" t="s">
        <v>38</v>
      </c>
      <c r="N2308" t="s">
        <v>78</v>
      </c>
      <c r="O2308">
        <v>21504</v>
      </c>
      <c r="P2308">
        <v>192</v>
      </c>
      <c r="Q2308" t="s">
        <v>46</v>
      </c>
      <c r="R2308" t="str">
        <f t="shared" si="37"/>
        <v>Yes</v>
      </c>
    </row>
    <row r="2309" spans="1:18" x14ac:dyDescent="0.35">
      <c r="A2309" s="1">
        <v>40446</v>
      </c>
      <c r="B2309">
        <v>0</v>
      </c>
      <c r="C2309" t="s">
        <v>72</v>
      </c>
      <c r="D2309" t="s">
        <v>22</v>
      </c>
      <c r="E2309" t="s">
        <v>18</v>
      </c>
      <c r="F2309">
        <v>155</v>
      </c>
      <c r="G2309" t="s">
        <v>60</v>
      </c>
      <c r="H2309" t="s">
        <v>18</v>
      </c>
      <c r="I2309">
        <v>155</v>
      </c>
      <c r="J2309">
        <v>2</v>
      </c>
      <c r="K2309">
        <v>5</v>
      </c>
      <c r="L2309">
        <v>51</v>
      </c>
      <c r="M2309" t="s">
        <v>20</v>
      </c>
      <c r="N2309" t="s">
        <v>61</v>
      </c>
      <c r="O2309">
        <v>41477</v>
      </c>
      <c r="P2309">
        <v>146</v>
      </c>
      <c r="Q2309" t="s">
        <v>60</v>
      </c>
      <c r="R2309" t="str">
        <f t="shared" si="37"/>
        <v>Yes</v>
      </c>
    </row>
    <row r="2310" spans="1:18" x14ac:dyDescent="0.35">
      <c r="A2310" s="1">
        <v>40446</v>
      </c>
      <c r="B2310">
        <v>0</v>
      </c>
      <c r="C2310" t="s">
        <v>72</v>
      </c>
      <c r="D2310" t="s">
        <v>52</v>
      </c>
      <c r="E2310" t="s">
        <v>18</v>
      </c>
      <c r="F2310">
        <v>154</v>
      </c>
      <c r="G2310" t="s">
        <v>49</v>
      </c>
      <c r="H2310" t="s">
        <v>18</v>
      </c>
      <c r="I2310">
        <v>154</v>
      </c>
      <c r="J2310">
        <v>3</v>
      </c>
      <c r="K2310">
        <v>7</v>
      </c>
      <c r="L2310">
        <v>51</v>
      </c>
      <c r="M2310" t="s">
        <v>38</v>
      </c>
      <c r="N2310" t="s">
        <v>79</v>
      </c>
      <c r="O2310">
        <v>39316</v>
      </c>
      <c r="P2310">
        <v>163</v>
      </c>
      <c r="Q2310" t="s">
        <v>49</v>
      </c>
      <c r="R2310" t="str">
        <f t="shared" si="37"/>
        <v>Yes</v>
      </c>
    </row>
    <row r="2311" spans="1:18" x14ac:dyDescent="0.35">
      <c r="A2311" s="1">
        <v>40446</v>
      </c>
      <c r="B2311">
        <v>0</v>
      </c>
      <c r="C2311" t="s">
        <v>72</v>
      </c>
      <c r="D2311" t="s">
        <v>70</v>
      </c>
      <c r="E2311" t="s">
        <v>18</v>
      </c>
      <c r="F2311">
        <v>155</v>
      </c>
      <c r="G2311" t="s">
        <v>63</v>
      </c>
      <c r="H2311" t="s">
        <v>18</v>
      </c>
      <c r="I2311">
        <v>154</v>
      </c>
      <c r="J2311">
        <v>9</v>
      </c>
      <c r="K2311">
        <v>10</v>
      </c>
      <c r="L2311">
        <v>58</v>
      </c>
      <c r="M2311" t="s">
        <v>20</v>
      </c>
      <c r="N2311" t="s">
        <v>64</v>
      </c>
      <c r="O2311">
        <v>43402</v>
      </c>
      <c r="P2311">
        <v>226</v>
      </c>
      <c r="Q2311" t="s">
        <v>63</v>
      </c>
      <c r="R2311" t="str">
        <f t="shared" si="37"/>
        <v>Yes</v>
      </c>
    </row>
    <row r="2312" spans="1:18" x14ac:dyDescent="0.35">
      <c r="A2312" s="1">
        <v>40446</v>
      </c>
      <c r="B2312">
        <v>0</v>
      </c>
      <c r="C2312" t="s">
        <v>72</v>
      </c>
      <c r="D2312" t="s">
        <v>17</v>
      </c>
      <c r="E2312" t="s">
        <v>18</v>
      </c>
      <c r="F2312">
        <v>154</v>
      </c>
      <c r="G2312" t="s">
        <v>68</v>
      </c>
      <c r="H2312" t="s">
        <v>18</v>
      </c>
      <c r="I2312">
        <v>154</v>
      </c>
      <c r="J2312">
        <v>4</v>
      </c>
      <c r="K2312">
        <v>0</v>
      </c>
      <c r="L2312">
        <v>54</v>
      </c>
      <c r="M2312" t="s">
        <v>20</v>
      </c>
      <c r="N2312" t="s">
        <v>69</v>
      </c>
      <c r="O2312">
        <v>34325</v>
      </c>
      <c r="P2312">
        <v>154</v>
      </c>
      <c r="Q2312" t="s">
        <v>17</v>
      </c>
      <c r="R2312" t="str">
        <f t="shared" si="37"/>
        <v>No</v>
      </c>
    </row>
    <row r="2313" spans="1:18" x14ac:dyDescent="0.35">
      <c r="A2313" s="1">
        <v>40446</v>
      </c>
      <c r="B2313">
        <v>0</v>
      </c>
      <c r="C2313" t="s">
        <v>72</v>
      </c>
      <c r="D2313" t="s">
        <v>19</v>
      </c>
      <c r="E2313" t="s">
        <v>18</v>
      </c>
      <c r="F2313">
        <v>154</v>
      </c>
      <c r="G2313" t="s">
        <v>25</v>
      </c>
      <c r="H2313" t="s">
        <v>18</v>
      </c>
      <c r="I2313">
        <v>155</v>
      </c>
      <c r="J2313">
        <v>5</v>
      </c>
      <c r="K2313">
        <v>2</v>
      </c>
      <c r="L2313">
        <v>54</v>
      </c>
      <c r="M2313" t="s">
        <v>20</v>
      </c>
      <c r="N2313" t="s">
        <v>80</v>
      </c>
      <c r="O2313">
        <v>45274</v>
      </c>
      <c r="P2313">
        <v>150</v>
      </c>
      <c r="Q2313" t="s">
        <v>19</v>
      </c>
      <c r="R2313" t="str">
        <f t="shared" si="37"/>
        <v>No</v>
      </c>
    </row>
    <row r="2314" spans="1:18" x14ac:dyDescent="0.35">
      <c r="A2314" s="1">
        <v>40446</v>
      </c>
      <c r="B2314">
        <v>0</v>
      </c>
      <c r="C2314" t="s">
        <v>72</v>
      </c>
      <c r="D2314" t="s">
        <v>66</v>
      </c>
      <c r="E2314" t="s">
        <v>18</v>
      </c>
      <c r="F2314">
        <v>155</v>
      </c>
      <c r="G2314" t="s">
        <v>23</v>
      </c>
      <c r="H2314" t="s">
        <v>18</v>
      </c>
      <c r="I2314">
        <v>154</v>
      </c>
      <c r="J2314">
        <v>4</v>
      </c>
      <c r="K2314">
        <v>6</v>
      </c>
      <c r="L2314">
        <v>51</v>
      </c>
      <c r="M2314" t="s">
        <v>20</v>
      </c>
      <c r="N2314" t="s">
        <v>24</v>
      </c>
      <c r="O2314">
        <v>25350</v>
      </c>
      <c r="P2314">
        <v>166</v>
      </c>
      <c r="Q2314" t="s">
        <v>23</v>
      </c>
      <c r="R2314" t="str">
        <f t="shared" si="37"/>
        <v>Yes</v>
      </c>
    </row>
    <row r="2315" spans="1:18" x14ac:dyDescent="0.35">
      <c r="A2315" s="1">
        <v>40446</v>
      </c>
      <c r="B2315">
        <v>0</v>
      </c>
      <c r="C2315" t="s">
        <v>72</v>
      </c>
      <c r="D2315" t="s">
        <v>53</v>
      </c>
      <c r="E2315" t="s">
        <v>18</v>
      </c>
      <c r="F2315">
        <v>155</v>
      </c>
      <c r="G2315" t="s">
        <v>62</v>
      </c>
      <c r="H2315" t="s">
        <v>18</v>
      </c>
      <c r="I2315">
        <v>154</v>
      </c>
      <c r="J2315">
        <v>3</v>
      </c>
      <c r="K2315">
        <v>4</v>
      </c>
      <c r="L2315">
        <v>53</v>
      </c>
      <c r="M2315" t="s">
        <v>38</v>
      </c>
      <c r="N2315" t="s">
        <v>81</v>
      </c>
      <c r="O2315">
        <v>35124</v>
      </c>
      <c r="P2315">
        <v>182</v>
      </c>
      <c r="Q2315" t="s">
        <v>62</v>
      </c>
      <c r="R2315" t="str">
        <f t="shared" si="37"/>
        <v>Yes</v>
      </c>
    </row>
    <row r="2316" spans="1:18" x14ac:dyDescent="0.35">
      <c r="A2316" s="1">
        <v>40446</v>
      </c>
      <c r="B2316">
        <v>0</v>
      </c>
      <c r="C2316" t="s">
        <v>72</v>
      </c>
      <c r="D2316" t="s">
        <v>50</v>
      </c>
      <c r="E2316" t="s">
        <v>18</v>
      </c>
      <c r="F2316">
        <v>155</v>
      </c>
      <c r="G2316" t="s">
        <v>26</v>
      </c>
      <c r="H2316" t="s">
        <v>18</v>
      </c>
      <c r="I2316">
        <v>155</v>
      </c>
      <c r="J2316">
        <v>5</v>
      </c>
      <c r="K2316">
        <v>0</v>
      </c>
      <c r="L2316">
        <v>54</v>
      </c>
      <c r="M2316" t="s">
        <v>38</v>
      </c>
      <c r="N2316" t="s">
        <v>27</v>
      </c>
      <c r="O2316">
        <v>23824</v>
      </c>
      <c r="P2316">
        <v>184</v>
      </c>
      <c r="Q2316" t="s">
        <v>50</v>
      </c>
      <c r="R2316" t="str">
        <f t="shared" si="37"/>
        <v>No</v>
      </c>
    </row>
    <row r="2317" spans="1:18" x14ac:dyDescent="0.35">
      <c r="A2317" s="1">
        <v>40447</v>
      </c>
      <c r="B2317">
        <v>0</v>
      </c>
      <c r="C2317" t="s">
        <v>73</v>
      </c>
      <c r="D2317" t="s">
        <v>34</v>
      </c>
      <c r="E2317" t="s">
        <v>30</v>
      </c>
      <c r="F2317">
        <v>155</v>
      </c>
      <c r="G2317" t="s">
        <v>31</v>
      </c>
      <c r="H2317" t="s">
        <v>30</v>
      </c>
      <c r="I2317">
        <v>155</v>
      </c>
      <c r="J2317">
        <v>4</v>
      </c>
      <c r="K2317">
        <v>3</v>
      </c>
      <c r="L2317">
        <v>54</v>
      </c>
      <c r="M2317" t="s">
        <v>38</v>
      </c>
      <c r="N2317" t="s">
        <v>32</v>
      </c>
      <c r="O2317">
        <v>42686</v>
      </c>
      <c r="P2317">
        <v>166</v>
      </c>
      <c r="Q2317" t="s">
        <v>34</v>
      </c>
      <c r="R2317" t="str">
        <f t="shared" si="37"/>
        <v>No</v>
      </c>
    </row>
    <row r="2318" spans="1:18" x14ac:dyDescent="0.35">
      <c r="A2318" s="1">
        <v>40447</v>
      </c>
      <c r="B2318">
        <v>0</v>
      </c>
      <c r="C2318" t="s">
        <v>73</v>
      </c>
      <c r="D2318" t="s">
        <v>37</v>
      </c>
      <c r="E2318" t="s">
        <v>30</v>
      </c>
      <c r="F2318">
        <v>155</v>
      </c>
      <c r="G2318" t="s">
        <v>33</v>
      </c>
      <c r="H2318" t="s">
        <v>30</v>
      </c>
      <c r="I2318">
        <v>156</v>
      </c>
      <c r="J2318">
        <v>3</v>
      </c>
      <c r="K2318">
        <v>5</v>
      </c>
      <c r="L2318">
        <v>51</v>
      </c>
      <c r="M2318" t="s">
        <v>38</v>
      </c>
      <c r="N2318" t="s">
        <v>75</v>
      </c>
      <c r="O2318">
        <v>18813</v>
      </c>
      <c r="P2318">
        <v>181</v>
      </c>
      <c r="Q2318" t="s">
        <v>33</v>
      </c>
      <c r="R2318" t="str">
        <f t="shared" si="37"/>
        <v>Yes</v>
      </c>
    </row>
    <row r="2319" spans="1:18" x14ac:dyDescent="0.35">
      <c r="A2319" s="1">
        <v>40447</v>
      </c>
      <c r="B2319">
        <v>0</v>
      </c>
      <c r="C2319" t="s">
        <v>73</v>
      </c>
      <c r="D2319" t="s">
        <v>29</v>
      </c>
      <c r="E2319" t="s">
        <v>30</v>
      </c>
      <c r="F2319">
        <v>155</v>
      </c>
      <c r="G2319" t="s">
        <v>36</v>
      </c>
      <c r="H2319" t="s">
        <v>30</v>
      </c>
      <c r="I2319">
        <v>155</v>
      </c>
      <c r="J2319">
        <v>1</v>
      </c>
      <c r="K2319">
        <v>5</v>
      </c>
      <c r="L2319">
        <v>51</v>
      </c>
      <c r="M2319" t="s">
        <v>38</v>
      </c>
      <c r="N2319" t="s">
        <v>57</v>
      </c>
      <c r="O2319">
        <v>32021</v>
      </c>
      <c r="P2319">
        <v>135</v>
      </c>
      <c r="Q2319" t="s">
        <v>36</v>
      </c>
      <c r="R2319" t="str">
        <f t="shared" si="37"/>
        <v>Yes</v>
      </c>
    </row>
    <row r="2320" spans="1:18" x14ac:dyDescent="0.35">
      <c r="A2320" s="1">
        <v>40447</v>
      </c>
      <c r="B2320">
        <v>0</v>
      </c>
      <c r="C2320" t="s">
        <v>73</v>
      </c>
      <c r="D2320" t="s">
        <v>58</v>
      </c>
      <c r="E2320" t="s">
        <v>30</v>
      </c>
      <c r="F2320">
        <v>155</v>
      </c>
      <c r="G2320" t="s">
        <v>59</v>
      </c>
      <c r="H2320" t="s">
        <v>30</v>
      </c>
      <c r="I2320">
        <v>156</v>
      </c>
      <c r="J2320">
        <v>3</v>
      </c>
      <c r="K2320">
        <v>4</v>
      </c>
      <c r="L2320">
        <v>58</v>
      </c>
      <c r="M2320" t="s">
        <v>20</v>
      </c>
      <c r="N2320" t="s">
        <v>84</v>
      </c>
      <c r="O2320">
        <v>49199</v>
      </c>
      <c r="P2320">
        <v>230</v>
      </c>
      <c r="Q2320" t="s">
        <v>59</v>
      </c>
      <c r="R2320" t="str">
        <f t="shared" si="37"/>
        <v>Yes</v>
      </c>
    </row>
    <row r="2321" spans="1:18" x14ac:dyDescent="0.35">
      <c r="A2321" s="1">
        <v>40447</v>
      </c>
      <c r="B2321">
        <v>0</v>
      </c>
      <c r="C2321" t="s">
        <v>73</v>
      </c>
      <c r="D2321" t="s">
        <v>47</v>
      </c>
      <c r="E2321" t="s">
        <v>30</v>
      </c>
      <c r="F2321">
        <v>155</v>
      </c>
      <c r="G2321" t="s">
        <v>41</v>
      </c>
      <c r="H2321" t="s">
        <v>30</v>
      </c>
      <c r="I2321">
        <v>155</v>
      </c>
      <c r="J2321">
        <v>16</v>
      </c>
      <c r="K2321">
        <v>9</v>
      </c>
      <c r="L2321">
        <v>54</v>
      </c>
      <c r="M2321" t="s">
        <v>38</v>
      </c>
      <c r="N2321" t="s">
        <v>42</v>
      </c>
      <c r="O2321">
        <v>21030</v>
      </c>
      <c r="P2321">
        <v>207</v>
      </c>
      <c r="Q2321" t="s">
        <v>47</v>
      </c>
      <c r="R2321" t="str">
        <f t="shared" si="37"/>
        <v>No</v>
      </c>
    </row>
    <row r="2322" spans="1:18" x14ac:dyDescent="0.35">
      <c r="A2322" s="1">
        <v>40447</v>
      </c>
      <c r="B2322">
        <v>0</v>
      </c>
      <c r="C2322" t="s">
        <v>73</v>
      </c>
      <c r="D2322" t="s">
        <v>40</v>
      </c>
      <c r="E2322" t="s">
        <v>30</v>
      </c>
      <c r="F2322">
        <v>155</v>
      </c>
      <c r="G2322" t="s">
        <v>44</v>
      </c>
      <c r="H2322" t="s">
        <v>30</v>
      </c>
      <c r="I2322">
        <v>155</v>
      </c>
      <c r="J2322">
        <v>6</v>
      </c>
      <c r="K2322">
        <v>2</v>
      </c>
      <c r="L2322">
        <v>54</v>
      </c>
      <c r="M2322" t="s">
        <v>38</v>
      </c>
      <c r="N2322" t="s">
        <v>45</v>
      </c>
      <c r="O2322">
        <v>22301</v>
      </c>
      <c r="P2322">
        <v>163</v>
      </c>
      <c r="Q2322" t="s">
        <v>40</v>
      </c>
      <c r="R2322" t="str">
        <f t="shared" si="37"/>
        <v>No</v>
      </c>
    </row>
    <row r="2323" spans="1:18" x14ac:dyDescent="0.35">
      <c r="A2323" s="1">
        <v>40447</v>
      </c>
      <c r="B2323">
        <v>0</v>
      </c>
      <c r="C2323" t="s">
        <v>73</v>
      </c>
      <c r="D2323" t="s">
        <v>43</v>
      </c>
      <c r="E2323" t="s">
        <v>30</v>
      </c>
      <c r="F2323">
        <v>155</v>
      </c>
      <c r="G2323" t="s">
        <v>46</v>
      </c>
      <c r="H2323" t="s">
        <v>30</v>
      </c>
      <c r="I2323">
        <v>155</v>
      </c>
      <c r="J2323">
        <v>2</v>
      </c>
      <c r="K2323">
        <v>5</v>
      </c>
      <c r="L2323">
        <v>51</v>
      </c>
      <c r="M2323" t="s">
        <v>38</v>
      </c>
      <c r="N2323" t="s">
        <v>78</v>
      </c>
      <c r="O2323">
        <v>17831</v>
      </c>
      <c r="P2323">
        <v>168</v>
      </c>
      <c r="Q2323" t="s">
        <v>46</v>
      </c>
      <c r="R2323" t="str">
        <f t="shared" si="37"/>
        <v>Yes</v>
      </c>
    </row>
    <row r="2324" spans="1:18" x14ac:dyDescent="0.35">
      <c r="A2324" s="1">
        <v>40447</v>
      </c>
      <c r="B2324">
        <v>0</v>
      </c>
      <c r="C2324" t="s">
        <v>73</v>
      </c>
      <c r="D2324" t="s">
        <v>22</v>
      </c>
      <c r="E2324" t="s">
        <v>18</v>
      </c>
      <c r="F2324">
        <v>156</v>
      </c>
      <c r="G2324" t="s">
        <v>60</v>
      </c>
      <c r="H2324" t="s">
        <v>18</v>
      </c>
      <c r="I2324">
        <v>156</v>
      </c>
      <c r="J2324">
        <v>4</v>
      </c>
      <c r="K2324">
        <v>5</v>
      </c>
      <c r="L2324">
        <v>51</v>
      </c>
      <c r="M2324" t="s">
        <v>38</v>
      </c>
      <c r="N2324" t="s">
        <v>61</v>
      </c>
      <c r="O2324">
        <v>37911</v>
      </c>
      <c r="P2324">
        <v>179</v>
      </c>
      <c r="Q2324" t="s">
        <v>60</v>
      </c>
      <c r="R2324" t="str">
        <f t="shared" si="37"/>
        <v>Yes</v>
      </c>
    </row>
    <row r="2325" spans="1:18" x14ac:dyDescent="0.35">
      <c r="A2325" s="1">
        <v>40447</v>
      </c>
      <c r="B2325">
        <v>0</v>
      </c>
      <c r="C2325" t="s">
        <v>73</v>
      </c>
      <c r="D2325" t="s">
        <v>52</v>
      </c>
      <c r="E2325" t="s">
        <v>18</v>
      </c>
      <c r="F2325">
        <v>155</v>
      </c>
      <c r="G2325" t="s">
        <v>49</v>
      </c>
      <c r="H2325" t="s">
        <v>18</v>
      </c>
      <c r="I2325">
        <v>155</v>
      </c>
      <c r="J2325">
        <v>8</v>
      </c>
      <c r="K2325">
        <v>7</v>
      </c>
      <c r="L2325">
        <v>54</v>
      </c>
      <c r="M2325" t="s">
        <v>38</v>
      </c>
      <c r="N2325" t="s">
        <v>79</v>
      </c>
      <c r="O2325">
        <v>38057</v>
      </c>
      <c r="P2325">
        <v>210</v>
      </c>
      <c r="Q2325" t="s">
        <v>52</v>
      </c>
      <c r="R2325" t="str">
        <f t="shared" si="37"/>
        <v>No</v>
      </c>
    </row>
    <row r="2326" spans="1:18" x14ac:dyDescent="0.35">
      <c r="A2326" s="1">
        <v>40447</v>
      </c>
      <c r="B2326">
        <v>0</v>
      </c>
      <c r="C2326" t="s">
        <v>73</v>
      </c>
      <c r="D2326" t="s">
        <v>70</v>
      </c>
      <c r="E2326" t="s">
        <v>18</v>
      </c>
      <c r="F2326">
        <v>156</v>
      </c>
      <c r="G2326" t="s">
        <v>63</v>
      </c>
      <c r="H2326" t="s">
        <v>18</v>
      </c>
      <c r="I2326">
        <v>155</v>
      </c>
      <c r="J2326">
        <v>4</v>
      </c>
      <c r="K2326">
        <v>2</v>
      </c>
      <c r="L2326">
        <v>54</v>
      </c>
      <c r="M2326" t="s">
        <v>38</v>
      </c>
      <c r="N2326" t="s">
        <v>64</v>
      </c>
      <c r="O2326">
        <v>32594</v>
      </c>
      <c r="P2326">
        <v>162</v>
      </c>
      <c r="Q2326" t="s">
        <v>70</v>
      </c>
      <c r="R2326" t="str">
        <f t="shared" si="37"/>
        <v>No</v>
      </c>
    </row>
    <row r="2327" spans="1:18" x14ac:dyDescent="0.35">
      <c r="A2327" s="1">
        <v>40447</v>
      </c>
      <c r="B2327">
        <v>0</v>
      </c>
      <c r="C2327" t="s">
        <v>73</v>
      </c>
      <c r="D2327" t="s">
        <v>17</v>
      </c>
      <c r="E2327" t="s">
        <v>18</v>
      </c>
      <c r="F2327">
        <v>155</v>
      </c>
      <c r="G2327" t="s">
        <v>68</v>
      </c>
      <c r="H2327" t="s">
        <v>18</v>
      </c>
      <c r="I2327">
        <v>155</v>
      </c>
      <c r="J2327">
        <v>1</v>
      </c>
      <c r="K2327">
        <v>7</v>
      </c>
      <c r="L2327">
        <v>51</v>
      </c>
      <c r="M2327" t="s">
        <v>38</v>
      </c>
      <c r="N2327" t="s">
        <v>69</v>
      </c>
      <c r="O2327">
        <v>29059</v>
      </c>
      <c r="P2327">
        <v>164</v>
      </c>
      <c r="Q2327" t="s">
        <v>68</v>
      </c>
      <c r="R2327" t="str">
        <f t="shared" si="37"/>
        <v>Yes</v>
      </c>
    </row>
    <row r="2328" spans="1:18" x14ac:dyDescent="0.35">
      <c r="A2328" s="1">
        <v>40447</v>
      </c>
      <c r="B2328">
        <v>0</v>
      </c>
      <c r="C2328" t="s">
        <v>73</v>
      </c>
      <c r="D2328" t="s">
        <v>19</v>
      </c>
      <c r="E2328" t="s">
        <v>18</v>
      </c>
      <c r="F2328">
        <v>155</v>
      </c>
      <c r="G2328" t="s">
        <v>25</v>
      </c>
      <c r="H2328" t="s">
        <v>18</v>
      </c>
      <c r="I2328">
        <v>156</v>
      </c>
      <c r="J2328">
        <v>7</v>
      </c>
      <c r="K2328">
        <v>3</v>
      </c>
      <c r="L2328">
        <v>54</v>
      </c>
      <c r="M2328" t="s">
        <v>38</v>
      </c>
      <c r="N2328" t="s">
        <v>80</v>
      </c>
      <c r="O2328">
        <v>45302</v>
      </c>
      <c r="P2328">
        <v>190</v>
      </c>
      <c r="Q2328" t="s">
        <v>19</v>
      </c>
      <c r="R2328" t="str">
        <f t="shared" si="37"/>
        <v>No</v>
      </c>
    </row>
    <row r="2329" spans="1:18" x14ac:dyDescent="0.35">
      <c r="A2329" s="1">
        <v>40447</v>
      </c>
      <c r="B2329">
        <v>0</v>
      </c>
      <c r="C2329" t="s">
        <v>73</v>
      </c>
      <c r="D2329" t="s">
        <v>66</v>
      </c>
      <c r="E2329" t="s">
        <v>18</v>
      </c>
      <c r="F2329">
        <v>156</v>
      </c>
      <c r="G2329" t="s">
        <v>23</v>
      </c>
      <c r="H2329" t="s">
        <v>18</v>
      </c>
      <c r="I2329">
        <v>155</v>
      </c>
      <c r="J2329">
        <v>3</v>
      </c>
      <c r="K2329">
        <v>9</v>
      </c>
      <c r="L2329">
        <v>51</v>
      </c>
      <c r="M2329" t="s">
        <v>38</v>
      </c>
      <c r="N2329" t="s">
        <v>24</v>
      </c>
      <c r="O2329">
        <v>23208</v>
      </c>
      <c r="P2329">
        <v>181</v>
      </c>
      <c r="Q2329" t="s">
        <v>23</v>
      </c>
      <c r="R2329" t="str">
        <f t="shared" si="37"/>
        <v>Yes</v>
      </c>
    </row>
    <row r="2330" spans="1:18" x14ac:dyDescent="0.35">
      <c r="A2330" s="1">
        <v>40447</v>
      </c>
      <c r="B2330">
        <v>0</v>
      </c>
      <c r="C2330" t="s">
        <v>73</v>
      </c>
      <c r="D2330" t="s">
        <v>53</v>
      </c>
      <c r="E2330" t="s">
        <v>18</v>
      </c>
      <c r="F2330">
        <v>156</v>
      </c>
      <c r="G2330" t="s">
        <v>62</v>
      </c>
      <c r="H2330" t="s">
        <v>18</v>
      </c>
      <c r="I2330">
        <v>155</v>
      </c>
      <c r="J2330">
        <v>12</v>
      </c>
      <c r="K2330">
        <v>2</v>
      </c>
      <c r="L2330">
        <v>54</v>
      </c>
      <c r="M2330" t="s">
        <v>38</v>
      </c>
      <c r="N2330" t="s">
        <v>81</v>
      </c>
      <c r="O2330">
        <v>26131</v>
      </c>
      <c r="P2330">
        <v>190</v>
      </c>
      <c r="Q2330" t="s">
        <v>53</v>
      </c>
      <c r="R2330" t="str">
        <f t="shared" si="37"/>
        <v>No</v>
      </c>
    </row>
    <row r="2331" spans="1:18" x14ac:dyDescent="0.35">
      <c r="A2331" s="1">
        <v>40447</v>
      </c>
      <c r="B2331">
        <v>0</v>
      </c>
      <c r="C2331" t="s">
        <v>73</v>
      </c>
      <c r="D2331" t="s">
        <v>50</v>
      </c>
      <c r="E2331" t="s">
        <v>18</v>
      </c>
      <c r="F2331">
        <v>156</v>
      </c>
      <c r="G2331" t="s">
        <v>26</v>
      </c>
      <c r="H2331" t="s">
        <v>18</v>
      </c>
      <c r="I2331">
        <v>156</v>
      </c>
      <c r="J2331">
        <v>2</v>
      </c>
      <c r="K2331">
        <v>4</v>
      </c>
      <c r="L2331">
        <v>51</v>
      </c>
      <c r="M2331" t="s">
        <v>38</v>
      </c>
      <c r="N2331" t="s">
        <v>27</v>
      </c>
      <c r="O2331">
        <v>21625</v>
      </c>
      <c r="P2331">
        <v>175</v>
      </c>
      <c r="Q2331" t="s">
        <v>26</v>
      </c>
      <c r="R2331" t="str">
        <f t="shared" si="37"/>
        <v>Yes</v>
      </c>
    </row>
    <row r="2332" spans="1:18" x14ac:dyDescent="0.35">
      <c r="A2332" s="1">
        <v>40448</v>
      </c>
      <c r="B2332">
        <v>0</v>
      </c>
      <c r="C2332" t="s">
        <v>74</v>
      </c>
      <c r="D2332" t="s">
        <v>41</v>
      </c>
      <c r="E2332" t="s">
        <v>30</v>
      </c>
      <c r="F2332">
        <v>156</v>
      </c>
      <c r="G2332" t="s">
        <v>31</v>
      </c>
      <c r="H2332" t="s">
        <v>30</v>
      </c>
      <c r="I2332">
        <v>156</v>
      </c>
      <c r="J2332">
        <v>5</v>
      </c>
      <c r="K2332">
        <v>6</v>
      </c>
      <c r="L2332">
        <v>51</v>
      </c>
      <c r="M2332" t="s">
        <v>20</v>
      </c>
      <c r="N2332" t="s">
        <v>32</v>
      </c>
      <c r="O2332">
        <v>40414</v>
      </c>
      <c r="P2332">
        <v>191</v>
      </c>
      <c r="Q2332" t="s">
        <v>31</v>
      </c>
      <c r="R2332" t="str">
        <f t="shared" si="37"/>
        <v>Yes</v>
      </c>
    </row>
    <row r="2333" spans="1:18" x14ac:dyDescent="0.35">
      <c r="A2333" s="1">
        <v>40448</v>
      </c>
      <c r="B2333">
        <v>0</v>
      </c>
      <c r="C2333" t="s">
        <v>74</v>
      </c>
      <c r="D2333" t="s">
        <v>58</v>
      </c>
      <c r="E2333" t="s">
        <v>30</v>
      </c>
      <c r="F2333">
        <v>156</v>
      </c>
      <c r="G2333" t="s">
        <v>34</v>
      </c>
      <c r="H2333" t="s">
        <v>30</v>
      </c>
      <c r="I2333">
        <v>156</v>
      </c>
      <c r="J2333">
        <v>6</v>
      </c>
      <c r="K2333">
        <v>1</v>
      </c>
      <c r="L2333">
        <v>54</v>
      </c>
      <c r="M2333" t="s">
        <v>20</v>
      </c>
      <c r="N2333" t="s">
        <v>35</v>
      </c>
      <c r="O2333">
        <v>19750</v>
      </c>
      <c r="P2333">
        <v>162</v>
      </c>
      <c r="Q2333" t="s">
        <v>58</v>
      </c>
      <c r="R2333" t="str">
        <f t="shared" si="37"/>
        <v>No</v>
      </c>
    </row>
    <row r="2334" spans="1:18" x14ac:dyDescent="0.35">
      <c r="A2334" s="1">
        <v>40448</v>
      </c>
      <c r="B2334">
        <v>0</v>
      </c>
      <c r="C2334" t="s">
        <v>74</v>
      </c>
      <c r="D2334" t="s">
        <v>36</v>
      </c>
      <c r="E2334" t="s">
        <v>30</v>
      </c>
      <c r="F2334">
        <v>156</v>
      </c>
      <c r="G2334" t="s">
        <v>33</v>
      </c>
      <c r="H2334" t="s">
        <v>30</v>
      </c>
      <c r="I2334">
        <v>157</v>
      </c>
      <c r="J2334">
        <v>3</v>
      </c>
      <c r="K2334">
        <v>6</v>
      </c>
      <c r="L2334">
        <v>51</v>
      </c>
      <c r="M2334" t="s">
        <v>20</v>
      </c>
      <c r="N2334" t="s">
        <v>75</v>
      </c>
      <c r="O2334">
        <v>10161</v>
      </c>
      <c r="P2334">
        <v>160</v>
      </c>
      <c r="Q2334" t="s">
        <v>33</v>
      </c>
      <c r="R2334" t="str">
        <f t="shared" si="37"/>
        <v>Yes</v>
      </c>
    </row>
    <row r="2335" spans="1:18" x14ac:dyDescent="0.35">
      <c r="A2335" s="1">
        <v>40448</v>
      </c>
      <c r="B2335">
        <v>0</v>
      </c>
      <c r="C2335" t="s">
        <v>74</v>
      </c>
      <c r="D2335" t="s">
        <v>29</v>
      </c>
      <c r="E2335" t="s">
        <v>30</v>
      </c>
      <c r="F2335">
        <v>156</v>
      </c>
      <c r="G2335" t="s">
        <v>37</v>
      </c>
      <c r="H2335" t="s">
        <v>30</v>
      </c>
      <c r="I2335">
        <v>156</v>
      </c>
      <c r="J2335">
        <v>8</v>
      </c>
      <c r="K2335">
        <v>10</v>
      </c>
      <c r="L2335">
        <v>51</v>
      </c>
      <c r="M2335" t="s">
        <v>20</v>
      </c>
      <c r="N2335" t="s">
        <v>39</v>
      </c>
      <c r="O2335">
        <v>19307</v>
      </c>
      <c r="P2335">
        <v>186</v>
      </c>
      <c r="Q2335" t="s">
        <v>37</v>
      </c>
      <c r="R2335" t="str">
        <f t="shared" si="37"/>
        <v>Yes</v>
      </c>
    </row>
    <row r="2336" spans="1:18" x14ac:dyDescent="0.35">
      <c r="A2336" s="1">
        <v>40448</v>
      </c>
      <c r="B2336">
        <v>0</v>
      </c>
      <c r="C2336" t="s">
        <v>74</v>
      </c>
      <c r="D2336" t="s">
        <v>43</v>
      </c>
      <c r="E2336" t="s">
        <v>30</v>
      </c>
      <c r="F2336">
        <v>156</v>
      </c>
      <c r="G2336" t="s">
        <v>44</v>
      </c>
      <c r="H2336" t="s">
        <v>30</v>
      </c>
      <c r="I2336">
        <v>156</v>
      </c>
      <c r="J2336">
        <v>4</v>
      </c>
      <c r="K2336">
        <v>0</v>
      </c>
      <c r="L2336">
        <v>54</v>
      </c>
      <c r="M2336" t="s">
        <v>20</v>
      </c>
      <c r="N2336" t="s">
        <v>45</v>
      </c>
      <c r="O2336">
        <v>12446</v>
      </c>
      <c r="P2336">
        <v>158</v>
      </c>
      <c r="Q2336" t="s">
        <v>43</v>
      </c>
      <c r="R2336" t="str">
        <f t="shared" si="37"/>
        <v>No</v>
      </c>
    </row>
    <row r="2337" spans="1:18" x14ac:dyDescent="0.35">
      <c r="A2337" s="1">
        <v>40448</v>
      </c>
      <c r="B2337">
        <v>0</v>
      </c>
      <c r="C2337" t="s">
        <v>74</v>
      </c>
      <c r="D2337" t="s">
        <v>40</v>
      </c>
      <c r="E2337" t="s">
        <v>30</v>
      </c>
      <c r="F2337">
        <v>156</v>
      </c>
      <c r="G2337" t="s">
        <v>47</v>
      </c>
      <c r="H2337" t="s">
        <v>30</v>
      </c>
      <c r="I2337">
        <v>156</v>
      </c>
      <c r="J2337">
        <v>7</v>
      </c>
      <c r="K2337">
        <v>5</v>
      </c>
      <c r="L2337">
        <v>54</v>
      </c>
      <c r="M2337" t="s">
        <v>20</v>
      </c>
      <c r="N2337" t="s">
        <v>48</v>
      </c>
      <c r="O2337">
        <v>29381</v>
      </c>
      <c r="P2337">
        <v>169</v>
      </c>
      <c r="Q2337" t="s">
        <v>40</v>
      </c>
      <c r="R2337" t="str">
        <f t="shared" si="37"/>
        <v>No</v>
      </c>
    </row>
    <row r="2338" spans="1:18" x14ac:dyDescent="0.35">
      <c r="A2338" s="1">
        <v>40448</v>
      </c>
      <c r="B2338">
        <v>0</v>
      </c>
      <c r="C2338" t="s">
        <v>74</v>
      </c>
      <c r="D2338" t="s">
        <v>59</v>
      </c>
      <c r="E2338" t="s">
        <v>30</v>
      </c>
      <c r="F2338">
        <v>157</v>
      </c>
      <c r="G2338" t="s">
        <v>46</v>
      </c>
      <c r="H2338" t="s">
        <v>30</v>
      </c>
      <c r="I2338">
        <v>156</v>
      </c>
      <c r="J2338">
        <v>5</v>
      </c>
      <c r="K2338">
        <v>7</v>
      </c>
      <c r="L2338">
        <v>51</v>
      </c>
      <c r="M2338" t="s">
        <v>20</v>
      </c>
      <c r="N2338" t="s">
        <v>78</v>
      </c>
      <c r="O2338">
        <v>16004</v>
      </c>
      <c r="P2338">
        <v>168</v>
      </c>
      <c r="Q2338" t="s">
        <v>46</v>
      </c>
      <c r="R2338" t="str">
        <f t="shared" si="37"/>
        <v>Yes</v>
      </c>
    </row>
    <row r="2339" spans="1:18" x14ac:dyDescent="0.35">
      <c r="A2339" s="1">
        <v>40448</v>
      </c>
      <c r="B2339">
        <v>0</v>
      </c>
      <c r="C2339" t="s">
        <v>74</v>
      </c>
      <c r="D2339" t="s">
        <v>17</v>
      </c>
      <c r="E2339" t="s">
        <v>18</v>
      </c>
      <c r="F2339">
        <v>156</v>
      </c>
      <c r="G2339" t="s">
        <v>50</v>
      </c>
      <c r="H2339" t="s">
        <v>18</v>
      </c>
      <c r="I2339">
        <v>157</v>
      </c>
      <c r="J2339">
        <v>1</v>
      </c>
      <c r="K2339">
        <v>2</v>
      </c>
      <c r="L2339">
        <v>65</v>
      </c>
      <c r="M2339" t="s">
        <v>20</v>
      </c>
      <c r="N2339" t="s">
        <v>51</v>
      </c>
      <c r="O2339">
        <v>26338</v>
      </c>
      <c r="P2339">
        <v>197</v>
      </c>
      <c r="Q2339" t="s">
        <v>50</v>
      </c>
      <c r="R2339" t="str">
        <f t="shared" si="37"/>
        <v>Yes</v>
      </c>
    </row>
    <row r="2340" spans="1:18" x14ac:dyDescent="0.35">
      <c r="A2340" s="1">
        <v>40448</v>
      </c>
      <c r="B2340">
        <v>0</v>
      </c>
      <c r="C2340" t="s">
        <v>74</v>
      </c>
      <c r="D2340" t="s">
        <v>22</v>
      </c>
      <c r="E2340" t="s">
        <v>18</v>
      </c>
      <c r="F2340">
        <v>157</v>
      </c>
      <c r="G2340" t="s">
        <v>63</v>
      </c>
      <c r="H2340" t="s">
        <v>18</v>
      </c>
      <c r="I2340">
        <v>156</v>
      </c>
      <c r="J2340">
        <v>3</v>
      </c>
      <c r="K2340">
        <v>1</v>
      </c>
      <c r="L2340">
        <v>54</v>
      </c>
      <c r="M2340" t="s">
        <v>20</v>
      </c>
      <c r="N2340" t="s">
        <v>64</v>
      </c>
      <c r="O2340">
        <v>32085</v>
      </c>
      <c r="P2340">
        <v>159</v>
      </c>
      <c r="Q2340" t="s">
        <v>22</v>
      </c>
      <c r="R2340" t="str">
        <f t="shared" si="37"/>
        <v>No</v>
      </c>
    </row>
    <row r="2341" spans="1:18" x14ac:dyDescent="0.35">
      <c r="A2341" s="1">
        <v>40448</v>
      </c>
      <c r="B2341">
        <v>0</v>
      </c>
      <c r="C2341" t="s">
        <v>74</v>
      </c>
      <c r="D2341" t="s">
        <v>49</v>
      </c>
      <c r="E2341" t="s">
        <v>18</v>
      </c>
      <c r="F2341">
        <v>156</v>
      </c>
      <c r="G2341" t="s">
        <v>62</v>
      </c>
      <c r="H2341" t="s">
        <v>18</v>
      </c>
      <c r="I2341">
        <v>156</v>
      </c>
      <c r="J2341">
        <v>1</v>
      </c>
      <c r="K2341">
        <v>0</v>
      </c>
      <c r="L2341">
        <v>54</v>
      </c>
      <c r="M2341" t="s">
        <v>20</v>
      </c>
      <c r="N2341" t="s">
        <v>81</v>
      </c>
      <c r="O2341">
        <v>22739</v>
      </c>
      <c r="P2341">
        <v>154</v>
      </c>
      <c r="Q2341" t="s">
        <v>49</v>
      </c>
      <c r="R2341" t="str">
        <f t="shared" si="37"/>
        <v>No</v>
      </c>
    </row>
    <row r="2342" spans="1:18" x14ac:dyDescent="0.35">
      <c r="A2342" s="1">
        <v>40448</v>
      </c>
      <c r="B2342">
        <v>0</v>
      </c>
      <c r="C2342" t="s">
        <v>74</v>
      </c>
      <c r="D2342" t="s">
        <v>23</v>
      </c>
      <c r="E2342" t="s">
        <v>18</v>
      </c>
      <c r="F2342">
        <v>156</v>
      </c>
      <c r="G2342" t="s">
        <v>52</v>
      </c>
      <c r="H2342" t="s">
        <v>18</v>
      </c>
      <c r="I2342">
        <v>156</v>
      </c>
      <c r="J2342">
        <v>4</v>
      </c>
      <c r="K2342">
        <v>6</v>
      </c>
      <c r="L2342">
        <v>51</v>
      </c>
      <c r="M2342" t="s">
        <v>20</v>
      </c>
      <c r="N2342" t="s">
        <v>82</v>
      </c>
      <c r="O2342">
        <v>38592</v>
      </c>
      <c r="P2342">
        <v>163</v>
      </c>
      <c r="Q2342" t="s">
        <v>52</v>
      </c>
      <c r="R2342" t="str">
        <f t="shared" si="37"/>
        <v>Yes</v>
      </c>
    </row>
    <row r="2343" spans="1:18" x14ac:dyDescent="0.35">
      <c r="A2343" s="1">
        <v>40448</v>
      </c>
      <c r="B2343">
        <v>0</v>
      </c>
      <c r="C2343" t="s">
        <v>74</v>
      </c>
      <c r="D2343" t="s">
        <v>25</v>
      </c>
      <c r="E2343" t="s">
        <v>18</v>
      </c>
      <c r="F2343">
        <v>157</v>
      </c>
      <c r="G2343" t="s">
        <v>26</v>
      </c>
      <c r="H2343" t="s">
        <v>18</v>
      </c>
      <c r="I2343">
        <v>157</v>
      </c>
      <c r="J2343">
        <v>8</v>
      </c>
      <c r="K2343">
        <v>0</v>
      </c>
      <c r="L2343">
        <v>54</v>
      </c>
      <c r="M2343" t="s">
        <v>20</v>
      </c>
      <c r="N2343" t="s">
        <v>27</v>
      </c>
      <c r="O2343">
        <v>14309</v>
      </c>
      <c r="P2343">
        <v>157</v>
      </c>
      <c r="Q2343" t="s">
        <v>25</v>
      </c>
      <c r="R2343" t="str">
        <f t="shared" si="37"/>
        <v>No</v>
      </c>
    </row>
    <row r="2344" spans="1:18" x14ac:dyDescent="0.35">
      <c r="A2344" s="1">
        <v>40449</v>
      </c>
      <c r="B2344">
        <v>0</v>
      </c>
      <c r="C2344" t="s">
        <v>83</v>
      </c>
      <c r="D2344" t="s">
        <v>41</v>
      </c>
      <c r="E2344" t="s">
        <v>30</v>
      </c>
      <c r="F2344">
        <v>157</v>
      </c>
      <c r="G2344" t="s">
        <v>31</v>
      </c>
      <c r="H2344" t="s">
        <v>30</v>
      </c>
      <c r="I2344">
        <v>157</v>
      </c>
      <c r="J2344">
        <v>2</v>
      </c>
      <c r="K2344">
        <v>4</v>
      </c>
      <c r="L2344">
        <v>51</v>
      </c>
      <c r="M2344" t="s">
        <v>20</v>
      </c>
      <c r="N2344" t="s">
        <v>32</v>
      </c>
      <c r="O2344">
        <v>43163</v>
      </c>
      <c r="P2344">
        <v>150</v>
      </c>
      <c r="Q2344" t="s">
        <v>31</v>
      </c>
      <c r="R2344" t="str">
        <f t="shared" si="37"/>
        <v>Yes</v>
      </c>
    </row>
    <row r="2345" spans="1:18" x14ac:dyDescent="0.35">
      <c r="A2345" s="1">
        <v>40449</v>
      </c>
      <c r="B2345">
        <v>0</v>
      </c>
      <c r="C2345" t="s">
        <v>83</v>
      </c>
      <c r="D2345" t="s">
        <v>58</v>
      </c>
      <c r="E2345" t="s">
        <v>30</v>
      </c>
      <c r="F2345">
        <v>157</v>
      </c>
      <c r="G2345" t="s">
        <v>34</v>
      </c>
      <c r="H2345" t="s">
        <v>30</v>
      </c>
      <c r="I2345">
        <v>157</v>
      </c>
      <c r="J2345">
        <v>4</v>
      </c>
      <c r="K2345">
        <v>5</v>
      </c>
      <c r="L2345">
        <v>53</v>
      </c>
      <c r="M2345" t="s">
        <v>20</v>
      </c>
      <c r="N2345" t="s">
        <v>35</v>
      </c>
      <c r="O2345">
        <v>16982</v>
      </c>
      <c r="P2345">
        <v>190</v>
      </c>
      <c r="Q2345" t="s">
        <v>34</v>
      </c>
      <c r="R2345" t="str">
        <f t="shared" si="37"/>
        <v>Yes</v>
      </c>
    </row>
    <row r="2346" spans="1:18" x14ac:dyDescent="0.35">
      <c r="A2346" s="1">
        <v>40449</v>
      </c>
      <c r="B2346">
        <v>0</v>
      </c>
      <c r="C2346" t="s">
        <v>83</v>
      </c>
      <c r="D2346" t="s">
        <v>29</v>
      </c>
      <c r="E2346" t="s">
        <v>30</v>
      </c>
      <c r="F2346">
        <v>157</v>
      </c>
      <c r="G2346" t="s">
        <v>37</v>
      </c>
      <c r="H2346" t="s">
        <v>30</v>
      </c>
      <c r="I2346">
        <v>157</v>
      </c>
      <c r="J2346">
        <v>1</v>
      </c>
      <c r="K2346">
        <v>10</v>
      </c>
      <c r="L2346">
        <v>51</v>
      </c>
      <c r="M2346" t="s">
        <v>20</v>
      </c>
      <c r="N2346" t="s">
        <v>39</v>
      </c>
      <c r="O2346">
        <v>18487</v>
      </c>
      <c r="P2346">
        <v>163</v>
      </c>
      <c r="Q2346" t="s">
        <v>37</v>
      </c>
      <c r="R2346" t="str">
        <f t="shared" si="37"/>
        <v>Yes</v>
      </c>
    </row>
    <row r="2347" spans="1:18" x14ac:dyDescent="0.35">
      <c r="A2347" s="1">
        <v>40449</v>
      </c>
      <c r="B2347">
        <v>0</v>
      </c>
      <c r="C2347" t="s">
        <v>83</v>
      </c>
      <c r="D2347" t="s">
        <v>43</v>
      </c>
      <c r="E2347" t="s">
        <v>30</v>
      </c>
      <c r="F2347">
        <v>157</v>
      </c>
      <c r="G2347" t="s">
        <v>44</v>
      </c>
      <c r="H2347" t="s">
        <v>30</v>
      </c>
      <c r="I2347">
        <v>157</v>
      </c>
      <c r="J2347">
        <v>0</v>
      </c>
      <c r="K2347">
        <v>5</v>
      </c>
      <c r="L2347">
        <v>51</v>
      </c>
      <c r="M2347" t="s">
        <v>20</v>
      </c>
      <c r="N2347" t="s">
        <v>45</v>
      </c>
      <c r="O2347">
        <v>17891</v>
      </c>
      <c r="P2347">
        <v>128</v>
      </c>
      <c r="Q2347" t="s">
        <v>44</v>
      </c>
      <c r="R2347" t="str">
        <f t="shared" si="37"/>
        <v>Yes</v>
      </c>
    </row>
    <row r="2348" spans="1:18" x14ac:dyDescent="0.35">
      <c r="A2348" s="1">
        <v>40449</v>
      </c>
      <c r="B2348">
        <v>0</v>
      </c>
      <c r="C2348" t="s">
        <v>83</v>
      </c>
      <c r="D2348" t="s">
        <v>40</v>
      </c>
      <c r="E2348" t="s">
        <v>30</v>
      </c>
      <c r="F2348">
        <v>157</v>
      </c>
      <c r="G2348" t="s">
        <v>47</v>
      </c>
      <c r="H2348" t="s">
        <v>30</v>
      </c>
      <c r="I2348">
        <v>157</v>
      </c>
      <c r="J2348">
        <v>3</v>
      </c>
      <c r="K2348">
        <v>1</v>
      </c>
      <c r="L2348">
        <v>54</v>
      </c>
      <c r="M2348" t="s">
        <v>20</v>
      </c>
      <c r="N2348" t="s">
        <v>48</v>
      </c>
      <c r="O2348">
        <v>26043</v>
      </c>
      <c r="P2348">
        <v>159</v>
      </c>
      <c r="Q2348" t="s">
        <v>40</v>
      </c>
      <c r="R2348" t="str">
        <f t="shared" si="37"/>
        <v>No</v>
      </c>
    </row>
    <row r="2349" spans="1:18" x14ac:dyDescent="0.35">
      <c r="A2349" s="1">
        <v>40449</v>
      </c>
      <c r="B2349">
        <v>0</v>
      </c>
      <c r="C2349" t="s">
        <v>83</v>
      </c>
      <c r="D2349" t="s">
        <v>59</v>
      </c>
      <c r="E2349" t="s">
        <v>30</v>
      </c>
      <c r="F2349">
        <v>158</v>
      </c>
      <c r="G2349" t="s">
        <v>46</v>
      </c>
      <c r="H2349" t="s">
        <v>30</v>
      </c>
      <c r="I2349">
        <v>157</v>
      </c>
      <c r="J2349">
        <v>6</v>
      </c>
      <c r="K2349">
        <v>1</v>
      </c>
      <c r="L2349">
        <v>54</v>
      </c>
      <c r="M2349" t="s">
        <v>20</v>
      </c>
      <c r="N2349" t="s">
        <v>78</v>
      </c>
      <c r="O2349">
        <v>18193</v>
      </c>
      <c r="P2349">
        <v>175</v>
      </c>
      <c r="Q2349" t="s">
        <v>59</v>
      </c>
      <c r="R2349" t="str">
        <f t="shared" si="37"/>
        <v>No</v>
      </c>
    </row>
    <row r="2350" spans="1:18" x14ac:dyDescent="0.35">
      <c r="A2350" s="1">
        <v>40449</v>
      </c>
      <c r="B2350">
        <v>0</v>
      </c>
      <c r="C2350" t="s">
        <v>83</v>
      </c>
      <c r="D2350" t="s">
        <v>17</v>
      </c>
      <c r="E2350" t="s">
        <v>18</v>
      </c>
      <c r="F2350">
        <v>157</v>
      </c>
      <c r="G2350" t="s">
        <v>50</v>
      </c>
      <c r="H2350" t="s">
        <v>18</v>
      </c>
      <c r="I2350">
        <v>158</v>
      </c>
      <c r="J2350">
        <v>2</v>
      </c>
      <c r="K2350">
        <v>3</v>
      </c>
      <c r="L2350">
        <v>51</v>
      </c>
      <c r="M2350" t="s">
        <v>20</v>
      </c>
      <c r="N2350" t="s">
        <v>51</v>
      </c>
      <c r="O2350">
        <v>36155</v>
      </c>
      <c r="P2350">
        <v>164</v>
      </c>
      <c r="Q2350" t="s">
        <v>50</v>
      </c>
      <c r="R2350" t="str">
        <f t="shared" si="37"/>
        <v>Yes</v>
      </c>
    </row>
    <row r="2351" spans="1:18" x14ac:dyDescent="0.35">
      <c r="A2351" s="1">
        <v>40449</v>
      </c>
      <c r="B2351">
        <v>0</v>
      </c>
      <c r="C2351" t="s">
        <v>83</v>
      </c>
      <c r="D2351" t="s">
        <v>66</v>
      </c>
      <c r="E2351" t="s">
        <v>18</v>
      </c>
      <c r="F2351">
        <v>157</v>
      </c>
      <c r="G2351" t="s">
        <v>53</v>
      </c>
      <c r="H2351" t="s">
        <v>18</v>
      </c>
      <c r="I2351">
        <v>157</v>
      </c>
      <c r="J2351">
        <v>2</v>
      </c>
      <c r="K2351">
        <v>3</v>
      </c>
      <c r="L2351">
        <v>51</v>
      </c>
      <c r="M2351" t="s">
        <v>20</v>
      </c>
      <c r="N2351" t="s">
        <v>54</v>
      </c>
      <c r="O2351">
        <v>30151</v>
      </c>
      <c r="P2351">
        <v>171</v>
      </c>
      <c r="Q2351" t="s">
        <v>53</v>
      </c>
      <c r="R2351" t="str">
        <f t="shared" si="37"/>
        <v>Yes</v>
      </c>
    </row>
    <row r="2352" spans="1:18" x14ac:dyDescent="0.35">
      <c r="A2352" s="1">
        <v>40449</v>
      </c>
      <c r="B2352">
        <v>0</v>
      </c>
      <c r="C2352" t="s">
        <v>83</v>
      </c>
      <c r="D2352" t="s">
        <v>22</v>
      </c>
      <c r="E2352" t="s">
        <v>18</v>
      </c>
      <c r="F2352">
        <v>158</v>
      </c>
      <c r="G2352" t="s">
        <v>63</v>
      </c>
      <c r="H2352" t="s">
        <v>18</v>
      </c>
      <c r="I2352">
        <v>157</v>
      </c>
      <c r="J2352">
        <v>9</v>
      </c>
      <c r="K2352">
        <v>7</v>
      </c>
      <c r="L2352">
        <v>54</v>
      </c>
      <c r="M2352" t="s">
        <v>20</v>
      </c>
      <c r="N2352" t="s">
        <v>64</v>
      </c>
      <c r="O2352">
        <v>34430</v>
      </c>
      <c r="P2352">
        <v>198</v>
      </c>
      <c r="Q2352" t="s">
        <v>22</v>
      </c>
      <c r="R2352" t="str">
        <f t="shared" si="37"/>
        <v>No</v>
      </c>
    </row>
    <row r="2353" spans="1:18" x14ac:dyDescent="0.35">
      <c r="A2353" s="1">
        <v>40449</v>
      </c>
      <c r="B2353">
        <v>0</v>
      </c>
      <c r="C2353" t="s">
        <v>83</v>
      </c>
      <c r="D2353" t="s">
        <v>68</v>
      </c>
      <c r="E2353" t="s">
        <v>18</v>
      </c>
      <c r="F2353">
        <v>156</v>
      </c>
      <c r="G2353" t="s">
        <v>19</v>
      </c>
      <c r="H2353" t="s">
        <v>18</v>
      </c>
      <c r="I2353">
        <v>156</v>
      </c>
      <c r="J2353">
        <v>3</v>
      </c>
      <c r="K2353">
        <v>4</v>
      </c>
      <c r="L2353">
        <v>52</v>
      </c>
      <c r="M2353" t="s">
        <v>20</v>
      </c>
      <c r="N2353" t="s">
        <v>21</v>
      </c>
      <c r="O2353">
        <v>24666</v>
      </c>
      <c r="P2353">
        <v>154</v>
      </c>
      <c r="Q2353" t="s">
        <v>19</v>
      </c>
      <c r="R2353" t="str">
        <f t="shared" si="37"/>
        <v>Yes</v>
      </c>
    </row>
    <row r="2354" spans="1:18" x14ac:dyDescent="0.35">
      <c r="A2354" s="1">
        <v>40449</v>
      </c>
      <c r="B2354">
        <v>0</v>
      </c>
      <c r="C2354" t="s">
        <v>83</v>
      </c>
      <c r="D2354" t="s">
        <v>49</v>
      </c>
      <c r="E2354" t="s">
        <v>18</v>
      </c>
      <c r="F2354">
        <v>157</v>
      </c>
      <c r="G2354" t="s">
        <v>62</v>
      </c>
      <c r="H2354" t="s">
        <v>18</v>
      </c>
      <c r="I2354">
        <v>157</v>
      </c>
      <c r="J2354">
        <v>5</v>
      </c>
      <c r="K2354">
        <v>2</v>
      </c>
      <c r="L2354">
        <v>54</v>
      </c>
      <c r="M2354" t="s">
        <v>20</v>
      </c>
      <c r="N2354" t="s">
        <v>81</v>
      </c>
      <c r="O2354">
        <v>27619</v>
      </c>
      <c r="P2354">
        <v>174</v>
      </c>
      <c r="Q2354" t="s">
        <v>49</v>
      </c>
      <c r="R2354" t="str">
        <f t="shared" si="37"/>
        <v>No</v>
      </c>
    </row>
    <row r="2355" spans="1:18" x14ac:dyDescent="0.35">
      <c r="A2355" s="1">
        <v>40449</v>
      </c>
      <c r="B2355">
        <v>0</v>
      </c>
      <c r="C2355" t="s">
        <v>83</v>
      </c>
      <c r="D2355" t="s">
        <v>60</v>
      </c>
      <c r="E2355" t="s">
        <v>18</v>
      </c>
      <c r="F2355">
        <v>157</v>
      </c>
      <c r="G2355" t="s">
        <v>70</v>
      </c>
      <c r="H2355" t="s">
        <v>18</v>
      </c>
      <c r="I2355">
        <v>157</v>
      </c>
      <c r="J2355">
        <v>2</v>
      </c>
      <c r="K2355">
        <v>4</v>
      </c>
      <c r="L2355">
        <v>51</v>
      </c>
      <c r="M2355" t="s">
        <v>20</v>
      </c>
      <c r="N2355" t="s">
        <v>71</v>
      </c>
      <c r="O2355">
        <v>37449</v>
      </c>
      <c r="P2355">
        <v>165</v>
      </c>
      <c r="Q2355" t="s">
        <v>70</v>
      </c>
      <c r="R2355" t="str">
        <f t="shared" si="37"/>
        <v>Yes</v>
      </c>
    </row>
    <row r="2356" spans="1:18" x14ac:dyDescent="0.35">
      <c r="A2356" s="1">
        <v>40449</v>
      </c>
      <c r="B2356">
        <v>0</v>
      </c>
      <c r="C2356" t="s">
        <v>83</v>
      </c>
      <c r="D2356" t="s">
        <v>23</v>
      </c>
      <c r="E2356" t="s">
        <v>18</v>
      </c>
      <c r="F2356">
        <v>157</v>
      </c>
      <c r="G2356" t="s">
        <v>52</v>
      </c>
      <c r="H2356" t="s">
        <v>18</v>
      </c>
      <c r="I2356">
        <v>157</v>
      </c>
      <c r="J2356">
        <v>7</v>
      </c>
      <c r="K2356">
        <v>2</v>
      </c>
      <c r="L2356">
        <v>54</v>
      </c>
      <c r="M2356" t="s">
        <v>20</v>
      </c>
      <c r="N2356" t="s">
        <v>82</v>
      </c>
      <c r="O2356">
        <v>38315</v>
      </c>
      <c r="P2356">
        <v>180</v>
      </c>
      <c r="Q2356" t="s">
        <v>23</v>
      </c>
      <c r="R2356" t="str">
        <f t="shared" si="37"/>
        <v>No</v>
      </c>
    </row>
    <row r="2357" spans="1:18" x14ac:dyDescent="0.35">
      <c r="A2357" s="1">
        <v>40449</v>
      </c>
      <c r="B2357">
        <v>0</v>
      </c>
      <c r="C2357" t="s">
        <v>83</v>
      </c>
      <c r="D2357" t="s">
        <v>25</v>
      </c>
      <c r="E2357" t="s">
        <v>18</v>
      </c>
      <c r="F2357">
        <v>158</v>
      </c>
      <c r="G2357" t="s">
        <v>26</v>
      </c>
      <c r="H2357" t="s">
        <v>18</v>
      </c>
      <c r="I2357">
        <v>158</v>
      </c>
      <c r="J2357">
        <v>1</v>
      </c>
      <c r="K2357">
        <v>2</v>
      </c>
      <c r="L2357">
        <v>51</v>
      </c>
      <c r="M2357" t="s">
        <v>20</v>
      </c>
      <c r="N2357" t="s">
        <v>27</v>
      </c>
      <c r="O2357">
        <v>19117</v>
      </c>
      <c r="P2357">
        <v>160</v>
      </c>
      <c r="Q2357" t="s">
        <v>26</v>
      </c>
      <c r="R2357" t="str">
        <f t="shared" si="37"/>
        <v>Yes</v>
      </c>
    </row>
    <row r="2358" spans="1:18" x14ac:dyDescent="0.35">
      <c r="A2358" s="1">
        <v>40450</v>
      </c>
      <c r="B2358">
        <v>0</v>
      </c>
      <c r="C2358" t="s">
        <v>16</v>
      </c>
      <c r="D2358" t="s">
        <v>41</v>
      </c>
      <c r="E2358" t="s">
        <v>30</v>
      </c>
      <c r="F2358">
        <v>158</v>
      </c>
      <c r="G2358" t="s">
        <v>31</v>
      </c>
      <c r="H2358" t="s">
        <v>30</v>
      </c>
      <c r="I2358">
        <v>158</v>
      </c>
      <c r="J2358">
        <v>1</v>
      </c>
      <c r="K2358">
        <v>2</v>
      </c>
      <c r="L2358">
        <v>65</v>
      </c>
      <c r="M2358" t="s">
        <v>38</v>
      </c>
      <c r="N2358" t="s">
        <v>32</v>
      </c>
      <c r="O2358">
        <v>39199</v>
      </c>
      <c r="P2358">
        <v>200</v>
      </c>
      <c r="Q2358" t="s">
        <v>31</v>
      </c>
      <c r="R2358" t="str">
        <f t="shared" si="37"/>
        <v>Yes</v>
      </c>
    </row>
    <row r="2359" spans="1:18" x14ac:dyDescent="0.35">
      <c r="A2359" s="1">
        <v>40450</v>
      </c>
      <c r="B2359">
        <v>0</v>
      </c>
      <c r="C2359" t="s">
        <v>16</v>
      </c>
      <c r="D2359" t="s">
        <v>58</v>
      </c>
      <c r="E2359" t="s">
        <v>30</v>
      </c>
      <c r="F2359">
        <v>158</v>
      </c>
      <c r="G2359" t="s">
        <v>34</v>
      </c>
      <c r="H2359" t="s">
        <v>30</v>
      </c>
      <c r="I2359">
        <v>158</v>
      </c>
      <c r="J2359">
        <v>2</v>
      </c>
      <c r="K2359">
        <v>5</v>
      </c>
      <c r="L2359">
        <v>51</v>
      </c>
      <c r="M2359" t="s">
        <v>20</v>
      </c>
      <c r="N2359" t="s">
        <v>35</v>
      </c>
      <c r="O2359">
        <v>32084</v>
      </c>
      <c r="P2359">
        <v>152</v>
      </c>
      <c r="Q2359" t="s">
        <v>34</v>
      </c>
      <c r="R2359" t="str">
        <f t="shared" si="37"/>
        <v>Yes</v>
      </c>
    </row>
    <row r="2360" spans="1:18" x14ac:dyDescent="0.35">
      <c r="A2360" s="1">
        <v>40450</v>
      </c>
      <c r="B2360">
        <v>1</v>
      </c>
      <c r="C2360" t="s">
        <v>16</v>
      </c>
      <c r="D2360" t="s">
        <v>36</v>
      </c>
      <c r="E2360" t="s">
        <v>30</v>
      </c>
      <c r="F2360">
        <v>157</v>
      </c>
      <c r="G2360" t="s">
        <v>33</v>
      </c>
      <c r="H2360" t="s">
        <v>30</v>
      </c>
      <c r="I2360">
        <v>158</v>
      </c>
      <c r="J2360">
        <v>0</v>
      </c>
      <c r="K2360">
        <v>4</v>
      </c>
      <c r="L2360">
        <v>51</v>
      </c>
      <c r="M2360" t="s">
        <v>38</v>
      </c>
      <c r="N2360" t="s">
        <v>75</v>
      </c>
      <c r="O2360">
        <v>0</v>
      </c>
      <c r="P2360">
        <v>142</v>
      </c>
      <c r="Q2360" t="s">
        <v>33</v>
      </c>
      <c r="R2360" t="str">
        <f t="shared" si="37"/>
        <v>Yes</v>
      </c>
    </row>
    <row r="2361" spans="1:18" x14ac:dyDescent="0.35">
      <c r="A2361" s="1">
        <v>40450</v>
      </c>
      <c r="B2361">
        <v>2</v>
      </c>
      <c r="C2361" t="s">
        <v>16</v>
      </c>
      <c r="D2361" t="s">
        <v>36</v>
      </c>
      <c r="E2361" t="s">
        <v>30</v>
      </c>
      <c r="F2361">
        <v>158</v>
      </c>
      <c r="G2361" t="s">
        <v>33</v>
      </c>
      <c r="H2361" t="s">
        <v>30</v>
      </c>
      <c r="I2361">
        <v>159</v>
      </c>
      <c r="J2361">
        <v>3</v>
      </c>
      <c r="K2361">
        <v>4</v>
      </c>
      <c r="L2361">
        <v>51</v>
      </c>
      <c r="M2361" t="s">
        <v>20</v>
      </c>
      <c r="N2361" t="s">
        <v>75</v>
      </c>
      <c r="O2361">
        <v>12227</v>
      </c>
      <c r="P2361">
        <v>158</v>
      </c>
      <c r="Q2361" t="s">
        <v>33</v>
      </c>
      <c r="R2361" t="str">
        <f t="shared" si="37"/>
        <v>Yes</v>
      </c>
    </row>
    <row r="2362" spans="1:18" x14ac:dyDescent="0.35">
      <c r="A2362" s="1">
        <v>40450</v>
      </c>
      <c r="B2362">
        <v>0</v>
      </c>
      <c r="C2362" t="s">
        <v>16</v>
      </c>
      <c r="D2362" t="s">
        <v>29</v>
      </c>
      <c r="E2362" t="s">
        <v>30</v>
      </c>
      <c r="F2362">
        <v>158</v>
      </c>
      <c r="G2362" t="s">
        <v>37</v>
      </c>
      <c r="H2362" t="s">
        <v>30</v>
      </c>
      <c r="I2362">
        <v>158</v>
      </c>
      <c r="J2362">
        <v>4</v>
      </c>
      <c r="K2362">
        <v>2</v>
      </c>
      <c r="L2362">
        <v>54</v>
      </c>
      <c r="M2362" t="s">
        <v>20</v>
      </c>
      <c r="N2362" t="s">
        <v>39</v>
      </c>
      <c r="O2362">
        <v>18340</v>
      </c>
      <c r="P2362">
        <v>180</v>
      </c>
      <c r="Q2362" t="s">
        <v>29</v>
      </c>
      <c r="R2362" t="str">
        <f t="shared" si="37"/>
        <v>No</v>
      </c>
    </row>
    <row r="2363" spans="1:18" x14ac:dyDescent="0.35">
      <c r="A2363" s="1">
        <v>40450</v>
      </c>
      <c r="B2363">
        <v>0</v>
      </c>
      <c r="C2363" t="s">
        <v>16</v>
      </c>
      <c r="D2363" t="s">
        <v>43</v>
      </c>
      <c r="E2363" t="s">
        <v>30</v>
      </c>
      <c r="F2363">
        <v>158</v>
      </c>
      <c r="G2363" t="s">
        <v>44</v>
      </c>
      <c r="H2363" t="s">
        <v>30</v>
      </c>
      <c r="I2363">
        <v>158</v>
      </c>
      <c r="J2363">
        <v>2</v>
      </c>
      <c r="K2363">
        <v>0</v>
      </c>
      <c r="L2363">
        <v>54</v>
      </c>
      <c r="M2363" t="s">
        <v>20</v>
      </c>
      <c r="N2363" t="s">
        <v>45</v>
      </c>
      <c r="O2363">
        <v>36973</v>
      </c>
      <c r="P2363">
        <v>141</v>
      </c>
      <c r="Q2363" t="s">
        <v>43</v>
      </c>
      <c r="R2363" t="str">
        <f t="shared" si="37"/>
        <v>No</v>
      </c>
    </row>
    <row r="2364" spans="1:18" x14ac:dyDescent="0.35">
      <c r="A2364" s="1">
        <v>40450</v>
      </c>
      <c r="B2364">
        <v>0</v>
      </c>
      <c r="C2364" t="s">
        <v>16</v>
      </c>
      <c r="D2364" t="s">
        <v>40</v>
      </c>
      <c r="E2364" t="s">
        <v>30</v>
      </c>
      <c r="F2364">
        <v>158</v>
      </c>
      <c r="G2364" t="s">
        <v>47</v>
      </c>
      <c r="H2364" t="s">
        <v>30</v>
      </c>
      <c r="I2364">
        <v>158</v>
      </c>
      <c r="J2364">
        <v>5</v>
      </c>
      <c r="K2364">
        <v>6</v>
      </c>
      <c r="L2364">
        <v>53</v>
      </c>
      <c r="M2364" t="s">
        <v>38</v>
      </c>
      <c r="N2364" t="s">
        <v>48</v>
      </c>
      <c r="O2364">
        <v>23052</v>
      </c>
      <c r="P2364">
        <v>184</v>
      </c>
      <c r="Q2364" t="s">
        <v>47</v>
      </c>
      <c r="R2364" t="str">
        <f t="shared" si="37"/>
        <v>Yes</v>
      </c>
    </row>
    <row r="2365" spans="1:18" x14ac:dyDescent="0.35">
      <c r="A2365" s="1">
        <v>40450</v>
      </c>
      <c r="B2365">
        <v>0</v>
      </c>
      <c r="C2365" t="s">
        <v>16</v>
      </c>
      <c r="D2365" t="s">
        <v>59</v>
      </c>
      <c r="E2365" t="s">
        <v>30</v>
      </c>
      <c r="F2365">
        <v>159</v>
      </c>
      <c r="G2365" t="s">
        <v>46</v>
      </c>
      <c r="H2365" t="s">
        <v>30</v>
      </c>
      <c r="I2365">
        <v>158</v>
      </c>
      <c r="J2365">
        <v>4</v>
      </c>
      <c r="K2365">
        <v>8</v>
      </c>
      <c r="L2365">
        <v>51</v>
      </c>
      <c r="M2365" t="s">
        <v>20</v>
      </c>
      <c r="N2365" t="s">
        <v>78</v>
      </c>
      <c r="O2365">
        <v>33143</v>
      </c>
      <c r="P2365">
        <v>185</v>
      </c>
      <c r="Q2365" t="s">
        <v>46</v>
      </c>
      <c r="R2365" t="str">
        <f t="shared" si="37"/>
        <v>Yes</v>
      </c>
    </row>
    <row r="2366" spans="1:18" x14ac:dyDescent="0.35">
      <c r="A2366" s="1">
        <v>40450</v>
      </c>
      <c r="B2366">
        <v>0</v>
      </c>
      <c r="C2366" t="s">
        <v>16</v>
      </c>
      <c r="D2366" t="s">
        <v>17</v>
      </c>
      <c r="E2366" t="s">
        <v>18</v>
      </c>
      <c r="F2366">
        <v>158</v>
      </c>
      <c r="G2366" t="s">
        <v>50</v>
      </c>
      <c r="H2366" t="s">
        <v>18</v>
      </c>
      <c r="I2366">
        <v>159</v>
      </c>
      <c r="J2366">
        <v>1</v>
      </c>
      <c r="K2366">
        <v>5</v>
      </c>
      <c r="L2366">
        <v>51</v>
      </c>
      <c r="M2366" t="s">
        <v>38</v>
      </c>
      <c r="N2366" t="s">
        <v>51</v>
      </c>
      <c r="O2366">
        <v>36390</v>
      </c>
      <c r="P2366">
        <v>172</v>
      </c>
      <c r="Q2366" t="s">
        <v>50</v>
      </c>
      <c r="R2366" t="str">
        <f t="shared" si="37"/>
        <v>Yes</v>
      </c>
    </row>
    <row r="2367" spans="1:18" x14ac:dyDescent="0.35">
      <c r="A2367" s="1">
        <v>40450</v>
      </c>
      <c r="B2367">
        <v>0</v>
      </c>
      <c r="C2367" t="s">
        <v>16</v>
      </c>
      <c r="D2367" t="s">
        <v>66</v>
      </c>
      <c r="E2367" t="s">
        <v>18</v>
      </c>
      <c r="F2367">
        <v>158</v>
      </c>
      <c r="G2367" t="s">
        <v>53</v>
      </c>
      <c r="H2367" t="s">
        <v>18</v>
      </c>
      <c r="I2367">
        <v>158</v>
      </c>
      <c r="J2367">
        <v>2</v>
      </c>
      <c r="K2367">
        <v>0</v>
      </c>
      <c r="L2367">
        <v>54</v>
      </c>
      <c r="M2367" t="s">
        <v>20</v>
      </c>
      <c r="N2367" t="s">
        <v>54</v>
      </c>
      <c r="O2367">
        <v>14760</v>
      </c>
      <c r="P2367">
        <v>152</v>
      </c>
      <c r="Q2367" t="s">
        <v>66</v>
      </c>
      <c r="R2367" t="str">
        <f t="shared" si="37"/>
        <v>No</v>
      </c>
    </row>
    <row r="2368" spans="1:18" x14ac:dyDescent="0.35">
      <c r="A2368" s="1">
        <v>40450</v>
      </c>
      <c r="B2368">
        <v>0</v>
      </c>
      <c r="C2368" t="s">
        <v>16</v>
      </c>
      <c r="D2368" t="s">
        <v>22</v>
      </c>
      <c r="E2368" t="s">
        <v>18</v>
      </c>
      <c r="F2368">
        <v>159</v>
      </c>
      <c r="G2368" t="s">
        <v>63</v>
      </c>
      <c r="H2368" t="s">
        <v>18</v>
      </c>
      <c r="I2368">
        <v>158</v>
      </c>
      <c r="J2368">
        <v>7</v>
      </c>
      <c r="K2368">
        <v>6</v>
      </c>
      <c r="L2368">
        <v>54</v>
      </c>
      <c r="M2368" t="s">
        <v>38</v>
      </c>
      <c r="N2368" t="s">
        <v>64</v>
      </c>
      <c r="O2368">
        <v>33296</v>
      </c>
      <c r="P2368">
        <v>182</v>
      </c>
      <c r="Q2368" t="s">
        <v>22</v>
      </c>
      <c r="R2368" t="str">
        <f t="shared" si="37"/>
        <v>No</v>
      </c>
    </row>
    <row r="2369" spans="1:18" x14ac:dyDescent="0.35">
      <c r="A2369" s="1">
        <v>40450</v>
      </c>
      <c r="B2369">
        <v>1</v>
      </c>
      <c r="C2369" t="s">
        <v>16</v>
      </c>
      <c r="D2369" t="s">
        <v>68</v>
      </c>
      <c r="E2369" t="s">
        <v>18</v>
      </c>
      <c r="F2369">
        <v>157</v>
      </c>
      <c r="G2369" t="s">
        <v>19</v>
      </c>
      <c r="H2369" t="s">
        <v>18</v>
      </c>
      <c r="I2369">
        <v>157</v>
      </c>
      <c r="J2369">
        <v>8</v>
      </c>
      <c r="K2369">
        <v>7</v>
      </c>
      <c r="L2369">
        <v>54</v>
      </c>
      <c r="M2369" t="s">
        <v>38</v>
      </c>
      <c r="N2369" t="s">
        <v>21</v>
      </c>
      <c r="O2369">
        <v>0</v>
      </c>
      <c r="P2369">
        <v>206</v>
      </c>
      <c r="Q2369" t="s">
        <v>68</v>
      </c>
      <c r="R2369" t="str">
        <f t="shared" si="37"/>
        <v>No</v>
      </c>
    </row>
    <row r="2370" spans="1:18" x14ac:dyDescent="0.35">
      <c r="A2370" s="1">
        <v>40450</v>
      </c>
      <c r="B2370">
        <v>2</v>
      </c>
      <c r="C2370" t="s">
        <v>16</v>
      </c>
      <c r="D2370" t="s">
        <v>68</v>
      </c>
      <c r="E2370" t="s">
        <v>18</v>
      </c>
      <c r="F2370">
        <v>158</v>
      </c>
      <c r="G2370" t="s">
        <v>19</v>
      </c>
      <c r="H2370" t="s">
        <v>18</v>
      </c>
      <c r="I2370">
        <v>158</v>
      </c>
      <c r="J2370">
        <v>3</v>
      </c>
      <c r="K2370">
        <v>1</v>
      </c>
      <c r="L2370">
        <v>54</v>
      </c>
      <c r="M2370" t="s">
        <v>20</v>
      </c>
      <c r="N2370" t="s">
        <v>21</v>
      </c>
      <c r="O2370">
        <v>28280</v>
      </c>
      <c r="P2370">
        <v>156</v>
      </c>
      <c r="Q2370" t="s">
        <v>68</v>
      </c>
      <c r="R2370" t="str">
        <f t="shared" si="37"/>
        <v>No</v>
      </c>
    </row>
    <row r="2371" spans="1:18" x14ac:dyDescent="0.35">
      <c r="A2371" s="1">
        <v>40450</v>
      </c>
      <c r="B2371">
        <v>0</v>
      </c>
      <c r="C2371" t="s">
        <v>16</v>
      </c>
      <c r="D2371" t="s">
        <v>49</v>
      </c>
      <c r="E2371" t="s">
        <v>18</v>
      </c>
      <c r="F2371">
        <v>158</v>
      </c>
      <c r="G2371" t="s">
        <v>62</v>
      </c>
      <c r="H2371" t="s">
        <v>18</v>
      </c>
      <c r="I2371">
        <v>158</v>
      </c>
      <c r="J2371">
        <v>0</v>
      </c>
      <c r="K2371">
        <v>3</v>
      </c>
      <c r="L2371">
        <v>51</v>
      </c>
      <c r="M2371" t="s">
        <v>20</v>
      </c>
      <c r="N2371" t="s">
        <v>81</v>
      </c>
      <c r="O2371">
        <v>29400</v>
      </c>
      <c r="P2371">
        <v>147</v>
      </c>
      <c r="Q2371" t="s">
        <v>62</v>
      </c>
      <c r="R2371" t="str">
        <f t="shared" ref="R2371:R2431" si="38">IF(K2371&gt;J2371,"Yes","No")</f>
        <v>Yes</v>
      </c>
    </row>
    <row r="2372" spans="1:18" x14ac:dyDescent="0.35">
      <c r="A2372" s="1">
        <v>40450</v>
      </c>
      <c r="B2372">
        <v>0</v>
      </c>
      <c r="C2372" t="s">
        <v>16</v>
      </c>
      <c r="D2372" t="s">
        <v>60</v>
      </c>
      <c r="E2372" t="s">
        <v>18</v>
      </c>
      <c r="F2372">
        <v>158</v>
      </c>
      <c r="G2372" t="s">
        <v>70</v>
      </c>
      <c r="H2372" t="s">
        <v>18</v>
      </c>
      <c r="I2372">
        <v>158</v>
      </c>
      <c r="J2372">
        <v>1</v>
      </c>
      <c r="K2372">
        <v>3</v>
      </c>
      <c r="L2372">
        <v>51</v>
      </c>
      <c r="M2372" t="s">
        <v>20</v>
      </c>
      <c r="N2372" t="s">
        <v>71</v>
      </c>
      <c r="O2372">
        <v>38228</v>
      </c>
      <c r="P2372">
        <v>154</v>
      </c>
      <c r="Q2372" t="s">
        <v>70</v>
      </c>
      <c r="R2372" t="str">
        <f t="shared" si="38"/>
        <v>Yes</v>
      </c>
    </row>
    <row r="2373" spans="1:18" x14ac:dyDescent="0.35">
      <c r="A2373" s="1">
        <v>40450</v>
      </c>
      <c r="B2373">
        <v>0</v>
      </c>
      <c r="C2373" t="s">
        <v>16</v>
      </c>
      <c r="D2373" t="s">
        <v>23</v>
      </c>
      <c r="E2373" t="s">
        <v>18</v>
      </c>
      <c r="F2373">
        <v>158</v>
      </c>
      <c r="G2373" t="s">
        <v>52</v>
      </c>
      <c r="H2373" t="s">
        <v>18</v>
      </c>
      <c r="I2373">
        <v>158</v>
      </c>
      <c r="J2373">
        <v>1</v>
      </c>
      <c r="K2373">
        <v>4</v>
      </c>
      <c r="L2373">
        <v>51</v>
      </c>
      <c r="M2373" t="s">
        <v>38</v>
      </c>
      <c r="N2373" t="s">
        <v>82</v>
      </c>
      <c r="O2373">
        <v>38112</v>
      </c>
      <c r="P2373">
        <v>135</v>
      </c>
      <c r="Q2373" t="s">
        <v>52</v>
      </c>
      <c r="R2373" t="str">
        <f t="shared" si="38"/>
        <v>Yes</v>
      </c>
    </row>
    <row r="2374" spans="1:18" x14ac:dyDescent="0.35">
      <c r="A2374" s="1">
        <v>40450</v>
      </c>
      <c r="B2374">
        <v>0</v>
      </c>
      <c r="C2374" t="s">
        <v>16</v>
      </c>
      <c r="D2374" t="s">
        <v>25</v>
      </c>
      <c r="E2374" t="s">
        <v>18</v>
      </c>
      <c r="F2374">
        <v>159</v>
      </c>
      <c r="G2374" t="s">
        <v>26</v>
      </c>
      <c r="H2374" t="s">
        <v>18</v>
      </c>
      <c r="I2374">
        <v>159</v>
      </c>
      <c r="J2374">
        <v>7</v>
      </c>
      <c r="K2374">
        <v>1</v>
      </c>
      <c r="L2374">
        <v>54</v>
      </c>
      <c r="M2374" t="s">
        <v>20</v>
      </c>
      <c r="N2374" t="s">
        <v>27</v>
      </c>
      <c r="O2374">
        <v>20026</v>
      </c>
      <c r="P2374">
        <v>143</v>
      </c>
      <c r="Q2374" t="s">
        <v>25</v>
      </c>
      <c r="R2374" t="str">
        <f t="shared" si="38"/>
        <v>No</v>
      </c>
    </row>
    <row r="2375" spans="1:18" x14ac:dyDescent="0.35">
      <c r="A2375" s="1">
        <v>40451</v>
      </c>
      <c r="B2375">
        <v>0</v>
      </c>
      <c r="C2375" t="s">
        <v>28</v>
      </c>
      <c r="D2375" t="s">
        <v>58</v>
      </c>
      <c r="E2375" t="s">
        <v>30</v>
      </c>
      <c r="F2375">
        <v>159</v>
      </c>
      <c r="G2375" t="s">
        <v>34</v>
      </c>
      <c r="H2375" t="s">
        <v>30</v>
      </c>
      <c r="I2375">
        <v>159</v>
      </c>
      <c r="J2375">
        <v>2</v>
      </c>
      <c r="K2375">
        <v>8</v>
      </c>
      <c r="L2375">
        <v>51</v>
      </c>
      <c r="M2375" t="s">
        <v>20</v>
      </c>
      <c r="N2375" t="s">
        <v>35</v>
      </c>
      <c r="O2375">
        <v>30854</v>
      </c>
      <c r="P2375">
        <v>177</v>
      </c>
      <c r="Q2375" t="s">
        <v>34</v>
      </c>
      <c r="R2375" t="str">
        <f t="shared" si="38"/>
        <v>Yes</v>
      </c>
    </row>
    <row r="2376" spans="1:18" x14ac:dyDescent="0.35">
      <c r="A2376" s="1">
        <v>40451</v>
      </c>
      <c r="B2376">
        <v>0</v>
      </c>
      <c r="C2376" t="s">
        <v>28</v>
      </c>
      <c r="D2376" t="s">
        <v>44</v>
      </c>
      <c r="E2376" t="s">
        <v>30</v>
      </c>
      <c r="F2376">
        <v>159</v>
      </c>
      <c r="G2376" t="s">
        <v>37</v>
      </c>
      <c r="H2376" t="s">
        <v>30</v>
      </c>
      <c r="I2376">
        <v>159</v>
      </c>
      <c r="J2376">
        <v>2</v>
      </c>
      <c r="K2376">
        <v>3</v>
      </c>
      <c r="L2376">
        <v>51</v>
      </c>
      <c r="M2376" t="s">
        <v>20</v>
      </c>
      <c r="N2376" t="s">
        <v>39</v>
      </c>
      <c r="O2376">
        <v>21563</v>
      </c>
      <c r="P2376">
        <v>153</v>
      </c>
      <c r="Q2376" t="s">
        <v>37</v>
      </c>
      <c r="R2376" t="str">
        <f t="shared" si="38"/>
        <v>Yes</v>
      </c>
    </row>
    <row r="2377" spans="1:18" x14ac:dyDescent="0.35">
      <c r="A2377" s="1">
        <v>40451</v>
      </c>
      <c r="B2377">
        <v>0</v>
      </c>
      <c r="C2377" t="s">
        <v>28</v>
      </c>
      <c r="D2377" t="s">
        <v>46</v>
      </c>
      <c r="E2377" t="s">
        <v>30</v>
      </c>
      <c r="F2377">
        <v>159</v>
      </c>
      <c r="G2377" t="s">
        <v>29</v>
      </c>
      <c r="H2377" t="s">
        <v>30</v>
      </c>
      <c r="I2377">
        <v>159</v>
      </c>
      <c r="J2377">
        <v>13</v>
      </c>
      <c r="K2377">
        <v>2</v>
      </c>
      <c r="L2377">
        <v>54</v>
      </c>
      <c r="M2377" t="s">
        <v>20</v>
      </c>
      <c r="N2377" t="s">
        <v>76</v>
      </c>
      <c r="O2377">
        <v>39477</v>
      </c>
      <c r="P2377">
        <v>185</v>
      </c>
      <c r="Q2377" t="s">
        <v>46</v>
      </c>
      <c r="R2377" t="str">
        <f t="shared" si="38"/>
        <v>No</v>
      </c>
    </row>
    <row r="2378" spans="1:18" x14ac:dyDescent="0.35">
      <c r="A2378" s="1">
        <v>40451</v>
      </c>
      <c r="B2378">
        <v>0</v>
      </c>
      <c r="C2378" t="s">
        <v>28</v>
      </c>
      <c r="D2378" t="s">
        <v>41</v>
      </c>
      <c r="E2378" t="s">
        <v>30</v>
      </c>
      <c r="F2378">
        <v>159</v>
      </c>
      <c r="G2378" t="s">
        <v>40</v>
      </c>
      <c r="H2378" t="s">
        <v>30</v>
      </c>
      <c r="I2378">
        <v>159</v>
      </c>
      <c r="J2378">
        <v>8</v>
      </c>
      <c r="K2378">
        <v>1</v>
      </c>
      <c r="L2378">
        <v>54</v>
      </c>
      <c r="M2378" t="s">
        <v>20</v>
      </c>
      <c r="N2378" t="s">
        <v>77</v>
      </c>
      <c r="O2378">
        <v>16940</v>
      </c>
      <c r="P2378">
        <v>159</v>
      </c>
      <c r="Q2378" t="s">
        <v>41</v>
      </c>
      <c r="R2378" t="str">
        <f t="shared" si="38"/>
        <v>No</v>
      </c>
    </row>
    <row r="2379" spans="1:18" x14ac:dyDescent="0.35">
      <c r="A2379" s="1">
        <v>40451</v>
      </c>
      <c r="B2379">
        <v>0</v>
      </c>
      <c r="C2379" t="s">
        <v>28</v>
      </c>
      <c r="D2379" t="s">
        <v>31</v>
      </c>
      <c r="E2379" t="s">
        <v>30</v>
      </c>
      <c r="F2379">
        <v>159</v>
      </c>
      <c r="G2379" t="s">
        <v>47</v>
      </c>
      <c r="H2379" t="s">
        <v>30</v>
      </c>
      <c r="I2379">
        <v>159</v>
      </c>
      <c r="J2379">
        <v>2</v>
      </c>
      <c r="K2379">
        <v>3</v>
      </c>
      <c r="L2379">
        <v>51</v>
      </c>
      <c r="M2379" t="s">
        <v>20</v>
      </c>
      <c r="N2379" t="s">
        <v>48</v>
      </c>
      <c r="O2379">
        <v>33228</v>
      </c>
      <c r="P2379">
        <v>154</v>
      </c>
      <c r="Q2379" t="s">
        <v>47</v>
      </c>
      <c r="R2379" t="str">
        <f t="shared" si="38"/>
        <v>Yes</v>
      </c>
    </row>
    <row r="2380" spans="1:18" x14ac:dyDescent="0.35">
      <c r="A2380" s="1">
        <v>40451</v>
      </c>
      <c r="B2380">
        <v>0</v>
      </c>
      <c r="C2380" t="s">
        <v>28</v>
      </c>
      <c r="D2380" t="s">
        <v>66</v>
      </c>
      <c r="E2380" t="s">
        <v>18</v>
      </c>
      <c r="F2380">
        <v>159</v>
      </c>
      <c r="G2380" t="s">
        <v>53</v>
      </c>
      <c r="H2380" t="s">
        <v>18</v>
      </c>
      <c r="I2380">
        <v>159</v>
      </c>
      <c r="J2380">
        <v>1</v>
      </c>
      <c r="K2380">
        <v>9</v>
      </c>
      <c r="L2380">
        <v>51</v>
      </c>
      <c r="M2380" t="s">
        <v>20</v>
      </c>
      <c r="N2380" t="s">
        <v>54</v>
      </c>
      <c r="O2380">
        <v>17558</v>
      </c>
      <c r="P2380">
        <v>152</v>
      </c>
      <c r="Q2380" t="s">
        <v>53</v>
      </c>
      <c r="R2380" t="str">
        <f t="shared" si="38"/>
        <v>Yes</v>
      </c>
    </row>
    <row r="2381" spans="1:18" x14ac:dyDescent="0.35">
      <c r="A2381" s="1">
        <v>40451</v>
      </c>
      <c r="B2381">
        <v>0</v>
      </c>
      <c r="C2381" t="s">
        <v>28</v>
      </c>
      <c r="D2381" t="s">
        <v>23</v>
      </c>
      <c r="E2381" t="s">
        <v>18</v>
      </c>
      <c r="F2381">
        <v>159</v>
      </c>
      <c r="G2381" t="s">
        <v>17</v>
      </c>
      <c r="H2381" t="s">
        <v>18</v>
      </c>
      <c r="I2381">
        <v>159</v>
      </c>
      <c r="J2381">
        <v>9</v>
      </c>
      <c r="K2381">
        <v>11</v>
      </c>
      <c r="L2381">
        <v>51</v>
      </c>
      <c r="M2381" t="s">
        <v>20</v>
      </c>
      <c r="N2381" t="s">
        <v>65</v>
      </c>
      <c r="O2381">
        <v>21021</v>
      </c>
      <c r="P2381">
        <v>180</v>
      </c>
      <c r="Q2381" t="s">
        <v>17</v>
      </c>
      <c r="R2381" t="str">
        <f t="shared" si="38"/>
        <v>Yes</v>
      </c>
    </row>
    <row r="2382" spans="1:18" x14ac:dyDescent="0.35">
      <c r="A2382" s="1">
        <v>40451</v>
      </c>
      <c r="B2382">
        <v>0</v>
      </c>
      <c r="C2382" t="s">
        <v>28</v>
      </c>
      <c r="D2382" t="s">
        <v>68</v>
      </c>
      <c r="E2382" t="s">
        <v>18</v>
      </c>
      <c r="F2382">
        <v>159</v>
      </c>
      <c r="G2382" t="s">
        <v>19</v>
      </c>
      <c r="H2382" t="s">
        <v>18</v>
      </c>
      <c r="I2382">
        <v>159</v>
      </c>
      <c r="J2382">
        <v>9</v>
      </c>
      <c r="K2382">
        <v>2</v>
      </c>
      <c r="L2382">
        <v>54</v>
      </c>
      <c r="M2382" t="s">
        <v>20</v>
      </c>
      <c r="N2382" t="s">
        <v>21</v>
      </c>
      <c r="O2382">
        <v>24661</v>
      </c>
      <c r="P2382">
        <v>190</v>
      </c>
      <c r="Q2382" t="s">
        <v>68</v>
      </c>
      <c r="R2382" t="str">
        <f t="shared" si="38"/>
        <v>No</v>
      </c>
    </row>
    <row r="2383" spans="1:18" x14ac:dyDescent="0.35">
      <c r="A2383" s="1">
        <v>40451</v>
      </c>
      <c r="B2383">
        <v>0</v>
      </c>
      <c r="C2383" t="s">
        <v>28</v>
      </c>
      <c r="D2383" t="s">
        <v>49</v>
      </c>
      <c r="E2383" t="s">
        <v>18</v>
      </c>
      <c r="F2383">
        <v>159</v>
      </c>
      <c r="G2383" t="s">
        <v>62</v>
      </c>
      <c r="H2383" t="s">
        <v>18</v>
      </c>
      <c r="I2383">
        <v>159</v>
      </c>
      <c r="J2383">
        <v>1</v>
      </c>
      <c r="K2383">
        <v>0</v>
      </c>
      <c r="L2383">
        <v>54</v>
      </c>
      <c r="M2383" t="s">
        <v>38</v>
      </c>
      <c r="N2383" t="s">
        <v>81</v>
      </c>
      <c r="O2383">
        <v>28576</v>
      </c>
      <c r="P2383">
        <v>168</v>
      </c>
      <c r="Q2383" t="s">
        <v>49</v>
      </c>
      <c r="R2383" t="str">
        <f t="shared" si="38"/>
        <v>No</v>
      </c>
    </row>
    <row r="2384" spans="1:18" x14ac:dyDescent="0.35">
      <c r="A2384" s="1">
        <v>40451</v>
      </c>
      <c r="B2384">
        <v>0</v>
      </c>
      <c r="C2384" t="s">
        <v>28</v>
      </c>
      <c r="D2384" t="s">
        <v>60</v>
      </c>
      <c r="E2384" t="s">
        <v>18</v>
      </c>
      <c r="F2384">
        <v>159</v>
      </c>
      <c r="G2384" t="s">
        <v>70</v>
      </c>
      <c r="H2384" t="s">
        <v>18</v>
      </c>
      <c r="I2384">
        <v>159</v>
      </c>
      <c r="J2384">
        <v>1</v>
      </c>
      <c r="K2384">
        <v>4</v>
      </c>
      <c r="L2384">
        <v>51</v>
      </c>
      <c r="M2384" t="s">
        <v>38</v>
      </c>
      <c r="N2384" t="s">
        <v>71</v>
      </c>
      <c r="O2384">
        <v>37261</v>
      </c>
      <c r="P2384">
        <v>146</v>
      </c>
      <c r="Q2384" t="s">
        <v>70</v>
      </c>
      <c r="R2384" t="str">
        <f t="shared" si="38"/>
        <v>Yes</v>
      </c>
    </row>
    <row r="2385" spans="1:18" x14ac:dyDescent="0.35">
      <c r="A2385" s="1">
        <v>40451</v>
      </c>
      <c r="B2385">
        <v>0</v>
      </c>
      <c r="C2385" t="s">
        <v>28</v>
      </c>
      <c r="D2385" t="s">
        <v>63</v>
      </c>
      <c r="E2385" t="s">
        <v>18</v>
      </c>
      <c r="F2385">
        <v>159</v>
      </c>
      <c r="G2385" t="s">
        <v>52</v>
      </c>
      <c r="H2385" t="s">
        <v>18</v>
      </c>
      <c r="I2385">
        <v>159</v>
      </c>
      <c r="J2385">
        <v>1</v>
      </c>
      <c r="K2385">
        <v>6</v>
      </c>
      <c r="L2385">
        <v>51</v>
      </c>
      <c r="M2385" t="s">
        <v>20</v>
      </c>
      <c r="N2385" t="s">
        <v>82</v>
      </c>
      <c r="O2385">
        <v>36739</v>
      </c>
      <c r="P2385">
        <v>137</v>
      </c>
      <c r="Q2385" t="s">
        <v>52</v>
      </c>
      <c r="R2385" t="str">
        <f t="shared" si="38"/>
        <v>Yes</v>
      </c>
    </row>
    <row r="2386" spans="1:18" x14ac:dyDescent="0.35">
      <c r="A2386" s="1">
        <v>40452</v>
      </c>
      <c r="B2386">
        <v>1</v>
      </c>
      <c r="C2386" t="s">
        <v>55</v>
      </c>
      <c r="D2386" t="s">
        <v>36</v>
      </c>
      <c r="E2386" t="s">
        <v>30</v>
      </c>
      <c r="F2386">
        <v>159</v>
      </c>
      <c r="G2386" t="s">
        <v>43</v>
      </c>
      <c r="H2386" t="s">
        <v>30</v>
      </c>
      <c r="I2386">
        <v>159</v>
      </c>
      <c r="J2386">
        <v>6</v>
      </c>
      <c r="K2386">
        <v>10</v>
      </c>
      <c r="L2386">
        <v>51</v>
      </c>
      <c r="M2386" t="s">
        <v>38</v>
      </c>
      <c r="N2386" t="s">
        <v>56</v>
      </c>
      <c r="O2386">
        <v>0</v>
      </c>
      <c r="P2386">
        <v>152</v>
      </c>
      <c r="Q2386" t="s">
        <v>43</v>
      </c>
      <c r="R2386" t="str">
        <f t="shared" si="38"/>
        <v>Yes</v>
      </c>
    </row>
    <row r="2387" spans="1:18" x14ac:dyDescent="0.35">
      <c r="A2387" s="1">
        <v>40452</v>
      </c>
      <c r="B2387">
        <v>2</v>
      </c>
      <c r="C2387" t="s">
        <v>55</v>
      </c>
      <c r="D2387" t="s">
        <v>36</v>
      </c>
      <c r="E2387" t="s">
        <v>30</v>
      </c>
      <c r="F2387">
        <v>160</v>
      </c>
      <c r="G2387" t="s">
        <v>43</v>
      </c>
      <c r="H2387" t="s">
        <v>30</v>
      </c>
      <c r="I2387">
        <v>160</v>
      </c>
      <c r="J2387">
        <v>1</v>
      </c>
      <c r="K2387">
        <v>2</v>
      </c>
      <c r="L2387">
        <v>51</v>
      </c>
      <c r="M2387" t="s">
        <v>20</v>
      </c>
      <c r="N2387" t="s">
        <v>56</v>
      </c>
      <c r="O2387">
        <v>20870</v>
      </c>
      <c r="P2387">
        <v>134</v>
      </c>
      <c r="Q2387" t="s">
        <v>43</v>
      </c>
      <c r="R2387" t="str">
        <f t="shared" si="38"/>
        <v>Yes</v>
      </c>
    </row>
    <row r="2388" spans="1:18" x14ac:dyDescent="0.35">
      <c r="A2388" s="1">
        <v>40452</v>
      </c>
      <c r="B2388">
        <v>0</v>
      </c>
      <c r="C2388" t="s">
        <v>55</v>
      </c>
      <c r="D2388" t="s">
        <v>33</v>
      </c>
      <c r="E2388" t="s">
        <v>30</v>
      </c>
      <c r="F2388">
        <v>160</v>
      </c>
      <c r="G2388" t="s">
        <v>34</v>
      </c>
      <c r="H2388" t="s">
        <v>30</v>
      </c>
      <c r="I2388">
        <v>160</v>
      </c>
      <c r="J2388">
        <v>7</v>
      </c>
      <c r="K2388">
        <v>3</v>
      </c>
      <c r="L2388">
        <v>54</v>
      </c>
      <c r="M2388" t="s">
        <v>20</v>
      </c>
      <c r="N2388" t="s">
        <v>35</v>
      </c>
      <c r="O2388">
        <v>23128</v>
      </c>
      <c r="P2388">
        <v>172</v>
      </c>
      <c r="Q2388" t="s">
        <v>33</v>
      </c>
      <c r="R2388" t="str">
        <f t="shared" si="38"/>
        <v>No</v>
      </c>
    </row>
    <row r="2389" spans="1:18" x14ac:dyDescent="0.35">
      <c r="A2389" s="1">
        <v>40452</v>
      </c>
      <c r="B2389">
        <v>0</v>
      </c>
      <c r="C2389" t="s">
        <v>55</v>
      </c>
      <c r="D2389" t="s">
        <v>44</v>
      </c>
      <c r="E2389" t="s">
        <v>30</v>
      </c>
      <c r="F2389">
        <v>160</v>
      </c>
      <c r="G2389" t="s">
        <v>37</v>
      </c>
      <c r="H2389" t="s">
        <v>30</v>
      </c>
      <c r="I2389">
        <v>160</v>
      </c>
      <c r="J2389">
        <v>0</v>
      </c>
      <c r="K2389">
        <v>7</v>
      </c>
      <c r="L2389">
        <v>51</v>
      </c>
      <c r="M2389" t="s">
        <v>20</v>
      </c>
      <c r="N2389" t="s">
        <v>39</v>
      </c>
      <c r="O2389">
        <v>23374</v>
      </c>
      <c r="P2389">
        <v>142</v>
      </c>
      <c r="Q2389" t="s">
        <v>37</v>
      </c>
      <c r="R2389" t="str">
        <f t="shared" si="38"/>
        <v>Yes</v>
      </c>
    </row>
    <row r="2390" spans="1:18" x14ac:dyDescent="0.35">
      <c r="A2390" s="1">
        <v>40452</v>
      </c>
      <c r="B2390">
        <v>0</v>
      </c>
      <c r="C2390" t="s">
        <v>55</v>
      </c>
      <c r="D2390" t="s">
        <v>46</v>
      </c>
      <c r="E2390" t="s">
        <v>30</v>
      </c>
      <c r="F2390">
        <v>160</v>
      </c>
      <c r="G2390" t="s">
        <v>29</v>
      </c>
      <c r="H2390" t="s">
        <v>30</v>
      </c>
      <c r="I2390">
        <v>160</v>
      </c>
      <c r="J2390">
        <v>6</v>
      </c>
      <c r="K2390">
        <v>3</v>
      </c>
      <c r="L2390">
        <v>54</v>
      </c>
      <c r="M2390" t="s">
        <v>20</v>
      </c>
      <c r="N2390" t="s">
        <v>76</v>
      </c>
      <c r="O2390">
        <v>39937</v>
      </c>
      <c r="P2390">
        <v>166</v>
      </c>
      <c r="Q2390" t="s">
        <v>46</v>
      </c>
      <c r="R2390" t="str">
        <f t="shared" si="38"/>
        <v>No</v>
      </c>
    </row>
    <row r="2391" spans="1:18" x14ac:dyDescent="0.35">
      <c r="A2391" s="1">
        <v>40452</v>
      </c>
      <c r="B2391">
        <v>0</v>
      </c>
      <c r="C2391" t="s">
        <v>55</v>
      </c>
      <c r="D2391" t="s">
        <v>41</v>
      </c>
      <c r="E2391" t="s">
        <v>30</v>
      </c>
      <c r="F2391">
        <v>160</v>
      </c>
      <c r="G2391" t="s">
        <v>40</v>
      </c>
      <c r="H2391" t="s">
        <v>30</v>
      </c>
      <c r="I2391">
        <v>160</v>
      </c>
      <c r="J2391">
        <v>9</v>
      </c>
      <c r="K2391">
        <v>0</v>
      </c>
      <c r="L2391">
        <v>54</v>
      </c>
      <c r="M2391" t="s">
        <v>20</v>
      </c>
      <c r="N2391" t="s">
        <v>77</v>
      </c>
      <c r="O2391">
        <v>19656</v>
      </c>
      <c r="P2391">
        <v>142</v>
      </c>
      <c r="Q2391" t="s">
        <v>41</v>
      </c>
      <c r="R2391" t="str">
        <f t="shared" si="38"/>
        <v>No</v>
      </c>
    </row>
    <row r="2392" spans="1:18" x14ac:dyDescent="0.35">
      <c r="A2392" s="1">
        <v>40452</v>
      </c>
      <c r="B2392">
        <v>0</v>
      </c>
      <c r="C2392" t="s">
        <v>55</v>
      </c>
      <c r="D2392" t="s">
        <v>31</v>
      </c>
      <c r="E2392" t="s">
        <v>30</v>
      </c>
      <c r="F2392">
        <v>160</v>
      </c>
      <c r="G2392" t="s">
        <v>47</v>
      </c>
      <c r="H2392" t="s">
        <v>30</v>
      </c>
      <c r="I2392">
        <v>160</v>
      </c>
      <c r="J2392">
        <v>5</v>
      </c>
      <c r="K2392">
        <v>4</v>
      </c>
      <c r="L2392">
        <v>66</v>
      </c>
      <c r="M2392" t="s">
        <v>20</v>
      </c>
      <c r="N2392" t="s">
        <v>48</v>
      </c>
      <c r="O2392">
        <v>43149</v>
      </c>
      <c r="P2392">
        <v>206</v>
      </c>
      <c r="Q2392" t="s">
        <v>31</v>
      </c>
      <c r="R2392" t="str">
        <f t="shared" si="38"/>
        <v>No</v>
      </c>
    </row>
    <row r="2393" spans="1:18" x14ac:dyDescent="0.35">
      <c r="A2393" s="1">
        <v>40452</v>
      </c>
      <c r="B2393">
        <v>0</v>
      </c>
      <c r="C2393" t="s">
        <v>55</v>
      </c>
      <c r="D2393" t="s">
        <v>25</v>
      </c>
      <c r="E2393" t="s">
        <v>18</v>
      </c>
      <c r="F2393">
        <v>160</v>
      </c>
      <c r="G2393" t="s">
        <v>50</v>
      </c>
      <c r="H2393" t="s">
        <v>18</v>
      </c>
      <c r="I2393">
        <v>160</v>
      </c>
      <c r="J2393">
        <v>11</v>
      </c>
      <c r="K2393">
        <v>5</v>
      </c>
      <c r="L2393">
        <v>54</v>
      </c>
      <c r="M2393" t="s">
        <v>20</v>
      </c>
      <c r="N2393" t="s">
        <v>51</v>
      </c>
      <c r="O2393">
        <v>51139</v>
      </c>
      <c r="P2393">
        <v>215</v>
      </c>
      <c r="Q2393" t="s">
        <v>25</v>
      </c>
      <c r="R2393" t="str">
        <f t="shared" si="38"/>
        <v>No</v>
      </c>
    </row>
    <row r="2394" spans="1:18" x14ac:dyDescent="0.35">
      <c r="A2394" s="1">
        <v>40452</v>
      </c>
      <c r="B2394">
        <v>0</v>
      </c>
      <c r="C2394" t="s">
        <v>55</v>
      </c>
      <c r="D2394" t="s">
        <v>68</v>
      </c>
      <c r="E2394" t="s">
        <v>18</v>
      </c>
      <c r="F2394">
        <v>160</v>
      </c>
      <c r="G2394" t="s">
        <v>53</v>
      </c>
      <c r="H2394" t="s">
        <v>18</v>
      </c>
      <c r="I2394">
        <v>160</v>
      </c>
      <c r="J2394">
        <v>4</v>
      </c>
      <c r="K2394">
        <v>3</v>
      </c>
      <c r="L2394">
        <v>66</v>
      </c>
      <c r="M2394" t="s">
        <v>20</v>
      </c>
      <c r="N2394" t="s">
        <v>54</v>
      </c>
      <c r="O2394">
        <v>28844</v>
      </c>
      <c r="P2394">
        <v>216</v>
      </c>
      <c r="Q2394" t="s">
        <v>68</v>
      </c>
      <c r="R2394" t="str">
        <f t="shared" si="38"/>
        <v>No</v>
      </c>
    </row>
    <row r="2395" spans="1:18" x14ac:dyDescent="0.35">
      <c r="A2395" s="1">
        <v>40452</v>
      </c>
      <c r="B2395">
        <v>0</v>
      </c>
      <c r="C2395" t="s">
        <v>55</v>
      </c>
      <c r="D2395" t="s">
        <v>23</v>
      </c>
      <c r="E2395" t="s">
        <v>18</v>
      </c>
      <c r="F2395">
        <v>160</v>
      </c>
      <c r="G2395" t="s">
        <v>17</v>
      </c>
      <c r="H2395" t="s">
        <v>18</v>
      </c>
      <c r="I2395">
        <v>160</v>
      </c>
      <c r="J2395">
        <v>5</v>
      </c>
      <c r="K2395">
        <v>1</v>
      </c>
      <c r="L2395">
        <v>54</v>
      </c>
      <c r="M2395" t="s">
        <v>20</v>
      </c>
      <c r="N2395" t="s">
        <v>65</v>
      </c>
      <c r="O2395">
        <v>23124</v>
      </c>
      <c r="P2395">
        <v>146</v>
      </c>
      <c r="Q2395" t="s">
        <v>23</v>
      </c>
      <c r="R2395" t="str">
        <f t="shared" si="38"/>
        <v>No</v>
      </c>
    </row>
    <row r="2396" spans="1:18" x14ac:dyDescent="0.35">
      <c r="A2396" s="1">
        <v>40452</v>
      </c>
      <c r="B2396">
        <v>0</v>
      </c>
      <c r="C2396" t="s">
        <v>55</v>
      </c>
      <c r="D2396" t="s">
        <v>49</v>
      </c>
      <c r="E2396" t="s">
        <v>18</v>
      </c>
      <c r="F2396">
        <v>160</v>
      </c>
      <c r="G2396" t="s">
        <v>66</v>
      </c>
      <c r="H2396" t="s">
        <v>18</v>
      </c>
      <c r="I2396">
        <v>160</v>
      </c>
      <c r="J2396">
        <v>2</v>
      </c>
      <c r="K2396">
        <v>0</v>
      </c>
      <c r="L2396">
        <v>54</v>
      </c>
      <c r="M2396" t="s">
        <v>20</v>
      </c>
      <c r="N2396" t="s">
        <v>67</v>
      </c>
      <c r="O2396">
        <v>33869</v>
      </c>
      <c r="P2396">
        <v>167</v>
      </c>
      <c r="Q2396" t="s">
        <v>49</v>
      </c>
      <c r="R2396" t="str">
        <f t="shared" si="38"/>
        <v>No</v>
      </c>
    </row>
    <row r="2397" spans="1:18" x14ac:dyDescent="0.35">
      <c r="A2397" s="1">
        <v>40452</v>
      </c>
      <c r="B2397">
        <v>0</v>
      </c>
      <c r="C2397" t="s">
        <v>55</v>
      </c>
      <c r="D2397" t="s">
        <v>60</v>
      </c>
      <c r="E2397" t="s">
        <v>18</v>
      </c>
      <c r="F2397">
        <v>160</v>
      </c>
      <c r="G2397" t="s">
        <v>22</v>
      </c>
      <c r="H2397" t="s">
        <v>18</v>
      </c>
      <c r="I2397">
        <v>160</v>
      </c>
      <c r="J2397">
        <v>7</v>
      </c>
      <c r="K2397">
        <v>5</v>
      </c>
      <c r="L2397">
        <v>54</v>
      </c>
      <c r="M2397" t="s">
        <v>20</v>
      </c>
      <c r="N2397" t="s">
        <v>85</v>
      </c>
      <c r="O2397">
        <v>36713</v>
      </c>
      <c r="P2397">
        <v>174</v>
      </c>
      <c r="Q2397" t="s">
        <v>60</v>
      </c>
      <c r="R2397" t="str">
        <f t="shared" si="38"/>
        <v>No</v>
      </c>
    </row>
    <row r="2398" spans="1:18" x14ac:dyDescent="0.35">
      <c r="A2398" s="1">
        <v>40452</v>
      </c>
      <c r="B2398">
        <v>0</v>
      </c>
      <c r="C2398" t="s">
        <v>55</v>
      </c>
      <c r="D2398" t="s">
        <v>26</v>
      </c>
      <c r="E2398" t="s">
        <v>18</v>
      </c>
      <c r="F2398">
        <v>160</v>
      </c>
      <c r="G2398" t="s">
        <v>19</v>
      </c>
      <c r="H2398" t="s">
        <v>18</v>
      </c>
      <c r="I2398">
        <v>160</v>
      </c>
      <c r="J2398">
        <v>1</v>
      </c>
      <c r="K2398">
        <v>2</v>
      </c>
      <c r="L2398">
        <v>58</v>
      </c>
      <c r="M2398" t="s">
        <v>20</v>
      </c>
      <c r="N2398" t="s">
        <v>21</v>
      </c>
      <c r="O2398">
        <v>29424</v>
      </c>
      <c r="P2398">
        <v>155</v>
      </c>
      <c r="Q2398" t="s">
        <v>19</v>
      </c>
      <c r="R2398" t="str">
        <f t="shared" si="38"/>
        <v>Yes</v>
      </c>
    </row>
    <row r="2399" spans="1:18" x14ac:dyDescent="0.35">
      <c r="A2399" s="1">
        <v>40452</v>
      </c>
      <c r="B2399">
        <v>0</v>
      </c>
      <c r="C2399" t="s">
        <v>55</v>
      </c>
      <c r="D2399" t="s">
        <v>62</v>
      </c>
      <c r="E2399" t="s">
        <v>18</v>
      </c>
      <c r="F2399">
        <v>160</v>
      </c>
      <c r="G2399" t="s">
        <v>70</v>
      </c>
      <c r="H2399" t="s">
        <v>18</v>
      </c>
      <c r="I2399">
        <v>160</v>
      </c>
      <c r="J2399">
        <v>6</v>
      </c>
      <c r="K2399">
        <v>4</v>
      </c>
      <c r="L2399">
        <v>54</v>
      </c>
      <c r="M2399" t="s">
        <v>20</v>
      </c>
      <c r="N2399" t="s">
        <v>71</v>
      </c>
      <c r="O2399">
        <v>42409</v>
      </c>
      <c r="P2399">
        <v>194</v>
      </c>
      <c r="Q2399" t="s">
        <v>62</v>
      </c>
      <c r="R2399" t="str">
        <f t="shared" si="38"/>
        <v>No</v>
      </c>
    </row>
    <row r="2400" spans="1:18" x14ac:dyDescent="0.35">
      <c r="A2400" s="1">
        <v>40452</v>
      </c>
      <c r="B2400">
        <v>0</v>
      </c>
      <c r="C2400" t="s">
        <v>55</v>
      </c>
      <c r="D2400" t="s">
        <v>63</v>
      </c>
      <c r="E2400" t="s">
        <v>18</v>
      </c>
      <c r="F2400">
        <v>160</v>
      </c>
      <c r="G2400" t="s">
        <v>52</v>
      </c>
      <c r="H2400" t="s">
        <v>18</v>
      </c>
      <c r="I2400">
        <v>160</v>
      </c>
      <c r="J2400">
        <v>0</v>
      </c>
      <c r="K2400">
        <v>3</v>
      </c>
      <c r="L2400">
        <v>51</v>
      </c>
      <c r="M2400" t="s">
        <v>20</v>
      </c>
      <c r="N2400" t="s">
        <v>82</v>
      </c>
      <c r="O2400">
        <v>36293</v>
      </c>
      <c r="P2400">
        <v>161</v>
      </c>
      <c r="Q2400" t="s">
        <v>52</v>
      </c>
      <c r="R2400" t="str">
        <f t="shared" si="38"/>
        <v>Yes</v>
      </c>
    </row>
    <row r="2401" spans="1:18" x14ac:dyDescent="0.35">
      <c r="A2401" s="1">
        <v>40453</v>
      </c>
      <c r="B2401">
        <v>0</v>
      </c>
      <c r="C2401" t="s">
        <v>72</v>
      </c>
      <c r="D2401" t="s">
        <v>36</v>
      </c>
      <c r="E2401" t="s">
        <v>30</v>
      </c>
      <c r="F2401">
        <v>161</v>
      </c>
      <c r="G2401" t="s">
        <v>43</v>
      </c>
      <c r="H2401" t="s">
        <v>30</v>
      </c>
      <c r="I2401">
        <v>161</v>
      </c>
      <c r="J2401">
        <v>1</v>
      </c>
      <c r="K2401">
        <v>2</v>
      </c>
      <c r="L2401">
        <v>51</v>
      </c>
      <c r="M2401" t="s">
        <v>20</v>
      </c>
      <c r="N2401" t="s">
        <v>56</v>
      </c>
      <c r="O2401">
        <v>35332</v>
      </c>
      <c r="P2401">
        <v>120</v>
      </c>
      <c r="Q2401" t="s">
        <v>43</v>
      </c>
      <c r="R2401" t="str">
        <f t="shared" si="38"/>
        <v>Yes</v>
      </c>
    </row>
    <row r="2402" spans="1:18" x14ac:dyDescent="0.35">
      <c r="A2402" s="1">
        <v>40453</v>
      </c>
      <c r="B2402">
        <v>1</v>
      </c>
      <c r="C2402" t="s">
        <v>72</v>
      </c>
      <c r="D2402" t="s">
        <v>59</v>
      </c>
      <c r="E2402" t="s">
        <v>30</v>
      </c>
      <c r="F2402">
        <v>160</v>
      </c>
      <c r="G2402" t="s">
        <v>58</v>
      </c>
      <c r="H2402" t="s">
        <v>30</v>
      </c>
      <c r="I2402">
        <v>160</v>
      </c>
      <c r="J2402">
        <v>6</v>
      </c>
      <c r="K2402">
        <v>5</v>
      </c>
      <c r="L2402">
        <v>60</v>
      </c>
      <c r="M2402" t="s">
        <v>38</v>
      </c>
      <c r="N2402" t="s">
        <v>86</v>
      </c>
      <c r="O2402">
        <v>37467</v>
      </c>
      <c r="P2402">
        <v>258</v>
      </c>
      <c r="Q2402" t="s">
        <v>59</v>
      </c>
      <c r="R2402" t="str">
        <f t="shared" si="38"/>
        <v>No</v>
      </c>
    </row>
    <row r="2403" spans="1:18" x14ac:dyDescent="0.35">
      <c r="A2403" s="1">
        <v>40453</v>
      </c>
      <c r="B2403">
        <v>2</v>
      </c>
      <c r="C2403" t="s">
        <v>72</v>
      </c>
      <c r="D2403" t="s">
        <v>59</v>
      </c>
      <c r="E2403" t="s">
        <v>30</v>
      </c>
      <c r="F2403">
        <v>161</v>
      </c>
      <c r="G2403" t="s">
        <v>58</v>
      </c>
      <c r="H2403" t="s">
        <v>30</v>
      </c>
      <c r="I2403">
        <v>161</v>
      </c>
      <c r="J2403">
        <v>6</v>
      </c>
      <c r="K2403">
        <v>7</v>
      </c>
      <c r="L2403">
        <v>58</v>
      </c>
      <c r="M2403" t="s">
        <v>20</v>
      </c>
      <c r="N2403" t="s">
        <v>86</v>
      </c>
      <c r="O2403">
        <v>37589</v>
      </c>
      <c r="P2403">
        <v>240</v>
      </c>
      <c r="Q2403" t="s">
        <v>58</v>
      </c>
      <c r="R2403" t="str">
        <f t="shared" si="38"/>
        <v>Yes</v>
      </c>
    </row>
    <row r="2404" spans="1:18" x14ac:dyDescent="0.35">
      <c r="A2404" s="1">
        <v>40453</v>
      </c>
      <c r="B2404">
        <v>0</v>
      </c>
      <c r="C2404" t="s">
        <v>72</v>
      </c>
      <c r="D2404" t="s">
        <v>33</v>
      </c>
      <c r="E2404" t="s">
        <v>30</v>
      </c>
      <c r="F2404">
        <v>161</v>
      </c>
      <c r="G2404" t="s">
        <v>34</v>
      </c>
      <c r="H2404" t="s">
        <v>30</v>
      </c>
      <c r="I2404">
        <v>161</v>
      </c>
      <c r="J2404">
        <v>2</v>
      </c>
      <c r="K2404">
        <v>6</v>
      </c>
      <c r="L2404">
        <v>36</v>
      </c>
      <c r="M2404" t="s">
        <v>20</v>
      </c>
      <c r="N2404" t="s">
        <v>35</v>
      </c>
      <c r="O2404">
        <v>23702</v>
      </c>
      <c r="P2404">
        <v>106</v>
      </c>
      <c r="Q2404" t="s">
        <v>34</v>
      </c>
      <c r="R2404" t="str">
        <f t="shared" si="38"/>
        <v>Yes</v>
      </c>
    </row>
    <row r="2405" spans="1:18" x14ac:dyDescent="0.35">
      <c r="A2405" s="1">
        <v>40453</v>
      </c>
      <c r="B2405">
        <v>0</v>
      </c>
      <c r="C2405" t="s">
        <v>72</v>
      </c>
      <c r="D2405" t="s">
        <v>44</v>
      </c>
      <c r="E2405" t="s">
        <v>30</v>
      </c>
      <c r="F2405">
        <v>161</v>
      </c>
      <c r="G2405" t="s">
        <v>37</v>
      </c>
      <c r="H2405" t="s">
        <v>30</v>
      </c>
      <c r="I2405">
        <v>161</v>
      </c>
      <c r="J2405">
        <v>4</v>
      </c>
      <c r="K2405">
        <v>0</v>
      </c>
      <c r="L2405">
        <v>54</v>
      </c>
      <c r="M2405" t="s">
        <v>20</v>
      </c>
      <c r="N2405" t="s">
        <v>39</v>
      </c>
      <c r="O2405">
        <v>32484</v>
      </c>
      <c r="P2405">
        <v>172</v>
      </c>
      <c r="Q2405" t="s">
        <v>44</v>
      </c>
      <c r="R2405" t="str">
        <f t="shared" si="38"/>
        <v>No</v>
      </c>
    </row>
    <row r="2406" spans="1:18" x14ac:dyDescent="0.35">
      <c r="A2406" s="1">
        <v>40453</v>
      </c>
      <c r="B2406">
        <v>0</v>
      </c>
      <c r="C2406" t="s">
        <v>72</v>
      </c>
      <c r="D2406" t="s">
        <v>46</v>
      </c>
      <c r="E2406" t="s">
        <v>30</v>
      </c>
      <c r="F2406">
        <v>161</v>
      </c>
      <c r="G2406" t="s">
        <v>29</v>
      </c>
      <c r="H2406" t="s">
        <v>30</v>
      </c>
      <c r="I2406">
        <v>161</v>
      </c>
      <c r="J2406">
        <v>4</v>
      </c>
      <c r="K2406">
        <v>5</v>
      </c>
      <c r="L2406">
        <v>53</v>
      </c>
      <c r="M2406" t="s">
        <v>38</v>
      </c>
      <c r="N2406" t="s">
        <v>76</v>
      </c>
      <c r="O2406">
        <v>40235</v>
      </c>
      <c r="P2406">
        <v>158</v>
      </c>
      <c r="Q2406" t="s">
        <v>29</v>
      </c>
      <c r="R2406" t="str">
        <f t="shared" si="38"/>
        <v>Yes</v>
      </c>
    </row>
    <row r="2407" spans="1:18" x14ac:dyDescent="0.35">
      <c r="A2407" s="1">
        <v>40453</v>
      </c>
      <c r="B2407">
        <v>0</v>
      </c>
      <c r="C2407" t="s">
        <v>72</v>
      </c>
      <c r="D2407" t="s">
        <v>41</v>
      </c>
      <c r="E2407" t="s">
        <v>30</v>
      </c>
      <c r="F2407">
        <v>161</v>
      </c>
      <c r="G2407" t="s">
        <v>40</v>
      </c>
      <c r="H2407" t="s">
        <v>30</v>
      </c>
      <c r="I2407">
        <v>161</v>
      </c>
      <c r="J2407">
        <v>5</v>
      </c>
      <c r="K2407">
        <v>3</v>
      </c>
      <c r="L2407">
        <v>54</v>
      </c>
      <c r="M2407" t="s">
        <v>20</v>
      </c>
      <c r="N2407" t="s">
        <v>77</v>
      </c>
      <c r="O2407">
        <v>17717</v>
      </c>
      <c r="P2407">
        <v>149</v>
      </c>
      <c r="Q2407" t="s">
        <v>41</v>
      </c>
      <c r="R2407" t="str">
        <f t="shared" si="38"/>
        <v>No</v>
      </c>
    </row>
    <row r="2408" spans="1:18" x14ac:dyDescent="0.35">
      <c r="A2408" s="1">
        <v>40453</v>
      </c>
      <c r="B2408">
        <v>0</v>
      </c>
      <c r="C2408" t="s">
        <v>72</v>
      </c>
      <c r="D2408" t="s">
        <v>31</v>
      </c>
      <c r="E2408" t="s">
        <v>30</v>
      </c>
      <c r="F2408">
        <v>161</v>
      </c>
      <c r="G2408" t="s">
        <v>47</v>
      </c>
      <c r="H2408" t="s">
        <v>30</v>
      </c>
      <c r="I2408">
        <v>161</v>
      </c>
      <c r="J2408">
        <v>2</v>
      </c>
      <c r="K2408">
        <v>6</v>
      </c>
      <c r="L2408">
        <v>51</v>
      </c>
      <c r="M2408" t="s">
        <v>20</v>
      </c>
      <c r="N2408" t="s">
        <v>48</v>
      </c>
      <c r="O2408">
        <v>45893</v>
      </c>
      <c r="P2408">
        <v>181</v>
      </c>
      <c r="Q2408" t="s">
        <v>47</v>
      </c>
      <c r="R2408" t="str">
        <f t="shared" si="38"/>
        <v>Yes</v>
      </c>
    </row>
    <row r="2409" spans="1:18" x14ac:dyDescent="0.35">
      <c r="A2409" s="1">
        <v>40453</v>
      </c>
      <c r="B2409">
        <v>0</v>
      </c>
      <c r="C2409" t="s">
        <v>72</v>
      </c>
      <c r="D2409" t="s">
        <v>25</v>
      </c>
      <c r="E2409" t="s">
        <v>18</v>
      </c>
      <c r="F2409">
        <v>161</v>
      </c>
      <c r="G2409" t="s">
        <v>50</v>
      </c>
      <c r="H2409" t="s">
        <v>18</v>
      </c>
      <c r="I2409">
        <v>161</v>
      </c>
      <c r="J2409">
        <v>7</v>
      </c>
      <c r="K2409">
        <v>0</v>
      </c>
      <c r="L2409">
        <v>54</v>
      </c>
      <c r="M2409" t="s">
        <v>38</v>
      </c>
      <c r="N2409" t="s">
        <v>51</v>
      </c>
      <c r="O2409">
        <v>54296</v>
      </c>
      <c r="P2409">
        <v>206</v>
      </c>
      <c r="Q2409" t="s">
        <v>25</v>
      </c>
      <c r="R2409" t="str">
        <f t="shared" si="38"/>
        <v>No</v>
      </c>
    </row>
    <row r="2410" spans="1:18" x14ac:dyDescent="0.35">
      <c r="A2410" s="1">
        <v>40453</v>
      </c>
      <c r="B2410">
        <v>0</v>
      </c>
      <c r="C2410" t="s">
        <v>72</v>
      </c>
      <c r="D2410" t="s">
        <v>68</v>
      </c>
      <c r="E2410" t="s">
        <v>18</v>
      </c>
      <c r="F2410">
        <v>161</v>
      </c>
      <c r="G2410" t="s">
        <v>53</v>
      </c>
      <c r="H2410" t="s">
        <v>18</v>
      </c>
      <c r="I2410">
        <v>161</v>
      </c>
      <c r="J2410">
        <v>4</v>
      </c>
      <c r="K2410">
        <v>7</v>
      </c>
      <c r="L2410">
        <v>51</v>
      </c>
      <c r="M2410" t="s">
        <v>38</v>
      </c>
      <c r="N2410" t="s">
        <v>54</v>
      </c>
      <c r="O2410">
        <v>28173</v>
      </c>
      <c r="P2410">
        <v>219</v>
      </c>
      <c r="Q2410" t="s">
        <v>53</v>
      </c>
      <c r="R2410" t="str">
        <f t="shared" si="38"/>
        <v>Yes</v>
      </c>
    </row>
    <row r="2411" spans="1:18" x14ac:dyDescent="0.35">
      <c r="A2411" s="1">
        <v>40453</v>
      </c>
      <c r="B2411">
        <v>0</v>
      </c>
      <c r="C2411" t="s">
        <v>72</v>
      </c>
      <c r="D2411" t="s">
        <v>23</v>
      </c>
      <c r="E2411" t="s">
        <v>18</v>
      </c>
      <c r="F2411">
        <v>161</v>
      </c>
      <c r="G2411" t="s">
        <v>17</v>
      </c>
      <c r="H2411" t="s">
        <v>18</v>
      </c>
      <c r="I2411">
        <v>161</v>
      </c>
      <c r="J2411">
        <v>0</v>
      </c>
      <c r="K2411">
        <v>2</v>
      </c>
      <c r="L2411">
        <v>51</v>
      </c>
      <c r="M2411" t="s">
        <v>20</v>
      </c>
      <c r="N2411" t="s">
        <v>65</v>
      </c>
      <c r="O2411">
        <v>25332</v>
      </c>
      <c r="P2411">
        <v>142</v>
      </c>
      <c r="Q2411" t="s">
        <v>17</v>
      </c>
      <c r="R2411" t="str">
        <f t="shared" si="38"/>
        <v>Yes</v>
      </c>
    </row>
    <row r="2412" spans="1:18" x14ac:dyDescent="0.35">
      <c r="A2412" s="1">
        <v>40453</v>
      </c>
      <c r="B2412">
        <v>0</v>
      </c>
      <c r="C2412" t="s">
        <v>72</v>
      </c>
      <c r="D2412" t="s">
        <v>49</v>
      </c>
      <c r="E2412" t="s">
        <v>18</v>
      </c>
      <c r="F2412">
        <v>161</v>
      </c>
      <c r="G2412" t="s">
        <v>66</v>
      </c>
      <c r="H2412" t="s">
        <v>18</v>
      </c>
      <c r="I2412">
        <v>161</v>
      </c>
      <c r="J2412">
        <v>8</v>
      </c>
      <c r="K2412">
        <v>3</v>
      </c>
      <c r="L2412">
        <v>54</v>
      </c>
      <c r="M2412" t="s">
        <v>20</v>
      </c>
      <c r="N2412" t="s">
        <v>67</v>
      </c>
      <c r="O2412">
        <v>36098</v>
      </c>
      <c r="P2412">
        <v>172</v>
      </c>
      <c r="Q2412" t="s">
        <v>49</v>
      </c>
      <c r="R2412" t="str">
        <f t="shared" si="38"/>
        <v>No</v>
      </c>
    </row>
    <row r="2413" spans="1:18" x14ac:dyDescent="0.35">
      <c r="A2413" s="1">
        <v>40453</v>
      </c>
      <c r="B2413">
        <v>0</v>
      </c>
      <c r="C2413" t="s">
        <v>72</v>
      </c>
      <c r="D2413" t="s">
        <v>60</v>
      </c>
      <c r="E2413" t="s">
        <v>18</v>
      </c>
      <c r="F2413">
        <v>161</v>
      </c>
      <c r="G2413" t="s">
        <v>22</v>
      </c>
      <c r="H2413" t="s">
        <v>18</v>
      </c>
      <c r="I2413">
        <v>161</v>
      </c>
      <c r="J2413">
        <v>2</v>
      </c>
      <c r="K2413">
        <v>3</v>
      </c>
      <c r="L2413">
        <v>51</v>
      </c>
      <c r="M2413" t="s">
        <v>20</v>
      </c>
      <c r="N2413" t="s">
        <v>85</v>
      </c>
      <c r="O2413">
        <v>41918</v>
      </c>
      <c r="P2413">
        <v>156</v>
      </c>
      <c r="Q2413" t="s">
        <v>22</v>
      </c>
      <c r="R2413" t="str">
        <f t="shared" si="38"/>
        <v>Yes</v>
      </c>
    </row>
    <row r="2414" spans="1:18" x14ac:dyDescent="0.35">
      <c r="A2414" s="1">
        <v>40453</v>
      </c>
      <c r="B2414">
        <v>0</v>
      </c>
      <c r="C2414" t="s">
        <v>72</v>
      </c>
      <c r="D2414" t="s">
        <v>26</v>
      </c>
      <c r="E2414" t="s">
        <v>18</v>
      </c>
      <c r="F2414">
        <v>161</v>
      </c>
      <c r="G2414" t="s">
        <v>19</v>
      </c>
      <c r="H2414" t="s">
        <v>18</v>
      </c>
      <c r="I2414">
        <v>161</v>
      </c>
      <c r="J2414">
        <v>2</v>
      </c>
      <c r="K2414">
        <v>7</v>
      </c>
      <c r="L2414">
        <v>51</v>
      </c>
      <c r="M2414" t="s">
        <v>38</v>
      </c>
      <c r="N2414" t="s">
        <v>21</v>
      </c>
      <c r="O2414">
        <v>30386</v>
      </c>
      <c r="P2414">
        <v>191</v>
      </c>
      <c r="Q2414" t="s">
        <v>19</v>
      </c>
      <c r="R2414" t="str">
        <f t="shared" si="38"/>
        <v>Yes</v>
      </c>
    </row>
    <row r="2415" spans="1:18" x14ac:dyDescent="0.35">
      <c r="A2415" s="1">
        <v>40453</v>
      </c>
      <c r="B2415">
        <v>0</v>
      </c>
      <c r="C2415" t="s">
        <v>72</v>
      </c>
      <c r="D2415" t="s">
        <v>62</v>
      </c>
      <c r="E2415" t="s">
        <v>18</v>
      </c>
      <c r="F2415">
        <v>161</v>
      </c>
      <c r="G2415" t="s">
        <v>70</v>
      </c>
      <c r="H2415" t="s">
        <v>18</v>
      </c>
      <c r="I2415">
        <v>161</v>
      </c>
      <c r="J2415">
        <v>4</v>
      </c>
      <c r="K2415">
        <v>2</v>
      </c>
      <c r="L2415">
        <v>54</v>
      </c>
      <c r="M2415" t="s">
        <v>38</v>
      </c>
      <c r="N2415" t="s">
        <v>71</v>
      </c>
      <c r="O2415">
        <v>42653</v>
      </c>
      <c r="P2415">
        <v>164</v>
      </c>
      <c r="Q2415" t="s">
        <v>62</v>
      </c>
      <c r="R2415" t="str">
        <f t="shared" si="38"/>
        <v>No</v>
      </c>
    </row>
    <row r="2416" spans="1:18" x14ac:dyDescent="0.35">
      <c r="A2416" s="1">
        <v>40453</v>
      </c>
      <c r="B2416">
        <v>0</v>
      </c>
      <c r="C2416" t="s">
        <v>72</v>
      </c>
      <c r="D2416" t="s">
        <v>63</v>
      </c>
      <c r="E2416" t="s">
        <v>18</v>
      </c>
      <c r="F2416">
        <v>161</v>
      </c>
      <c r="G2416" t="s">
        <v>52</v>
      </c>
      <c r="H2416" t="s">
        <v>18</v>
      </c>
      <c r="I2416">
        <v>161</v>
      </c>
      <c r="J2416">
        <v>0</v>
      </c>
      <c r="K2416">
        <v>1</v>
      </c>
      <c r="L2416">
        <v>63</v>
      </c>
      <c r="M2416" t="s">
        <v>38</v>
      </c>
      <c r="N2416" t="s">
        <v>82</v>
      </c>
      <c r="O2416">
        <v>39633</v>
      </c>
      <c r="P2416">
        <v>188</v>
      </c>
      <c r="Q2416" t="s">
        <v>52</v>
      </c>
      <c r="R2416" t="str">
        <f t="shared" si="38"/>
        <v>Yes</v>
      </c>
    </row>
    <row r="2417" spans="1:18" x14ac:dyDescent="0.35">
      <c r="A2417" s="1">
        <v>40454</v>
      </c>
      <c r="B2417">
        <v>0</v>
      </c>
      <c r="C2417" t="s">
        <v>73</v>
      </c>
      <c r="D2417" t="s">
        <v>36</v>
      </c>
      <c r="E2417" t="s">
        <v>30</v>
      </c>
      <c r="F2417">
        <v>162</v>
      </c>
      <c r="G2417" t="s">
        <v>43</v>
      </c>
      <c r="H2417" t="s">
        <v>30</v>
      </c>
      <c r="I2417">
        <v>162</v>
      </c>
      <c r="J2417">
        <v>4</v>
      </c>
      <c r="K2417">
        <v>2</v>
      </c>
      <c r="L2417">
        <v>54</v>
      </c>
      <c r="M2417" t="s">
        <v>38</v>
      </c>
      <c r="N2417" t="s">
        <v>56</v>
      </c>
      <c r="O2417">
        <v>23914</v>
      </c>
      <c r="P2417">
        <v>166</v>
      </c>
      <c r="Q2417" t="s">
        <v>36</v>
      </c>
      <c r="R2417" t="str">
        <f t="shared" si="38"/>
        <v>No</v>
      </c>
    </row>
    <row r="2418" spans="1:18" x14ac:dyDescent="0.35">
      <c r="A2418" s="1">
        <v>40454</v>
      </c>
      <c r="B2418">
        <v>0</v>
      </c>
      <c r="C2418" t="s">
        <v>73</v>
      </c>
      <c r="D2418" t="s">
        <v>59</v>
      </c>
      <c r="E2418" t="s">
        <v>30</v>
      </c>
      <c r="F2418">
        <v>162</v>
      </c>
      <c r="G2418" t="s">
        <v>58</v>
      </c>
      <c r="H2418" t="s">
        <v>30</v>
      </c>
      <c r="I2418">
        <v>162</v>
      </c>
      <c r="J2418">
        <v>4</v>
      </c>
      <c r="K2418">
        <v>8</v>
      </c>
      <c r="L2418">
        <v>51</v>
      </c>
      <c r="M2418" t="s">
        <v>38</v>
      </c>
      <c r="N2418" t="s">
        <v>86</v>
      </c>
      <c r="O2418">
        <v>37453</v>
      </c>
      <c r="P2418">
        <v>189</v>
      </c>
      <c r="Q2418" t="s">
        <v>58</v>
      </c>
      <c r="R2418" t="str">
        <f t="shared" si="38"/>
        <v>Yes</v>
      </c>
    </row>
    <row r="2419" spans="1:18" x14ac:dyDescent="0.35">
      <c r="A2419" s="1">
        <v>40454</v>
      </c>
      <c r="B2419">
        <v>0</v>
      </c>
      <c r="C2419" t="s">
        <v>73</v>
      </c>
      <c r="D2419" t="s">
        <v>33</v>
      </c>
      <c r="E2419" t="s">
        <v>30</v>
      </c>
      <c r="F2419">
        <v>162</v>
      </c>
      <c r="G2419" t="s">
        <v>34</v>
      </c>
      <c r="H2419" t="s">
        <v>30</v>
      </c>
      <c r="I2419">
        <v>162</v>
      </c>
      <c r="J2419">
        <v>5</v>
      </c>
      <c r="K2419">
        <v>6</v>
      </c>
      <c r="L2419">
        <v>51</v>
      </c>
      <c r="M2419" t="s">
        <v>38</v>
      </c>
      <c r="N2419" t="s">
        <v>35</v>
      </c>
      <c r="O2419">
        <v>24539</v>
      </c>
      <c r="P2419">
        <v>160</v>
      </c>
      <c r="Q2419" t="s">
        <v>34</v>
      </c>
      <c r="R2419" t="str">
        <f t="shared" si="38"/>
        <v>Yes</v>
      </c>
    </row>
    <row r="2420" spans="1:18" x14ac:dyDescent="0.35">
      <c r="A2420" s="1">
        <v>40454</v>
      </c>
      <c r="B2420">
        <v>0</v>
      </c>
      <c r="C2420" t="s">
        <v>73</v>
      </c>
      <c r="D2420" t="s">
        <v>44</v>
      </c>
      <c r="E2420" t="s">
        <v>30</v>
      </c>
      <c r="F2420">
        <v>162</v>
      </c>
      <c r="G2420" t="s">
        <v>37</v>
      </c>
      <c r="H2420" t="s">
        <v>30</v>
      </c>
      <c r="I2420">
        <v>162</v>
      </c>
      <c r="J2420">
        <v>3</v>
      </c>
      <c r="K2420">
        <v>2</v>
      </c>
      <c r="L2420">
        <v>72</v>
      </c>
      <c r="M2420" t="s">
        <v>38</v>
      </c>
      <c r="N2420" t="s">
        <v>39</v>
      </c>
      <c r="O2420">
        <v>20936</v>
      </c>
      <c r="P2420">
        <v>219</v>
      </c>
      <c r="Q2420" t="s">
        <v>44</v>
      </c>
      <c r="R2420" t="str">
        <f t="shared" si="38"/>
        <v>No</v>
      </c>
    </row>
    <row r="2421" spans="1:18" x14ac:dyDescent="0.35">
      <c r="A2421" s="1">
        <v>40454</v>
      </c>
      <c r="B2421">
        <v>0</v>
      </c>
      <c r="C2421" t="s">
        <v>73</v>
      </c>
      <c r="D2421" t="s">
        <v>46</v>
      </c>
      <c r="E2421" t="s">
        <v>30</v>
      </c>
      <c r="F2421">
        <v>162</v>
      </c>
      <c r="G2421" t="s">
        <v>29</v>
      </c>
      <c r="H2421" t="s">
        <v>30</v>
      </c>
      <c r="I2421">
        <v>162</v>
      </c>
      <c r="J2421">
        <v>2</v>
      </c>
      <c r="K2421">
        <v>1</v>
      </c>
      <c r="L2421">
        <v>54</v>
      </c>
      <c r="M2421" t="s">
        <v>38</v>
      </c>
      <c r="N2421" t="s">
        <v>76</v>
      </c>
      <c r="O2421">
        <v>40664</v>
      </c>
      <c r="P2421">
        <v>121</v>
      </c>
      <c r="Q2421" t="s">
        <v>46</v>
      </c>
      <c r="R2421" t="str">
        <f t="shared" si="38"/>
        <v>No</v>
      </c>
    </row>
    <row r="2422" spans="1:18" x14ac:dyDescent="0.35">
      <c r="A2422" s="1">
        <v>40454</v>
      </c>
      <c r="B2422">
        <v>0</v>
      </c>
      <c r="C2422" t="s">
        <v>73</v>
      </c>
      <c r="D2422" t="s">
        <v>41</v>
      </c>
      <c r="E2422" t="s">
        <v>30</v>
      </c>
      <c r="F2422">
        <v>162</v>
      </c>
      <c r="G2422" t="s">
        <v>40</v>
      </c>
      <c r="H2422" t="s">
        <v>30</v>
      </c>
      <c r="I2422">
        <v>162</v>
      </c>
      <c r="J2422">
        <v>4</v>
      </c>
      <c r="K2422">
        <v>3</v>
      </c>
      <c r="L2422">
        <v>54</v>
      </c>
      <c r="M2422" t="s">
        <v>38</v>
      </c>
      <c r="N2422" t="s">
        <v>77</v>
      </c>
      <c r="O2422">
        <v>23263</v>
      </c>
      <c r="P2422">
        <v>173</v>
      </c>
      <c r="Q2422" t="s">
        <v>41</v>
      </c>
      <c r="R2422" t="str">
        <f t="shared" si="38"/>
        <v>No</v>
      </c>
    </row>
    <row r="2423" spans="1:18" x14ac:dyDescent="0.35">
      <c r="A2423" s="1">
        <v>40454</v>
      </c>
      <c r="B2423">
        <v>0</v>
      </c>
      <c r="C2423" t="s">
        <v>73</v>
      </c>
      <c r="D2423" t="s">
        <v>31</v>
      </c>
      <c r="E2423" t="s">
        <v>30</v>
      </c>
      <c r="F2423">
        <v>162</v>
      </c>
      <c r="G2423" t="s">
        <v>47</v>
      </c>
      <c r="H2423" t="s">
        <v>30</v>
      </c>
      <c r="I2423">
        <v>162</v>
      </c>
      <c r="J2423">
        <v>6</v>
      </c>
      <c r="K2423">
        <v>2</v>
      </c>
      <c r="L2423">
        <v>54</v>
      </c>
      <c r="M2423" t="s">
        <v>38</v>
      </c>
      <c r="N2423" t="s">
        <v>48</v>
      </c>
      <c r="O2423">
        <v>45446</v>
      </c>
      <c r="P2423">
        <v>149</v>
      </c>
      <c r="Q2423" t="s">
        <v>31</v>
      </c>
      <c r="R2423" t="str">
        <f t="shared" si="38"/>
        <v>No</v>
      </c>
    </row>
    <row r="2424" spans="1:18" x14ac:dyDescent="0.35">
      <c r="A2424" s="1">
        <v>40454</v>
      </c>
      <c r="B2424">
        <v>0</v>
      </c>
      <c r="C2424" t="s">
        <v>73</v>
      </c>
      <c r="D2424" t="s">
        <v>25</v>
      </c>
      <c r="E2424" t="s">
        <v>18</v>
      </c>
      <c r="F2424">
        <v>162</v>
      </c>
      <c r="G2424" t="s">
        <v>50</v>
      </c>
      <c r="H2424" t="s">
        <v>18</v>
      </c>
      <c r="I2424">
        <v>162</v>
      </c>
      <c r="J2424">
        <v>7</v>
      </c>
      <c r="K2424">
        <v>8</v>
      </c>
      <c r="L2424">
        <v>51</v>
      </c>
      <c r="M2424" t="s">
        <v>38</v>
      </c>
      <c r="N2424" t="s">
        <v>51</v>
      </c>
      <c r="O2424">
        <v>52613</v>
      </c>
      <c r="P2424">
        <v>174</v>
      </c>
      <c r="Q2424" t="s">
        <v>50</v>
      </c>
      <c r="R2424" t="str">
        <f t="shared" si="38"/>
        <v>Yes</v>
      </c>
    </row>
    <row r="2425" spans="1:18" x14ac:dyDescent="0.35">
      <c r="A2425" s="1">
        <v>40454</v>
      </c>
      <c r="B2425">
        <v>0</v>
      </c>
      <c r="C2425" t="s">
        <v>73</v>
      </c>
      <c r="D2425" t="s">
        <v>68</v>
      </c>
      <c r="E2425" t="s">
        <v>18</v>
      </c>
      <c r="F2425">
        <v>162</v>
      </c>
      <c r="G2425" t="s">
        <v>53</v>
      </c>
      <c r="H2425" t="s">
        <v>18</v>
      </c>
      <c r="I2425">
        <v>162</v>
      </c>
      <c r="J2425">
        <v>2</v>
      </c>
      <c r="K2425">
        <v>3</v>
      </c>
      <c r="L2425">
        <v>51</v>
      </c>
      <c r="M2425" t="s">
        <v>38</v>
      </c>
      <c r="N2425" t="s">
        <v>54</v>
      </c>
      <c r="O2425">
        <v>37582</v>
      </c>
      <c r="P2425">
        <v>161</v>
      </c>
      <c r="Q2425" t="s">
        <v>53</v>
      </c>
      <c r="R2425" t="str">
        <f t="shared" si="38"/>
        <v>Yes</v>
      </c>
    </row>
    <row r="2426" spans="1:18" x14ac:dyDescent="0.35">
      <c r="A2426" s="1">
        <v>40454</v>
      </c>
      <c r="B2426">
        <v>0</v>
      </c>
      <c r="C2426" t="s">
        <v>73</v>
      </c>
      <c r="D2426" t="s">
        <v>23</v>
      </c>
      <c r="E2426" t="s">
        <v>18</v>
      </c>
      <c r="F2426">
        <v>162</v>
      </c>
      <c r="G2426" t="s">
        <v>17</v>
      </c>
      <c r="H2426" t="s">
        <v>18</v>
      </c>
      <c r="I2426">
        <v>162</v>
      </c>
      <c r="J2426">
        <v>2</v>
      </c>
      <c r="K2426">
        <v>5</v>
      </c>
      <c r="L2426">
        <v>51</v>
      </c>
      <c r="M2426" t="s">
        <v>38</v>
      </c>
      <c r="N2426" t="s">
        <v>65</v>
      </c>
      <c r="O2426">
        <v>31803</v>
      </c>
      <c r="P2426">
        <v>159</v>
      </c>
      <c r="Q2426" t="s">
        <v>17</v>
      </c>
      <c r="R2426" t="str">
        <f t="shared" si="38"/>
        <v>Yes</v>
      </c>
    </row>
    <row r="2427" spans="1:18" x14ac:dyDescent="0.35">
      <c r="A2427" s="1">
        <v>40454</v>
      </c>
      <c r="B2427">
        <v>0</v>
      </c>
      <c r="C2427" t="s">
        <v>73</v>
      </c>
      <c r="D2427" t="s">
        <v>49</v>
      </c>
      <c r="E2427" t="s">
        <v>18</v>
      </c>
      <c r="F2427">
        <v>162</v>
      </c>
      <c r="G2427" t="s">
        <v>66</v>
      </c>
      <c r="H2427" t="s">
        <v>18</v>
      </c>
      <c r="I2427">
        <v>162</v>
      </c>
      <c r="J2427">
        <v>0</v>
      </c>
      <c r="K2427">
        <v>4</v>
      </c>
      <c r="L2427">
        <v>51</v>
      </c>
      <c r="M2427" t="s">
        <v>38</v>
      </c>
      <c r="N2427" t="s">
        <v>67</v>
      </c>
      <c r="O2427">
        <v>31105</v>
      </c>
      <c r="P2427">
        <v>155</v>
      </c>
      <c r="Q2427" t="s">
        <v>66</v>
      </c>
      <c r="R2427" t="str">
        <f t="shared" si="38"/>
        <v>Yes</v>
      </c>
    </row>
    <row r="2428" spans="1:18" x14ac:dyDescent="0.35">
      <c r="A2428" s="1">
        <v>40454</v>
      </c>
      <c r="B2428">
        <v>0</v>
      </c>
      <c r="C2428" t="s">
        <v>73</v>
      </c>
      <c r="D2428" t="s">
        <v>60</v>
      </c>
      <c r="E2428" t="s">
        <v>18</v>
      </c>
      <c r="F2428">
        <v>162</v>
      </c>
      <c r="G2428" t="s">
        <v>22</v>
      </c>
      <c r="H2428" t="s">
        <v>18</v>
      </c>
      <c r="I2428">
        <v>162</v>
      </c>
      <c r="J2428">
        <v>1</v>
      </c>
      <c r="K2428">
        <v>3</v>
      </c>
      <c r="L2428">
        <v>51</v>
      </c>
      <c r="M2428" t="s">
        <v>38</v>
      </c>
      <c r="N2428" t="s">
        <v>85</v>
      </c>
      <c r="O2428">
        <v>38007</v>
      </c>
      <c r="P2428">
        <v>166</v>
      </c>
      <c r="Q2428" t="s">
        <v>22</v>
      </c>
      <c r="R2428" t="str">
        <f t="shared" si="38"/>
        <v>Yes</v>
      </c>
    </row>
    <row r="2429" spans="1:18" x14ac:dyDescent="0.35">
      <c r="A2429" s="1">
        <v>40454</v>
      </c>
      <c r="B2429">
        <v>0</v>
      </c>
      <c r="C2429" t="s">
        <v>73</v>
      </c>
      <c r="D2429" t="s">
        <v>26</v>
      </c>
      <c r="E2429" t="s">
        <v>18</v>
      </c>
      <c r="F2429">
        <v>162</v>
      </c>
      <c r="G2429" t="s">
        <v>19</v>
      </c>
      <c r="H2429" t="s">
        <v>18</v>
      </c>
      <c r="I2429">
        <v>162</v>
      </c>
      <c r="J2429">
        <v>2</v>
      </c>
      <c r="K2429">
        <v>1</v>
      </c>
      <c r="L2429">
        <v>84</v>
      </c>
      <c r="M2429" t="s">
        <v>38</v>
      </c>
      <c r="N2429" t="s">
        <v>21</v>
      </c>
      <c r="O2429">
        <v>30849</v>
      </c>
      <c r="P2429">
        <v>254</v>
      </c>
      <c r="Q2429" t="s">
        <v>26</v>
      </c>
      <c r="R2429" t="str">
        <f t="shared" si="38"/>
        <v>No</v>
      </c>
    </row>
    <row r="2430" spans="1:18" x14ac:dyDescent="0.35">
      <c r="A2430" s="1">
        <v>40454</v>
      </c>
      <c r="B2430">
        <v>0</v>
      </c>
      <c r="C2430" t="s">
        <v>73</v>
      </c>
      <c r="D2430" t="s">
        <v>62</v>
      </c>
      <c r="E2430" t="s">
        <v>18</v>
      </c>
      <c r="F2430">
        <v>162</v>
      </c>
      <c r="G2430" t="s">
        <v>70</v>
      </c>
      <c r="H2430" t="s">
        <v>18</v>
      </c>
      <c r="I2430">
        <v>162</v>
      </c>
      <c r="J2430">
        <v>0</v>
      </c>
      <c r="K2430">
        <v>3</v>
      </c>
      <c r="L2430">
        <v>51</v>
      </c>
      <c r="M2430" t="s">
        <v>38</v>
      </c>
      <c r="N2430" t="s">
        <v>71</v>
      </c>
      <c r="O2430">
        <v>42822</v>
      </c>
      <c r="P2430">
        <v>185</v>
      </c>
      <c r="Q2430" t="s">
        <v>70</v>
      </c>
      <c r="R2430" t="str">
        <f t="shared" si="38"/>
        <v>Yes</v>
      </c>
    </row>
    <row r="2431" spans="1:18" x14ac:dyDescent="0.35">
      <c r="A2431" s="1">
        <v>40454</v>
      </c>
      <c r="B2431">
        <v>0</v>
      </c>
      <c r="C2431" t="s">
        <v>73</v>
      </c>
      <c r="D2431" t="s">
        <v>63</v>
      </c>
      <c r="E2431" t="s">
        <v>18</v>
      </c>
      <c r="F2431">
        <v>162</v>
      </c>
      <c r="G2431" t="s">
        <v>52</v>
      </c>
      <c r="H2431" t="s">
        <v>18</v>
      </c>
      <c r="I2431">
        <v>162</v>
      </c>
      <c r="J2431">
        <v>1</v>
      </c>
      <c r="K2431">
        <v>6</v>
      </c>
      <c r="L2431">
        <v>51</v>
      </c>
      <c r="M2431" t="s">
        <v>38</v>
      </c>
      <c r="N2431" t="s">
        <v>82</v>
      </c>
      <c r="O2431">
        <v>42409</v>
      </c>
      <c r="P2431">
        <v>153</v>
      </c>
      <c r="Q2431" t="s">
        <v>52</v>
      </c>
      <c r="R2431" t="str">
        <f t="shared" si="38"/>
        <v>Yes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193" r:id="rId4" name="Home">
          <controlPr defaultSize="0" autoLine="0" r:id="rId5">
            <anchor moveWithCells="1">
              <from>
                <xdr:col>18</xdr:col>
                <xdr:colOff>209550</xdr:colOff>
                <xdr:row>0</xdr:row>
                <xdr:rowOff>165100</xdr:rowOff>
              </from>
              <to>
                <xdr:col>20</xdr:col>
                <xdr:colOff>368300</xdr:colOff>
                <xdr:row>4</xdr:row>
                <xdr:rowOff>107950</xdr:rowOff>
              </to>
            </anchor>
          </controlPr>
        </control>
      </mc:Choice>
      <mc:Fallback>
        <control shapeId="8193" r:id="rId4" name="Hom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N31"/>
  <sheetViews>
    <sheetView topLeftCell="G1" workbookViewId="0">
      <selection activeCell="J3" sqref="J3"/>
    </sheetView>
  </sheetViews>
  <sheetFormatPr defaultRowHeight="14.5" x14ac:dyDescent="0.35"/>
  <cols>
    <col min="4" max="4" width="11.7265625" bestFit="1" customWidth="1"/>
    <col min="5" max="5" width="13.453125" bestFit="1" customWidth="1"/>
    <col min="6" max="6" width="13.453125" customWidth="1"/>
    <col min="7" max="7" width="13.26953125" bestFit="1" customWidth="1"/>
    <col min="8" max="8" width="14.81640625" bestFit="1" customWidth="1"/>
    <col min="9" max="9" width="9.81640625" bestFit="1" customWidth="1"/>
    <col min="10" max="10" width="11.81640625" bestFit="1" customWidth="1"/>
    <col min="11" max="11" width="11.26953125" bestFit="1" customWidth="1"/>
    <col min="12" max="12" width="13.453125" bestFit="1" customWidth="1"/>
    <col min="13" max="13" width="20.1796875" hidden="1" customWidth="1"/>
    <col min="14" max="14" width="19" hidden="1" customWidth="1"/>
  </cols>
  <sheetData>
    <row r="1" spans="1:14" x14ac:dyDescent="0.35">
      <c r="A1" s="15" t="s">
        <v>108</v>
      </c>
      <c r="B1" s="15" t="s">
        <v>109</v>
      </c>
      <c r="C1" s="15" t="s">
        <v>110</v>
      </c>
      <c r="D1" s="15" t="s">
        <v>111</v>
      </c>
      <c r="E1" s="15" t="s">
        <v>112</v>
      </c>
      <c r="F1" s="15" t="s">
        <v>120</v>
      </c>
      <c r="G1" s="15" t="s">
        <v>114</v>
      </c>
      <c r="H1" s="15" t="s">
        <v>115</v>
      </c>
      <c r="I1" s="15" t="s">
        <v>116</v>
      </c>
      <c r="J1" s="15" t="s">
        <v>117</v>
      </c>
      <c r="K1" s="15" t="s">
        <v>118</v>
      </c>
      <c r="L1" s="15" t="s">
        <v>119</v>
      </c>
      <c r="M1" t="s">
        <v>121</v>
      </c>
      <c r="N1" t="s">
        <v>122</v>
      </c>
    </row>
    <row r="2" spans="1:14" x14ac:dyDescent="0.35">
      <c r="A2" s="3" t="s">
        <v>59</v>
      </c>
      <c r="B2" s="6">
        <f>COUNTIF('2010 Season Game Data'!$Q$2:$Q$4000,'2010 Season End Standings'!A2)</f>
        <v>95</v>
      </c>
      <c r="C2" s="7">
        <f>162-B2</f>
        <v>67</v>
      </c>
      <c r="D2" s="12">
        <f>COUNTIFS('2010 Season Game Data'!Q:Q,'2010 Season End Standings'!A2,'2010 Season Game Data'!R:R,"Yes")</f>
        <v>52</v>
      </c>
      <c r="E2" s="6">
        <f>B2-D2</f>
        <v>43</v>
      </c>
      <c r="F2" s="16">
        <f>B2/162</f>
        <v>0.5864197530864198</v>
      </c>
      <c r="G2" s="6">
        <f>81-D2</f>
        <v>29</v>
      </c>
      <c r="H2" s="7">
        <f>81-E2</f>
        <v>38</v>
      </c>
      <c r="I2" s="12">
        <f>COUNTIFS('2010 Season Game Data'!Q:Q,'2010 Season End Standings'!A2,'2010 Season Game Data'!M:M,"D")</f>
        <v>36</v>
      </c>
      <c r="J2" s="7">
        <f>COUNTIFS('2010 Season Game Data'!Q:Q,'2010 Season End Standings'!A2,'2010 Season Game Data'!M:M,"N")</f>
        <v>59</v>
      </c>
      <c r="K2" s="12">
        <f>(SUM(M2:N2)-I2)</f>
        <v>22</v>
      </c>
      <c r="L2" s="7">
        <f>(162-SUM(M2:N2))-J2</f>
        <v>45</v>
      </c>
      <c r="M2">
        <f>COUNTIFS('2010 Season Game Data'!G:G,'2010 Season End Standings'!A2,'2010 Season Game Data'!M:M,"D")</f>
        <v>39</v>
      </c>
      <c r="N2">
        <f>COUNTIFS('2010 Season Game Data'!D:D,'2010 Season End Standings'!A2,'2010 Season Game Data'!M:M,"D")</f>
        <v>19</v>
      </c>
    </row>
    <row r="3" spans="1:14" x14ac:dyDescent="0.35">
      <c r="A3" s="4" t="s">
        <v>58</v>
      </c>
      <c r="B3" s="8">
        <f>COUNTIF('2010 Season Game Data'!$Q$2:$Q$4000,'2010 Season End Standings'!A3)</f>
        <v>89</v>
      </c>
      <c r="C3" s="9">
        <f t="shared" ref="C3:C31" si="0">162-B3</f>
        <v>73</v>
      </c>
      <c r="D3" s="13">
        <f>COUNTIFS('2010 Season Game Data'!Q:Q,'2010 Season End Standings'!A3,'2010 Season Game Data'!R:R,"Yes")</f>
        <v>46</v>
      </c>
      <c r="E3" s="8">
        <f t="shared" ref="E3:E31" si="1">B3-D3</f>
        <v>43</v>
      </c>
      <c r="F3" s="17">
        <f t="shared" ref="F3:F31" si="2">B3/162</f>
        <v>0.54938271604938271</v>
      </c>
      <c r="G3" s="8">
        <f t="shared" ref="G3:G31" si="3">81-D3</f>
        <v>35</v>
      </c>
      <c r="H3" s="9">
        <f t="shared" ref="H3:H31" si="4">81-E3</f>
        <v>38</v>
      </c>
      <c r="I3" s="13">
        <f>COUNTIFS('2010 Season Game Data'!Q:Q,'2010 Season End Standings'!A3,'2010 Season Game Data'!M:M,"D")</f>
        <v>20</v>
      </c>
      <c r="J3" s="9">
        <f>COUNTIFS('2010 Season Game Data'!Q:Q,'2010 Season End Standings'!A3,'2010 Season Game Data'!M:M,"N")</f>
        <v>69</v>
      </c>
      <c r="K3" s="13">
        <f t="shared" ref="K3:K31" si="5">(SUM(M3:N3)-I3)</f>
        <v>23</v>
      </c>
      <c r="L3" s="9">
        <f t="shared" ref="L3:L31" si="6">(162-SUM(M3:N3))-J3</f>
        <v>50</v>
      </c>
      <c r="M3">
        <f>COUNTIFS('2010 Season Game Data'!G:G,'2010 Season End Standings'!A3,'2010 Season Game Data'!M:M,"D")</f>
        <v>21</v>
      </c>
      <c r="N3">
        <f>COUNTIFS('2010 Season Game Data'!D:D,'2010 Season End Standings'!A3,'2010 Season Game Data'!M:M,"D")</f>
        <v>22</v>
      </c>
    </row>
    <row r="4" spans="1:14" x14ac:dyDescent="0.35">
      <c r="A4" s="4" t="s">
        <v>44</v>
      </c>
      <c r="B4" s="8">
        <f>COUNTIF('2010 Season Game Data'!$Q$2:$Q$4000,'2010 Season End Standings'!A4)</f>
        <v>96</v>
      </c>
      <c r="C4" s="9">
        <f t="shared" si="0"/>
        <v>66</v>
      </c>
      <c r="D4" s="13">
        <f>COUNTIFS('2010 Season Game Data'!Q:Q,'2010 Season End Standings'!A4,'2010 Season Game Data'!R:R,"Yes")</f>
        <v>49</v>
      </c>
      <c r="E4" s="8">
        <f t="shared" si="1"/>
        <v>47</v>
      </c>
      <c r="F4" s="17">
        <f t="shared" si="2"/>
        <v>0.59259259259259256</v>
      </c>
      <c r="G4" s="8">
        <f t="shared" si="3"/>
        <v>32</v>
      </c>
      <c r="H4" s="9">
        <f t="shared" si="4"/>
        <v>34</v>
      </c>
      <c r="I4" s="13">
        <f>COUNTIFS('2010 Season Game Data'!Q:Q,'2010 Season End Standings'!A4,'2010 Season Game Data'!M:M,"D")</f>
        <v>27</v>
      </c>
      <c r="J4" s="9">
        <f>COUNTIFS('2010 Season Game Data'!Q:Q,'2010 Season End Standings'!A4,'2010 Season Game Data'!M:M,"N")</f>
        <v>69</v>
      </c>
      <c r="K4" s="13">
        <f t="shared" si="5"/>
        <v>19</v>
      </c>
      <c r="L4" s="9">
        <f t="shared" si="6"/>
        <v>47</v>
      </c>
      <c r="M4">
        <f>COUNTIFS('2010 Season Game Data'!G:G,'2010 Season End Standings'!A4,'2010 Season Game Data'!M:M,"D")</f>
        <v>21</v>
      </c>
      <c r="N4">
        <f>COUNTIFS('2010 Season Game Data'!D:D,'2010 Season End Standings'!A4,'2010 Season Game Data'!M:M,"D")</f>
        <v>25</v>
      </c>
    </row>
    <row r="5" spans="1:14" x14ac:dyDescent="0.35">
      <c r="A5" s="4" t="s">
        <v>43</v>
      </c>
      <c r="B5" s="8">
        <f>COUNTIF('2010 Season Game Data'!$Q$2:$Q$4000,'2010 Season End Standings'!A5)</f>
        <v>66</v>
      </c>
      <c r="C5" s="9">
        <f t="shared" si="0"/>
        <v>96</v>
      </c>
      <c r="D5" s="13">
        <f>COUNTIFS('2010 Season Game Data'!Q:Q,'2010 Season End Standings'!A5,'2010 Season Game Data'!R:R,"Yes")</f>
        <v>37</v>
      </c>
      <c r="E5" s="8">
        <f t="shared" si="1"/>
        <v>29</v>
      </c>
      <c r="F5" s="17">
        <f t="shared" si="2"/>
        <v>0.40740740740740738</v>
      </c>
      <c r="G5" s="8">
        <f t="shared" si="3"/>
        <v>44</v>
      </c>
      <c r="H5" s="9">
        <f t="shared" si="4"/>
        <v>52</v>
      </c>
      <c r="I5" s="13">
        <f>COUNTIFS('2010 Season Game Data'!Q:Q,'2010 Season End Standings'!A5,'2010 Season Game Data'!M:M,"D")</f>
        <v>17</v>
      </c>
      <c r="J5" s="9">
        <f>COUNTIFS('2010 Season Game Data'!Q:Q,'2010 Season End Standings'!A5,'2010 Season Game Data'!M:M,"N")</f>
        <v>49</v>
      </c>
      <c r="K5" s="13">
        <f t="shared" si="5"/>
        <v>28</v>
      </c>
      <c r="L5" s="9">
        <f t="shared" si="6"/>
        <v>68</v>
      </c>
      <c r="M5">
        <f>COUNTIFS('2010 Season Game Data'!G:G,'2010 Season End Standings'!A5,'2010 Season Game Data'!M:M,"D")</f>
        <v>20</v>
      </c>
      <c r="N5">
        <f>COUNTIFS('2010 Season Game Data'!D:D,'2010 Season End Standings'!A5,'2010 Season Game Data'!M:M,"D")</f>
        <v>25</v>
      </c>
    </row>
    <row r="6" spans="1:14" x14ac:dyDescent="0.35">
      <c r="A6" s="5" t="s">
        <v>46</v>
      </c>
      <c r="B6" s="10">
        <f>COUNTIF('2010 Season Game Data'!$Q$2:$Q$4000,'2010 Season End Standings'!A6)</f>
        <v>85</v>
      </c>
      <c r="C6" s="11">
        <f t="shared" si="0"/>
        <v>77</v>
      </c>
      <c r="D6" s="14">
        <f>COUNTIFS('2010 Season Game Data'!Q:Q,'2010 Season End Standings'!A6,'2010 Season Game Data'!R:R,"Yes")</f>
        <v>46</v>
      </c>
      <c r="E6" s="10">
        <f t="shared" si="1"/>
        <v>39</v>
      </c>
      <c r="F6" s="18">
        <f t="shared" si="2"/>
        <v>0.52469135802469136</v>
      </c>
      <c r="G6" s="10">
        <f t="shared" si="3"/>
        <v>35</v>
      </c>
      <c r="H6" s="11">
        <f t="shared" si="4"/>
        <v>42</v>
      </c>
      <c r="I6" s="14">
        <f>COUNTIFS('2010 Season Game Data'!Q:Q,'2010 Season End Standings'!A6,'2010 Season Game Data'!M:M,"D")</f>
        <v>33</v>
      </c>
      <c r="J6" s="11">
        <f>COUNTIFS('2010 Season Game Data'!Q:Q,'2010 Season End Standings'!A6,'2010 Season Game Data'!M:M,"N")</f>
        <v>52</v>
      </c>
      <c r="K6" s="14">
        <f t="shared" si="5"/>
        <v>29</v>
      </c>
      <c r="L6" s="11">
        <f t="shared" si="6"/>
        <v>48</v>
      </c>
      <c r="M6">
        <f>COUNTIFS('2010 Season Game Data'!G:G,'2010 Season End Standings'!A6,'2010 Season Game Data'!M:M,"D")</f>
        <v>31</v>
      </c>
      <c r="N6">
        <f>COUNTIFS('2010 Season Game Data'!D:D,'2010 Season End Standings'!A6,'2010 Season Game Data'!M:M,"D")</f>
        <v>31</v>
      </c>
    </row>
    <row r="7" spans="1:14" x14ac:dyDescent="0.35">
      <c r="A7" s="3" t="s">
        <v>34</v>
      </c>
      <c r="B7" s="6">
        <f>COUNTIF('2010 Season Game Data'!$Q$2:$Q$4000,'2010 Season End Standings'!A7)</f>
        <v>88</v>
      </c>
      <c r="C7" s="7">
        <f t="shared" si="0"/>
        <v>74</v>
      </c>
      <c r="D7" s="12">
        <f>COUNTIFS('2010 Season Game Data'!Q:Q,'2010 Season End Standings'!A7,'2010 Season Game Data'!R:R,"Yes")</f>
        <v>45</v>
      </c>
      <c r="E7" s="6">
        <f t="shared" si="1"/>
        <v>43</v>
      </c>
      <c r="F7" s="16">
        <f t="shared" si="2"/>
        <v>0.54320987654320985</v>
      </c>
      <c r="G7" s="6">
        <f t="shared" si="3"/>
        <v>36</v>
      </c>
      <c r="H7" s="7">
        <f t="shared" si="4"/>
        <v>38</v>
      </c>
      <c r="I7" s="12">
        <f>COUNTIFS('2010 Season Game Data'!Q:Q,'2010 Season End Standings'!A7,'2010 Season Game Data'!M:M,"D")</f>
        <v>31</v>
      </c>
      <c r="J7" s="7">
        <f>COUNTIFS('2010 Season Game Data'!Q:Q,'2010 Season End Standings'!A7,'2010 Season Game Data'!M:M,"N")</f>
        <v>57</v>
      </c>
      <c r="K7" s="12">
        <f t="shared" si="5"/>
        <v>18</v>
      </c>
      <c r="L7" s="7">
        <f t="shared" si="6"/>
        <v>56</v>
      </c>
      <c r="M7">
        <f>COUNTIFS('2010 Season Game Data'!G:G,'2010 Season End Standings'!A7,'2010 Season Game Data'!M:M,"D")</f>
        <v>21</v>
      </c>
      <c r="N7">
        <f>COUNTIFS('2010 Season Game Data'!D:D,'2010 Season End Standings'!A7,'2010 Season Game Data'!M:M,"D")</f>
        <v>28</v>
      </c>
    </row>
    <row r="8" spans="1:14" x14ac:dyDescent="0.35">
      <c r="A8" s="4" t="s">
        <v>37</v>
      </c>
      <c r="B8" s="8">
        <f>COUNTIF('2010 Season Game Data'!$Q$2:$Q$4000,'2010 Season End Standings'!A8)</f>
        <v>67</v>
      </c>
      <c r="C8" s="9">
        <f t="shared" si="0"/>
        <v>95</v>
      </c>
      <c r="D8" s="13">
        <f>COUNTIFS('2010 Season Game Data'!Q:Q,'2010 Season End Standings'!A8,'2010 Season Game Data'!R:R,"Yes")</f>
        <v>38</v>
      </c>
      <c r="E8" s="8">
        <f t="shared" si="1"/>
        <v>29</v>
      </c>
      <c r="F8" s="17">
        <f t="shared" si="2"/>
        <v>0.41358024691358025</v>
      </c>
      <c r="G8" s="8">
        <f t="shared" si="3"/>
        <v>43</v>
      </c>
      <c r="H8" s="9">
        <f t="shared" si="4"/>
        <v>52</v>
      </c>
      <c r="I8" s="13">
        <f>COUNTIFS('2010 Season Game Data'!Q:Q,'2010 Season End Standings'!A8,'2010 Season Game Data'!M:M,"D")</f>
        <v>22</v>
      </c>
      <c r="J8" s="9">
        <f>COUNTIFS('2010 Season Game Data'!Q:Q,'2010 Season End Standings'!A8,'2010 Season Game Data'!M:M,"N")</f>
        <v>45</v>
      </c>
      <c r="K8" s="13">
        <f t="shared" si="5"/>
        <v>27</v>
      </c>
      <c r="L8" s="9">
        <f t="shared" si="6"/>
        <v>68</v>
      </c>
      <c r="M8">
        <f>COUNTIFS('2010 Season Game Data'!G:G,'2010 Season End Standings'!A8,'2010 Season Game Data'!M:M,"D")</f>
        <v>25</v>
      </c>
      <c r="N8">
        <f>COUNTIFS('2010 Season Game Data'!D:D,'2010 Season End Standings'!A8,'2010 Season Game Data'!M:M,"D")</f>
        <v>24</v>
      </c>
    </row>
    <row r="9" spans="1:14" x14ac:dyDescent="0.35">
      <c r="A9" s="4" t="s">
        <v>33</v>
      </c>
      <c r="B9" s="8">
        <f>COUNTIF('2010 Season Game Data'!$Q$2:$Q$4000,'2010 Season End Standings'!A9)</f>
        <v>69</v>
      </c>
      <c r="C9" s="9">
        <f t="shared" si="0"/>
        <v>93</v>
      </c>
      <c r="D9" s="13">
        <f>COUNTIFS('2010 Season Game Data'!Q:Q,'2010 Season End Standings'!A9,'2010 Season Game Data'!R:R,"Yes")</f>
        <v>38</v>
      </c>
      <c r="E9" s="8">
        <f t="shared" si="1"/>
        <v>31</v>
      </c>
      <c r="F9" s="17">
        <f t="shared" si="2"/>
        <v>0.42592592592592593</v>
      </c>
      <c r="G9" s="8">
        <f t="shared" si="3"/>
        <v>43</v>
      </c>
      <c r="H9" s="9">
        <f t="shared" si="4"/>
        <v>50</v>
      </c>
      <c r="I9" s="13">
        <f>COUNTIFS('2010 Season Game Data'!Q:Q,'2010 Season End Standings'!A9,'2010 Season Game Data'!M:M,"D")</f>
        <v>18</v>
      </c>
      <c r="J9" s="9">
        <f>COUNTIFS('2010 Season Game Data'!Q:Q,'2010 Season End Standings'!A9,'2010 Season Game Data'!M:M,"N")</f>
        <v>51</v>
      </c>
      <c r="K9" s="13">
        <f t="shared" si="5"/>
        <v>35</v>
      </c>
      <c r="L9" s="9">
        <f t="shared" si="6"/>
        <v>58</v>
      </c>
      <c r="M9">
        <f>COUNTIFS('2010 Season Game Data'!G:G,'2010 Season End Standings'!A9,'2010 Season Game Data'!M:M,"D")</f>
        <v>24</v>
      </c>
      <c r="N9">
        <f>COUNTIFS('2010 Season Game Data'!D:D,'2010 Season End Standings'!A9,'2010 Season Game Data'!M:M,"D")</f>
        <v>29</v>
      </c>
    </row>
    <row r="10" spans="1:14" x14ac:dyDescent="0.35">
      <c r="A10" s="4" t="s">
        <v>36</v>
      </c>
      <c r="B10" s="8">
        <f>COUNTIF('2010 Season Game Data'!$Q$2:$Q$4000,'2010 Season End Standings'!A10)</f>
        <v>81</v>
      </c>
      <c r="C10" s="9">
        <f t="shared" si="0"/>
        <v>81</v>
      </c>
      <c r="D10" s="13">
        <f>COUNTIFS('2010 Season Game Data'!Q:Q,'2010 Season End Standings'!A10,'2010 Season Game Data'!R:R,"Yes")</f>
        <v>52</v>
      </c>
      <c r="E10" s="8">
        <f t="shared" si="1"/>
        <v>29</v>
      </c>
      <c r="F10" s="17">
        <f t="shared" si="2"/>
        <v>0.5</v>
      </c>
      <c r="G10" s="8">
        <f t="shared" si="3"/>
        <v>29</v>
      </c>
      <c r="H10" s="9">
        <f t="shared" si="4"/>
        <v>52</v>
      </c>
      <c r="I10" s="13">
        <f>COUNTIFS('2010 Season Game Data'!Q:Q,'2010 Season End Standings'!A10,'2010 Season Game Data'!M:M,"D")</f>
        <v>35</v>
      </c>
      <c r="J10" s="9">
        <f>COUNTIFS('2010 Season Game Data'!Q:Q,'2010 Season End Standings'!A10,'2010 Season Game Data'!M:M,"N")</f>
        <v>46</v>
      </c>
      <c r="K10" s="13">
        <f t="shared" si="5"/>
        <v>30</v>
      </c>
      <c r="L10" s="9">
        <f t="shared" si="6"/>
        <v>51</v>
      </c>
      <c r="M10">
        <f>COUNTIFS('2010 Season Game Data'!G:G,'2010 Season End Standings'!A10,'2010 Season Game Data'!M:M,"D")</f>
        <v>35</v>
      </c>
      <c r="N10">
        <f>COUNTIFS('2010 Season Game Data'!D:D,'2010 Season End Standings'!A10,'2010 Season Game Data'!M:M,"D")</f>
        <v>30</v>
      </c>
    </row>
    <row r="11" spans="1:14" x14ac:dyDescent="0.35">
      <c r="A11" s="5" t="s">
        <v>29</v>
      </c>
      <c r="B11" s="10">
        <f>COUNTIF('2010 Season Game Data'!$Q$2:$Q$4000,'2010 Season End Standings'!A11)</f>
        <v>94</v>
      </c>
      <c r="C11" s="11">
        <f t="shared" si="0"/>
        <v>68</v>
      </c>
      <c r="D11" s="14">
        <f>COUNTIFS('2010 Season Game Data'!Q:Q,'2010 Season End Standings'!A11,'2010 Season Game Data'!R:R,"Yes")</f>
        <v>53</v>
      </c>
      <c r="E11" s="10">
        <f t="shared" si="1"/>
        <v>41</v>
      </c>
      <c r="F11" s="18">
        <f t="shared" si="2"/>
        <v>0.58024691358024694</v>
      </c>
      <c r="G11" s="10">
        <f t="shared" si="3"/>
        <v>28</v>
      </c>
      <c r="H11" s="11">
        <f t="shared" si="4"/>
        <v>40</v>
      </c>
      <c r="I11" s="14">
        <f>COUNTIFS('2010 Season Game Data'!Q:Q,'2010 Season End Standings'!A11,'2010 Season Game Data'!M:M,"D")</f>
        <v>32</v>
      </c>
      <c r="J11" s="11">
        <f>COUNTIFS('2010 Season Game Data'!Q:Q,'2010 Season End Standings'!A11,'2010 Season Game Data'!M:M,"N")</f>
        <v>62</v>
      </c>
      <c r="K11" s="14">
        <f t="shared" si="5"/>
        <v>23</v>
      </c>
      <c r="L11" s="11">
        <f t="shared" si="6"/>
        <v>45</v>
      </c>
      <c r="M11">
        <f>COUNTIFS('2010 Season Game Data'!G:G,'2010 Season End Standings'!A11,'2010 Season Game Data'!M:M,"D")</f>
        <v>31</v>
      </c>
      <c r="N11">
        <f>COUNTIFS('2010 Season Game Data'!D:D,'2010 Season End Standings'!A11,'2010 Season Game Data'!M:M,"D")</f>
        <v>24</v>
      </c>
    </row>
    <row r="12" spans="1:14" x14ac:dyDescent="0.35">
      <c r="A12" s="3" t="s">
        <v>31</v>
      </c>
      <c r="B12" s="6">
        <f>COUNTIF('2010 Season Game Data'!$Q$2:$Q$4000,'2010 Season End Standings'!A12)</f>
        <v>80</v>
      </c>
      <c r="C12" s="7">
        <f t="shared" si="0"/>
        <v>82</v>
      </c>
      <c r="D12" s="12">
        <f>COUNTIFS('2010 Season Game Data'!Q:Q,'2010 Season End Standings'!A12,'2010 Season Game Data'!R:R,"Yes")</f>
        <v>43</v>
      </c>
      <c r="E12" s="6">
        <f t="shared" si="1"/>
        <v>37</v>
      </c>
      <c r="F12" s="16">
        <f t="shared" si="2"/>
        <v>0.49382716049382713</v>
      </c>
      <c r="G12" s="6">
        <f t="shared" si="3"/>
        <v>38</v>
      </c>
      <c r="H12" s="7">
        <f t="shared" si="4"/>
        <v>44</v>
      </c>
      <c r="I12" s="12">
        <f>COUNTIFS('2010 Season Game Data'!Q:Q,'2010 Season End Standings'!A12,'2010 Season Game Data'!M:M,"D")</f>
        <v>29</v>
      </c>
      <c r="J12" s="7">
        <f>COUNTIFS('2010 Season Game Data'!Q:Q,'2010 Season End Standings'!A12,'2010 Season Game Data'!M:M,"N")</f>
        <v>51</v>
      </c>
      <c r="K12" s="12">
        <f t="shared" si="5"/>
        <v>20</v>
      </c>
      <c r="L12" s="7">
        <f t="shared" si="6"/>
        <v>62</v>
      </c>
      <c r="M12">
        <f>COUNTIFS('2010 Season Game Data'!G:G,'2010 Season End Standings'!A12,'2010 Season Game Data'!M:M,"D")</f>
        <v>22</v>
      </c>
      <c r="N12">
        <f>COUNTIFS('2010 Season Game Data'!D:D,'2010 Season End Standings'!A12,'2010 Season Game Data'!M:M,"D")</f>
        <v>27</v>
      </c>
    </row>
    <row r="13" spans="1:14" x14ac:dyDescent="0.35">
      <c r="A13" s="4" t="s">
        <v>40</v>
      </c>
      <c r="B13" s="8">
        <f>COUNTIF('2010 Season Game Data'!$Q$2:$Q$4000,'2010 Season End Standings'!A13)</f>
        <v>61</v>
      </c>
      <c r="C13" s="9">
        <f t="shared" si="0"/>
        <v>101</v>
      </c>
      <c r="D13" s="13">
        <f>COUNTIFS('2010 Season Game Data'!Q:Q,'2010 Season End Standings'!A13,'2010 Season Game Data'!R:R,"Yes")</f>
        <v>35</v>
      </c>
      <c r="E13" s="8">
        <f t="shared" si="1"/>
        <v>26</v>
      </c>
      <c r="F13" s="17">
        <f t="shared" si="2"/>
        <v>0.37654320987654322</v>
      </c>
      <c r="G13" s="8">
        <f t="shared" si="3"/>
        <v>46</v>
      </c>
      <c r="H13" s="9">
        <f t="shared" si="4"/>
        <v>55</v>
      </c>
      <c r="I13" s="13">
        <f>COUNTIFS('2010 Season Game Data'!Q:Q,'2010 Season End Standings'!A13,'2010 Season Game Data'!M:M,"D")</f>
        <v>16</v>
      </c>
      <c r="J13" s="9">
        <f>COUNTIFS('2010 Season Game Data'!Q:Q,'2010 Season End Standings'!A13,'2010 Season Game Data'!M:M,"N")</f>
        <v>45</v>
      </c>
      <c r="K13" s="13">
        <f t="shared" si="5"/>
        <v>33</v>
      </c>
      <c r="L13" s="9">
        <f t="shared" si="6"/>
        <v>68</v>
      </c>
      <c r="M13">
        <f>COUNTIFS('2010 Season Game Data'!G:G,'2010 Season End Standings'!A13,'2010 Season Game Data'!M:M,"D")</f>
        <v>22</v>
      </c>
      <c r="N13">
        <f>COUNTIFS('2010 Season Game Data'!D:D,'2010 Season End Standings'!A13,'2010 Season Game Data'!M:M,"D")</f>
        <v>27</v>
      </c>
    </row>
    <row r="14" spans="1:14" x14ac:dyDescent="0.35">
      <c r="A14" s="4" t="s">
        <v>41</v>
      </c>
      <c r="B14" s="8">
        <f>COUNTIF('2010 Season Game Data'!$Q$2:$Q$4000,'2010 Season End Standings'!A14)</f>
        <v>81</v>
      </c>
      <c r="C14" s="9">
        <f t="shared" si="0"/>
        <v>81</v>
      </c>
      <c r="D14" s="13">
        <f>COUNTIFS('2010 Season Game Data'!Q:Q,'2010 Season End Standings'!A14,'2010 Season Game Data'!R:R,"Yes")</f>
        <v>47</v>
      </c>
      <c r="E14" s="8">
        <f t="shared" si="1"/>
        <v>34</v>
      </c>
      <c r="F14" s="17">
        <f t="shared" si="2"/>
        <v>0.5</v>
      </c>
      <c r="G14" s="8">
        <f t="shared" si="3"/>
        <v>34</v>
      </c>
      <c r="H14" s="9">
        <f t="shared" si="4"/>
        <v>47</v>
      </c>
      <c r="I14" s="13">
        <f>COUNTIFS('2010 Season Game Data'!Q:Q,'2010 Season End Standings'!A14,'2010 Season Game Data'!M:M,"D")</f>
        <v>35</v>
      </c>
      <c r="J14" s="9">
        <f>COUNTIFS('2010 Season Game Data'!Q:Q,'2010 Season End Standings'!A14,'2010 Season Game Data'!M:M,"N")</f>
        <v>46</v>
      </c>
      <c r="K14" s="13">
        <f t="shared" si="5"/>
        <v>21</v>
      </c>
      <c r="L14" s="9">
        <f t="shared" si="6"/>
        <v>60</v>
      </c>
      <c r="M14">
        <f>COUNTIFS('2010 Season Game Data'!G:G,'2010 Season End Standings'!A14,'2010 Season Game Data'!M:M,"D")</f>
        <v>32</v>
      </c>
      <c r="N14">
        <f>COUNTIFS('2010 Season Game Data'!D:D,'2010 Season End Standings'!A14,'2010 Season Game Data'!M:M,"D")</f>
        <v>24</v>
      </c>
    </row>
    <row r="15" spans="1:14" x14ac:dyDescent="0.35">
      <c r="A15" s="5" t="s">
        <v>47</v>
      </c>
      <c r="B15" s="10">
        <f>COUNTIF('2010 Season Game Data'!$Q$2:$Q$4000,'2010 Season End Standings'!A15)</f>
        <v>90</v>
      </c>
      <c r="C15" s="11">
        <f t="shared" si="0"/>
        <v>72</v>
      </c>
      <c r="D15" s="14">
        <f>COUNTIFS('2010 Season Game Data'!Q:Q,'2010 Season End Standings'!A15,'2010 Season Game Data'!R:R,"Yes")</f>
        <v>51</v>
      </c>
      <c r="E15" s="10">
        <f t="shared" si="1"/>
        <v>39</v>
      </c>
      <c r="F15" s="18">
        <f t="shared" si="2"/>
        <v>0.55555555555555558</v>
      </c>
      <c r="G15" s="10">
        <f t="shared" si="3"/>
        <v>30</v>
      </c>
      <c r="H15" s="11">
        <f t="shared" si="4"/>
        <v>42</v>
      </c>
      <c r="I15" s="14">
        <f>COUNTIFS('2010 Season Game Data'!Q:Q,'2010 Season End Standings'!A15,'2010 Season Game Data'!M:M,"D")</f>
        <v>19</v>
      </c>
      <c r="J15" s="11">
        <f>COUNTIFS('2010 Season Game Data'!Q:Q,'2010 Season End Standings'!A15,'2010 Season Game Data'!M:M,"N")</f>
        <v>71</v>
      </c>
      <c r="K15" s="14">
        <f t="shared" si="5"/>
        <v>25</v>
      </c>
      <c r="L15" s="11">
        <f t="shared" si="6"/>
        <v>47</v>
      </c>
      <c r="M15">
        <f>COUNTIFS('2010 Season Game Data'!G:G,'2010 Season End Standings'!A15,'2010 Season Game Data'!M:M,"D")</f>
        <v>18</v>
      </c>
      <c r="N15">
        <f>COUNTIFS('2010 Season Game Data'!D:D,'2010 Season End Standings'!A15,'2010 Season Game Data'!M:M,"D")</f>
        <v>26</v>
      </c>
    </row>
    <row r="16" spans="1:14" x14ac:dyDescent="0.35">
      <c r="A16" s="3" t="s">
        <v>25</v>
      </c>
      <c r="B16" s="6">
        <f>COUNTIF('2010 Season Game Data'!$Q$2:$Q$4000,'2010 Season End Standings'!A16)</f>
        <v>97</v>
      </c>
      <c r="C16" s="7">
        <f t="shared" si="0"/>
        <v>65</v>
      </c>
      <c r="D16" s="12">
        <f>COUNTIFS('2010 Season Game Data'!Q:Q,'2010 Season End Standings'!A16,'2010 Season Game Data'!R:R,"Yes")</f>
        <v>52</v>
      </c>
      <c r="E16" s="6">
        <f t="shared" si="1"/>
        <v>45</v>
      </c>
      <c r="F16" s="16">
        <f t="shared" si="2"/>
        <v>0.59876543209876543</v>
      </c>
      <c r="G16" s="6">
        <f t="shared" si="3"/>
        <v>29</v>
      </c>
      <c r="H16" s="7">
        <f t="shared" si="4"/>
        <v>36</v>
      </c>
      <c r="I16" s="12">
        <f>COUNTIFS('2010 Season Game Data'!Q:Q,'2010 Season End Standings'!A16,'2010 Season Game Data'!M:M,"D")</f>
        <v>27</v>
      </c>
      <c r="J16" s="7">
        <f>COUNTIFS('2010 Season Game Data'!Q:Q,'2010 Season End Standings'!A16,'2010 Season Game Data'!M:M,"N")</f>
        <v>70</v>
      </c>
      <c r="K16" s="12">
        <f t="shared" si="5"/>
        <v>24</v>
      </c>
      <c r="L16" s="7">
        <f t="shared" si="6"/>
        <v>41</v>
      </c>
      <c r="M16">
        <f>COUNTIFS('2010 Season Game Data'!G:G,'2010 Season End Standings'!A16,'2010 Season Game Data'!M:M,"D")</f>
        <v>24</v>
      </c>
      <c r="N16">
        <f>COUNTIFS('2010 Season Game Data'!D:D,'2010 Season End Standings'!A16,'2010 Season Game Data'!M:M,"D")</f>
        <v>27</v>
      </c>
    </row>
    <row r="17" spans="1:14" x14ac:dyDescent="0.35">
      <c r="A17" s="4" t="s">
        <v>19</v>
      </c>
      <c r="B17" s="8">
        <f>COUNTIF('2010 Season Game Data'!$Q$2:$Q$4000,'2010 Season End Standings'!A17)</f>
        <v>79</v>
      </c>
      <c r="C17" s="9">
        <f t="shared" si="0"/>
        <v>83</v>
      </c>
      <c r="D17" s="13">
        <f>COUNTIFS('2010 Season Game Data'!Q:Q,'2010 Season End Standings'!A17,'2010 Season Game Data'!R:R,"Yes")</f>
        <v>47</v>
      </c>
      <c r="E17" s="8">
        <f t="shared" si="1"/>
        <v>32</v>
      </c>
      <c r="F17" s="17">
        <f t="shared" si="2"/>
        <v>0.48765432098765432</v>
      </c>
      <c r="G17" s="8">
        <f t="shared" si="3"/>
        <v>34</v>
      </c>
      <c r="H17" s="9">
        <f t="shared" si="4"/>
        <v>49</v>
      </c>
      <c r="I17" s="13">
        <f>COUNTIFS('2010 Season Game Data'!Q:Q,'2010 Season End Standings'!A17,'2010 Season Game Data'!M:M,"D")</f>
        <v>23</v>
      </c>
      <c r="J17" s="9">
        <f>COUNTIFS('2010 Season Game Data'!Q:Q,'2010 Season End Standings'!A17,'2010 Season Game Data'!M:M,"N")</f>
        <v>56</v>
      </c>
      <c r="K17" s="13">
        <f t="shared" si="5"/>
        <v>27</v>
      </c>
      <c r="L17" s="9">
        <f t="shared" si="6"/>
        <v>56</v>
      </c>
      <c r="M17">
        <f>COUNTIFS('2010 Season Game Data'!G:G,'2010 Season End Standings'!A17,'2010 Season Game Data'!M:M,"D")</f>
        <v>27</v>
      </c>
      <c r="N17">
        <f>COUNTIFS('2010 Season Game Data'!D:D,'2010 Season End Standings'!A17,'2010 Season Game Data'!M:M,"D")</f>
        <v>23</v>
      </c>
    </row>
    <row r="18" spans="1:14" x14ac:dyDescent="0.35">
      <c r="A18" s="4" t="s">
        <v>17</v>
      </c>
      <c r="B18" s="8">
        <f>COUNTIF('2010 Season Game Data'!$Q$2:$Q$4000,'2010 Season End Standings'!A18)</f>
        <v>80</v>
      </c>
      <c r="C18" s="9">
        <f t="shared" si="0"/>
        <v>82</v>
      </c>
      <c r="D18" s="13">
        <f>COUNTIFS('2010 Season Game Data'!Q:Q,'2010 Season End Standings'!A18,'2010 Season Game Data'!R:R,"Yes")</f>
        <v>41</v>
      </c>
      <c r="E18" s="8">
        <f t="shared" si="1"/>
        <v>39</v>
      </c>
      <c r="F18" s="17">
        <f t="shared" si="2"/>
        <v>0.49382716049382713</v>
      </c>
      <c r="G18" s="8">
        <f t="shared" si="3"/>
        <v>40</v>
      </c>
      <c r="H18" s="9">
        <f t="shared" si="4"/>
        <v>42</v>
      </c>
      <c r="I18" s="13">
        <f>COUNTIFS('2010 Season Game Data'!Q:Q,'2010 Season End Standings'!A18,'2010 Season Game Data'!M:M,"D")</f>
        <v>22</v>
      </c>
      <c r="J18" s="9">
        <f>COUNTIFS('2010 Season Game Data'!Q:Q,'2010 Season End Standings'!A18,'2010 Season Game Data'!M:M,"N")</f>
        <v>58</v>
      </c>
      <c r="K18" s="13">
        <f t="shared" si="5"/>
        <v>20</v>
      </c>
      <c r="L18" s="9">
        <f t="shared" si="6"/>
        <v>62</v>
      </c>
      <c r="M18">
        <f>COUNTIFS('2010 Season Game Data'!G:G,'2010 Season End Standings'!A18,'2010 Season Game Data'!M:M,"D")</f>
        <v>17</v>
      </c>
      <c r="N18">
        <f>COUNTIFS('2010 Season Game Data'!D:D,'2010 Season End Standings'!A18,'2010 Season Game Data'!M:M,"D")</f>
        <v>25</v>
      </c>
    </row>
    <row r="19" spans="1:14" x14ac:dyDescent="0.35">
      <c r="A19" s="4" t="s">
        <v>50</v>
      </c>
      <c r="B19" s="8">
        <f>COUNTIF('2010 Season Game Data'!$Q$2:$Q$4000,'2010 Season End Standings'!A19)</f>
        <v>91</v>
      </c>
      <c r="C19" s="9">
        <f t="shared" si="0"/>
        <v>71</v>
      </c>
      <c r="D19" s="13">
        <f>COUNTIFS('2010 Season Game Data'!Q:Q,'2010 Season End Standings'!A19,'2010 Season Game Data'!R:R,"Yes")</f>
        <v>56</v>
      </c>
      <c r="E19" s="8">
        <f t="shared" si="1"/>
        <v>35</v>
      </c>
      <c r="F19" s="17">
        <f t="shared" si="2"/>
        <v>0.56172839506172845</v>
      </c>
      <c r="G19" s="8">
        <f t="shared" si="3"/>
        <v>25</v>
      </c>
      <c r="H19" s="9">
        <f t="shared" si="4"/>
        <v>46</v>
      </c>
      <c r="I19" s="13">
        <f>COUNTIFS('2010 Season Game Data'!Q:Q,'2010 Season End Standings'!A19,'2010 Season Game Data'!M:M,"D")</f>
        <v>32</v>
      </c>
      <c r="J19" s="9">
        <f>COUNTIFS('2010 Season Game Data'!Q:Q,'2010 Season End Standings'!A19,'2010 Season Game Data'!M:M,"N")</f>
        <v>59</v>
      </c>
      <c r="K19" s="13">
        <f t="shared" si="5"/>
        <v>22</v>
      </c>
      <c r="L19" s="9">
        <f t="shared" si="6"/>
        <v>49</v>
      </c>
      <c r="M19">
        <f>COUNTIFS('2010 Season Game Data'!G:G,'2010 Season End Standings'!A19,'2010 Season Game Data'!M:M,"D")</f>
        <v>24</v>
      </c>
      <c r="N19">
        <f>COUNTIFS('2010 Season Game Data'!D:D,'2010 Season End Standings'!A19,'2010 Season Game Data'!M:M,"D")</f>
        <v>30</v>
      </c>
    </row>
    <row r="20" spans="1:14" x14ac:dyDescent="0.35">
      <c r="A20" s="5" t="s">
        <v>26</v>
      </c>
      <c r="B20" s="10">
        <f>COUNTIF('2010 Season Game Data'!$Q$2:$Q$4000,'2010 Season End Standings'!A20)</f>
        <v>69</v>
      </c>
      <c r="C20" s="11">
        <f t="shared" si="0"/>
        <v>93</v>
      </c>
      <c r="D20" s="14">
        <f>COUNTIFS('2010 Season Game Data'!Q:Q,'2010 Season End Standings'!A20,'2010 Season Game Data'!R:R,"Yes")</f>
        <v>41</v>
      </c>
      <c r="E20" s="10">
        <f t="shared" si="1"/>
        <v>28</v>
      </c>
      <c r="F20" s="18">
        <f t="shared" si="2"/>
        <v>0.42592592592592593</v>
      </c>
      <c r="G20" s="10">
        <f t="shared" si="3"/>
        <v>40</v>
      </c>
      <c r="H20" s="11">
        <f t="shared" si="4"/>
        <v>53</v>
      </c>
      <c r="I20" s="14">
        <f>COUNTIFS('2010 Season Game Data'!Q:Q,'2010 Season End Standings'!A20,'2010 Season Game Data'!M:M,"D")</f>
        <v>26</v>
      </c>
      <c r="J20" s="11">
        <f>COUNTIFS('2010 Season Game Data'!Q:Q,'2010 Season End Standings'!A20,'2010 Season Game Data'!M:M,"N")</f>
        <v>43</v>
      </c>
      <c r="K20" s="14">
        <f t="shared" si="5"/>
        <v>31</v>
      </c>
      <c r="L20" s="11">
        <f t="shared" si="6"/>
        <v>62</v>
      </c>
      <c r="M20">
        <f>COUNTIFS('2010 Season Game Data'!G:G,'2010 Season End Standings'!A20,'2010 Season Game Data'!M:M,"D")</f>
        <v>29</v>
      </c>
      <c r="N20">
        <f>COUNTIFS('2010 Season Game Data'!D:D,'2010 Season End Standings'!A20,'2010 Season Game Data'!M:M,"D")</f>
        <v>28</v>
      </c>
    </row>
    <row r="21" spans="1:14" x14ac:dyDescent="0.35">
      <c r="A21" s="3" t="s">
        <v>66</v>
      </c>
      <c r="B21" s="6">
        <f>COUNTIF('2010 Season Game Data'!$Q$2:$Q$4000,'2010 Season End Standings'!A21)</f>
        <v>76</v>
      </c>
      <c r="C21" s="7">
        <f t="shared" si="0"/>
        <v>86</v>
      </c>
      <c r="D21" s="12">
        <f>COUNTIFS('2010 Season Game Data'!Q:Q,'2010 Season End Standings'!A21,'2010 Season Game Data'!R:R,"Yes")</f>
        <v>42</v>
      </c>
      <c r="E21" s="6">
        <f t="shared" si="1"/>
        <v>34</v>
      </c>
      <c r="F21" s="16">
        <f t="shared" si="2"/>
        <v>0.46913580246913578</v>
      </c>
      <c r="G21" s="6">
        <f t="shared" si="3"/>
        <v>39</v>
      </c>
      <c r="H21" s="7">
        <f t="shared" si="4"/>
        <v>47</v>
      </c>
      <c r="I21" s="12">
        <f>COUNTIFS('2010 Season Game Data'!Q:Q,'2010 Season End Standings'!A21,'2010 Season Game Data'!M:M,"D")</f>
        <v>25</v>
      </c>
      <c r="J21" s="7">
        <f>COUNTIFS('2010 Season Game Data'!Q:Q,'2010 Season End Standings'!A21,'2010 Season Game Data'!M:M,"N")</f>
        <v>51</v>
      </c>
      <c r="K21" s="12">
        <f t="shared" si="5"/>
        <v>25</v>
      </c>
      <c r="L21" s="7">
        <f t="shared" si="6"/>
        <v>61</v>
      </c>
      <c r="M21">
        <f>COUNTIFS('2010 Season Game Data'!G:G,'2010 Season End Standings'!A21,'2010 Season Game Data'!M:M,"D")</f>
        <v>22</v>
      </c>
      <c r="N21">
        <f>COUNTIFS('2010 Season Game Data'!D:D,'2010 Season End Standings'!A21,'2010 Season Game Data'!M:M,"D")</f>
        <v>28</v>
      </c>
    </row>
    <row r="22" spans="1:14" x14ac:dyDescent="0.35">
      <c r="A22" s="4" t="s">
        <v>52</v>
      </c>
      <c r="B22" s="8">
        <f>COUNTIF('2010 Season Game Data'!$Q$2:$Q$4000,'2010 Season End Standings'!A22)</f>
        <v>86</v>
      </c>
      <c r="C22" s="9">
        <f t="shared" si="0"/>
        <v>76</v>
      </c>
      <c r="D22" s="13">
        <f>COUNTIFS('2010 Season Game Data'!Q:Q,'2010 Season End Standings'!A22,'2010 Season Game Data'!R:R,"Yes")</f>
        <v>52</v>
      </c>
      <c r="E22" s="8">
        <f t="shared" si="1"/>
        <v>34</v>
      </c>
      <c r="F22" s="17">
        <f t="shared" si="2"/>
        <v>0.53086419753086422</v>
      </c>
      <c r="G22" s="8">
        <f t="shared" si="3"/>
        <v>29</v>
      </c>
      <c r="H22" s="9">
        <f t="shared" si="4"/>
        <v>47</v>
      </c>
      <c r="I22" s="13">
        <f>COUNTIFS('2010 Season Game Data'!Q:Q,'2010 Season End Standings'!A22,'2010 Season Game Data'!M:M,"D")</f>
        <v>32</v>
      </c>
      <c r="J22" s="9">
        <f>COUNTIFS('2010 Season Game Data'!Q:Q,'2010 Season End Standings'!A22,'2010 Season Game Data'!M:M,"N")</f>
        <v>54</v>
      </c>
      <c r="K22" s="13">
        <f t="shared" si="5"/>
        <v>27</v>
      </c>
      <c r="L22" s="9">
        <f t="shared" si="6"/>
        <v>49</v>
      </c>
      <c r="M22">
        <f>COUNTIFS('2010 Season Game Data'!G:G,'2010 Season End Standings'!A22,'2010 Season Game Data'!M:M,"D")</f>
        <v>30</v>
      </c>
      <c r="N22">
        <f>COUNTIFS('2010 Season Game Data'!D:D,'2010 Season End Standings'!A22,'2010 Season Game Data'!M:M,"D")</f>
        <v>29</v>
      </c>
    </row>
    <row r="23" spans="1:14" x14ac:dyDescent="0.35">
      <c r="A23" s="4" t="s">
        <v>53</v>
      </c>
      <c r="B23" s="8">
        <f>COUNTIF('2010 Season Game Data'!$Q$2:$Q$4000,'2010 Season End Standings'!A23)</f>
        <v>91</v>
      </c>
      <c r="C23" s="9">
        <f t="shared" si="0"/>
        <v>71</v>
      </c>
      <c r="D23" s="13">
        <f>COUNTIFS('2010 Season Game Data'!Q:Q,'2010 Season End Standings'!A23,'2010 Season Game Data'!R:R,"Yes")</f>
        <v>49</v>
      </c>
      <c r="E23" s="8">
        <f t="shared" si="1"/>
        <v>42</v>
      </c>
      <c r="F23" s="17">
        <f t="shared" si="2"/>
        <v>0.56172839506172845</v>
      </c>
      <c r="G23" s="8">
        <f t="shared" si="3"/>
        <v>32</v>
      </c>
      <c r="H23" s="9">
        <f t="shared" si="4"/>
        <v>39</v>
      </c>
      <c r="I23" s="13">
        <f>COUNTIFS('2010 Season Game Data'!Q:Q,'2010 Season End Standings'!A23,'2010 Season Game Data'!M:M,"D")</f>
        <v>31</v>
      </c>
      <c r="J23" s="9">
        <f>COUNTIFS('2010 Season Game Data'!Q:Q,'2010 Season End Standings'!A23,'2010 Season Game Data'!M:M,"N")</f>
        <v>60</v>
      </c>
      <c r="K23" s="13">
        <f t="shared" si="5"/>
        <v>26</v>
      </c>
      <c r="L23" s="9">
        <f t="shared" si="6"/>
        <v>45</v>
      </c>
      <c r="M23">
        <f>COUNTIFS('2010 Season Game Data'!G:G,'2010 Season End Standings'!A23,'2010 Season Game Data'!M:M,"D")</f>
        <v>27</v>
      </c>
      <c r="N23">
        <f>COUNTIFS('2010 Season Game Data'!D:D,'2010 Season End Standings'!A23,'2010 Season Game Data'!M:M,"D")</f>
        <v>30</v>
      </c>
    </row>
    <row r="24" spans="1:14" x14ac:dyDescent="0.35">
      <c r="A24" s="4" t="s">
        <v>23</v>
      </c>
      <c r="B24" s="8">
        <f>COUNTIF('2010 Season Game Data'!$Q$2:$Q$4000,'2010 Season End Standings'!A24)</f>
        <v>57</v>
      </c>
      <c r="C24" s="9">
        <f t="shared" si="0"/>
        <v>105</v>
      </c>
      <c r="D24" s="13">
        <f>COUNTIFS('2010 Season Game Data'!Q:Q,'2010 Season End Standings'!A24,'2010 Season Game Data'!R:R,"Yes")</f>
        <v>40</v>
      </c>
      <c r="E24" s="8">
        <f t="shared" si="1"/>
        <v>17</v>
      </c>
      <c r="F24" s="17">
        <f t="shared" si="2"/>
        <v>0.35185185185185186</v>
      </c>
      <c r="G24" s="8">
        <f t="shared" si="3"/>
        <v>41</v>
      </c>
      <c r="H24" s="9">
        <f t="shared" si="4"/>
        <v>64</v>
      </c>
      <c r="I24" s="13">
        <f>COUNTIFS('2010 Season Game Data'!Q:Q,'2010 Season End Standings'!A24,'2010 Season Game Data'!M:M,"D")</f>
        <v>16</v>
      </c>
      <c r="J24" s="9">
        <f>COUNTIFS('2010 Season Game Data'!Q:Q,'2010 Season End Standings'!A24,'2010 Season Game Data'!M:M,"N")</f>
        <v>41</v>
      </c>
      <c r="K24" s="13">
        <f t="shared" si="5"/>
        <v>29</v>
      </c>
      <c r="L24" s="9">
        <f t="shared" si="6"/>
        <v>76</v>
      </c>
      <c r="M24">
        <f>COUNTIFS('2010 Season Game Data'!G:G,'2010 Season End Standings'!A24,'2010 Season Game Data'!M:M,"D")</f>
        <v>22</v>
      </c>
      <c r="N24">
        <f>COUNTIFS('2010 Season Game Data'!D:D,'2010 Season End Standings'!A24,'2010 Season Game Data'!M:M,"D")</f>
        <v>23</v>
      </c>
    </row>
    <row r="25" spans="1:14" x14ac:dyDescent="0.35">
      <c r="A25" s="4" t="s">
        <v>49</v>
      </c>
      <c r="B25" s="8">
        <f>COUNTIF('2010 Season Game Data'!$Q$2:$Q$4000,'2010 Season End Standings'!A25)</f>
        <v>75</v>
      </c>
      <c r="C25" s="9">
        <f t="shared" si="0"/>
        <v>87</v>
      </c>
      <c r="D25" s="13">
        <f>COUNTIFS('2010 Season Game Data'!Q:Q,'2010 Season End Standings'!A25,'2010 Season Game Data'!R:R,"Yes")</f>
        <v>35</v>
      </c>
      <c r="E25" s="8">
        <f t="shared" si="1"/>
        <v>40</v>
      </c>
      <c r="F25" s="17">
        <f t="shared" si="2"/>
        <v>0.46296296296296297</v>
      </c>
      <c r="G25" s="8">
        <f t="shared" si="3"/>
        <v>46</v>
      </c>
      <c r="H25" s="9">
        <f t="shared" si="4"/>
        <v>41</v>
      </c>
      <c r="I25" s="13">
        <f>COUNTIFS('2010 Season Game Data'!Q:Q,'2010 Season End Standings'!A25,'2010 Season Game Data'!M:M,"D")</f>
        <v>35</v>
      </c>
      <c r="J25" s="9">
        <f>COUNTIFS('2010 Season Game Data'!Q:Q,'2010 Season End Standings'!A25,'2010 Season Game Data'!M:M,"N")</f>
        <v>40</v>
      </c>
      <c r="K25" s="13">
        <f t="shared" si="5"/>
        <v>43</v>
      </c>
      <c r="L25" s="9">
        <f t="shared" si="6"/>
        <v>44</v>
      </c>
      <c r="M25">
        <f>COUNTIFS('2010 Season Game Data'!G:G,'2010 Season End Standings'!A25,'2010 Season Game Data'!M:M,"D")</f>
        <v>52</v>
      </c>
      <c r="N25">
        <f>COUNTIFS('2010 Season Game Data'!D:D,'2010 Season End Standings'!A25,'2010 Season Game Data'!M:M,"D")</f>
        <v>26</v>
      </c>
    </row>
    <row r="26" spans="1:14" x14ac:dyDescent="0.35">
      <c r="A26" s="5" t="s">
        <v>68</v>
      </c>
      <c r="B26" s="10">
        <f>COUNTIF('2010 Season Game Data'!$Q$2:$Q$4000,'2010 Season End Standings'!A26)</f>
        <v>77</v>
      </c>
      <c r="C26" s="11">
        <f t="shared" si="0"/>
        <v>85</v>
      </c>
      <c r="D26" s="14">
        <f>COUNTIFS('2010 Season Game Data'!Q:Q,'2010 Season End Standings'!A26,'2010 Season Game Data'!R:R,"Yes")</f>
        <v>40</v>
      </c>
      <c r="E26" s="10">
        <f t="shared" si="1"/>
        <v>37</v>
      </c>
      <c r="F26" s="18">
        <f t="shared" si="2"/>
        <v>0.47530864197530864</v>
      </c>
      <c r="G26" s="10">
        <f t="shared" si="3"/>
        <v>41</v>
      </c>
      <c r="H26" s="11">
        <f t="shared" si="4"/>
        <v>44</v>
      </c>
      <c r="I26" s="14">
        <f>COUNTIFS('2010 Season Game Data'!Q:Q,'2010 Season End Standings'!A26,'2010 Season Game Data'!M:M,"D")</f>
        <v>22</v>
      </c>
      <c r="J26" s="11">
        <f>COUNTIFS('2010 Season Game Data'!Q:Q,'2010 Season End Standings'!A26,'2010 Season Game Data'!M:M,"N")</f>
        <v>55</v>
      </c>
      <c r="K26" s="14">
        <f t="shared" si="5"/>
        <v>33</v>
      </c>
      <c r="L26" s="11">
        <f t="shared" si="6"/>
        <v>52</v>
      </c>
      <c r="M26">
        <f>COUNTIFS('2010 Season Game Data'!G:G,'2010 Season End Standings'!A26,'2010 Season Game Data'!M:M,"D")</f>
        <v>28</v>
      </c>
      <c r="N26">
        <f>COUNTIFS('2010 Season Game Data'!D:D,'2010 Season End Standings'!A26,'2010 Season Game Data'!M:M,"D")</f>
        <v>27</v>
      </c>
    </row>
    <row r="27" spans="1:14" x14ac:dyDescent="0.35">
      <c r="A27" s="3" t="s">
        <v>62</v>
      </c>
      <c r="B27" s="6">
        <f>COUNTIF('2010 Season Game Data'!$Q$2:$Q$4000,'2010 Season End Standings'!A27)</f>
        <v>90</v>
      </c>
      <c r="C27" s="7">
        <f t="shared" si="0"/>
        <v>72</v>
      </c>
      <c r="D27" s="12">
        <f>COUNTIFS('2010 Season Game Data'!Q:Q,'2010 Season End Standings'!A27,'2010 Season Game Data'!R:R,"Yes")</f>
        <v>45</v>
      </c>
      <c r="E27" s="6">
        <f t="shared" si="1"/>
        <v>45</v>
      </c>
      <c r="F27" s="16">
        <f t="shared" si="2"/>
        <v>0.55555555555555558</v>
      </c>
      <c r="G27" s="6">
        <f t="shared" si="3"/>
        <v>36</v>
      </c>
      <c r="H27" s="7">
        <f t="shared" si="4"/>
        <v>36</v>
      </c>
      <c r="I27" s="12">
        <f>COUNTIFS('2010 Season Game Data'!Q:Q,'2010 Season End Standings'!A27,'2010 Season Game Data'!M:M,"D")</f>
        <v>31</v>
      </c>
      <c r="J27" s="7">
        <f>COUNTIFS('2010 Season Game Data'!Q:Q,'2010 Season End Standings'!A27,'2010 Season Game Data'!M:M,"N")</f>
        <v>59</v>
      </c>
      <c r="K27" s="12">
        <f t="shared" si="5"/>
        <v>25</v>
      </c>
      <c r="L27" s="7">
        <f t="shared" si="6"/>
        <v>47</v>
      </c>
      <c r="M27">
        <f>COUNTIFS('2010 Season Game Data'!G:G,'2010 Season End Standings'!A27,'2010 Season Game Data'!M:M,"D")</f>
        <v>28</v>
      </c>
      <c r="N27">
        <f>COUNTIFS('2010 Season Game Data'!D:D,'2010 Season End Standings'!A27,'2010 Season Game Data'!M:M,"D")</f>
        <v>28</v>
      </c>
    </row>
    <row r="28" spans="1:14" x14ac:dyDescent="0.35">
      <c r="A28" s="4" t="s">
        <v>63</v>
      </c>
      <c r="B28" s="8">
        <f>COUNTIF('2010 Season Game Data'!$Q$2:$Q$4000,'2010 Season End Standings'!A28)</f>
        <v>83</v>
      </c>
      <c r="C28" s="9">
        <f t="shared" si="0"/>
        <v>79</v>
      </c>
      <c r="D28" s="13">
        <f>COUNTIFS('2010 Season Game Data'!Q:Q,'2010 Season End Standings'!A28,'2010 Season Game Data'!R:R,"Yes")</f>
        <v>52</v>
      </c>
      <c r="E28" s="8">
        <f t="shared" si="1"/>
        <v>31</v>
      </c>
      <c r="F28" s="17">
        <f t="shared" si="2"/>
        <v>0.51234567901234573</v>
      </c>
      <c r="G28" s="8">
        <f t="shared" si="3"/>
        <v>29</v>
      </c>
      <c r="H28" s="9">
        <f t="shared" si="4"/>
        <v>50</v>
      </c>
      <c r="I28" s="13">
        <f>COUNTIFS('2010 Season Game Data'!Q:Q,'2010 Season End Standings'!A28,'2010 Season Game Data'!M:M,"D")</f>
        <v>34</v>
      </c>
      <c r="J28" s="9">
        <f>COUNTIFS('2010 Season Game Data'!Q:Q,'2010 Season End Standings'!A28,'2010 Season Game Data'!M:M,"N")</f>
        <v>49</v>
      </c>
      <c r="K28" s="13">
        <f t="shared" si="5"/>
        <v>23</v>
      </c>
      <c r="L28" s="9">
        <f t="shared" si="6"/>
        <v>56</v>
      </c>
      <c r="M28">
        <f>COUNTIFS('2010 Season Game Data'!G:G,'2010 Season End Standings'!A28,'2010 Season Game Data'!M:M,"D")</f>
        <v>29</v>
      </c>
      <c r="N28">
        <f>COUNTIFS('2010 Season Game Data'!D:D,'2010 Season End Standings'!A28,'2010 Season Game Data'!M:M,"D")</f>
        <v>28</v>
      </c>
    </row>
    <row r="29" spans="1:14" x14ac:dyDescent="0.35">
      <c r="A29" s="4" t="s">
        <v>22</v>
      </c>
      <c r="B29" s="8">
        <f>COUNTIF('2010 Season Game Data'!$Q$2:$Q$4000,'2010 Season End Standings'!A29)</f>
        <v>80</v>
      </c>
      <c r="C29" s="9">
        <f t="shared" si="0"/>
        <v>82</v>
      </c>
      <c r="D29" s="13">
        <f>COUNTIFS('2010 Season Game Data'!Q:Q,'2010 Season End Standings'!A29,'2010 Season Game Data'!R:R,"Yes")</f>
        <v>45</v>
      </c>
      <c r="E29" s="8">
        <f t="shared" si="1"/>
        <v>35</v>
      </c>
      <c r="F29" s="17">
        <f t="shared" si="2"/>
        <v>0.49382716049382713</v>
      </c>
      <c r="G29" s="8">
        <f t="shared" si="3"/>
        <v>36</v>
      </c>
      <c r="H29" s="9">
        <f t="shared" si="4"/>
        <v>46</v>
      </c>
      <c r="I29" s="13">
        <f>COUNTIFS('2010 Season Game Data'!Q:Q,'2010 Season End Standings'!A29,'2010 Season Game Data'!M:M,"D")</f>
        <v>21</v>
      </c>
      <c r="J29" s="9">
        <f>COUNTIFS('2010 Season Game Data'!Q:Q,'2010 Season End Standings'!A29,'2010 Season Game Data'!M:M,"N")</f>
        <v>59</v>
      </c>
      <c r="K29" s="13">
        <f t="shared" si="5"/>
        <v>23</v>
      </c>
      <c r="L29" s="9">
        <f t="shared" si="6"/>
        <v>59</v>
      </c>
      <c r="M29">
        <f>COUNTIFS('2010 Season Game Data'!G:G,'2010 Season End Standings'!A29,'2010 Season Game Data'!M:M,"D")</f>
        <v>20</v>
      </c>
      <c r="N29">
        <f>COUNTIFS('2010 Season Game Data'!D:D,'2010 Season End Standings'!A29,'2010 Season Game Data'!M:M,"D")</f>
        <v>24</v>
      </c>
    </row>
    <row r="30" spans="1:14" x14ac:dyDescent="0.35">
      <c r="A30" s="4" t="s">
        <v>60</v>
      </c>
      <c r="B30" s="8">
        <f>COUNTIF('2010 Season Game Data'!$Q$2:$Q$4000,'2010 Season End Standings'!A30)</f>
        <v>65</v>
      </c>
      <c r="C30" s="9">
        <f t="shared" si="0"/>
        <v>97</v>
      </c>
      <c r="D30" s="13">
        <f>COUNTIFS('2010 Season Game Data'!Q:Q,'2010 Season End Standings'!A30,'2010 Season Game Data'!R:R,"Yes")</f>
        <v>40</v>
      </c>
      <c r="E30" s="8">
        <f t="shared" si="1"/>
        <v>25</v>
      </c>
      <c r="F30" s="17">
        <f t="shared" si="2"/>
        <v>0.40123456790123457</v>
      </c>
      <c r="G30" s="8">
        <f t="shared" si="3"/>
        <v>41</v>
      </c>
      <c r="H30" s="9">
        <f t="shared" si="4"/>
        <v>56</v>
      </c>
      <c r="I30" s="13">
        <f>COUNTIFS('2010 Season Game Data'!Q:Q,'2010 Season End Standings'!A30,'2010 Season Game Data'!M:M,"D")</f>
        <v>13</v>
      </c>
      <c r="J30" s="9">
        <f>COUNTIFS('2010 Season Game Data'!Q:Q,'2010 Season End Standings'!A30,'2010 Season Game Data'!M:M,"N")</f>
        <v>52</v>
      </c>
      <c r="K30" s="13">
        <f t="shared" si="5"/>
        <v>32</v>
      </c>
      <c r="L30" s="9">
        <f t="shared" si="6"/>
        <v>65</v>
      </c>
      <c r="M30">
        <f>COUNTIFS('2010 Season Game Data'!G:G,'2010 Season End Standings'!A30,'2010 Season Game Data'!M:M,"D")</f>
        <v>18</v>
      </c>
      <c r="N30">
        <f>COUNTIFS('2010 Season Game Data'!D:D,'2010 Season End Standings'!A30,'2010 Season Game Data'!M:M,"D")</f>
        <v>27</v>
      </c>
    </row>
    <row r="31" spans="1:14" x14ac:dyDescent="0.35">
      <c r="A31" s="5" t="s">
        <v>70</v>
      </c>
      <c r="B31" s="10">
        <f>COUNTIF('2010 Season Game Data'!$Q$2:$Q$4000,'2010 Season End Standings'!A31)</f>
        <v>92</v>
      </c>
      <c r="C31" s="11">
        <f t="shared" si="0"/>
        <v>70</v>
      </c>
      <c r="D31" s="14">
        <f>COUNTIFS('2010 Season Game Data'!Q:Q,'2010 Season End Standings'!A31,'2010 Season Game Data'!R:R,"Yes")</f>
        <v>49</v>
      </c>
      <c r="E31" s="10">
        <f t="shared" si="1"/>
        <v>43</v>
      </c>
      <c r="F31" s="18">
        <f t="shared" si="2"/>
        <v>0.5679012345679012</v>
      </c>
      <c r="G31" s="10">
        <f t="shared" si="3"/>
        <v>32</v>
      </c>
      <c r="H31" s="11">
        <f t="shared" si="4"/>
        <v>38</v>
      </c>
      <c r="I31" s="14">
        <f>COUNTIFS('2010 Season Game Data'!Q:Q,'2010 Season End Standings'!A31,'2010 Season Game Data'!M:M,"D")</f>
        <v>29</v>
      </c>
      <c r="J31" s="11">
        <f>COUNTIFS('2010 Season Game Data'!Q:Q,'2010 Season End Standings'!A31,'2010 Season Game Data'!M:M,"N")</f>
        <v>63</v>
      </c>
      <c r="K31" s="14">
        <f t="shared" si="5"/>
        <v>26</v>
      </c>
      <c r="L31" s="11">
        <f t="shared" si="6"/>
        <v>44</v>
      </c>
      <c r="M31">
        <f>COUNTIFS('2010 Season Game Data'!G:G,'2010 Season End Standings'!A31,'2010 Season Game Data'!M:M,"D")</f>
        <v>30</v>
      </c>
      <c r="N31">
        <f>COUNTIFS('2010 Season Game Data'!D:D,'2010 Season End Standings'!A31,'2010 Season Game Data'!M:M,"D")</f>
        <v>25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Home">
          <controlPr defaultSize="0" autoLine="0" r:id="rId5">
            <anchor moveWithCells="1">
              <from>
                <xdr:col>14</xdr:col>
                <xdr:colOff>222250</xdr:colOff>
                <xdr:row>1</xdr:row>
                <xdr:rowOff>50800</xdr:rowOff>
              </from>
              <to>
                <xdr:col>16</xdr:col>
                <xdr:colOff>381000</xdr:colOff>
                <xdr:row>4</xdr:row>
                <xdr:rowOff>177800</xdr:rowOff>
              </to>
            </anchor>
          </controlPr>
        </control>
      </mc:Choice>
      <mc:Fallback>
        <control shapeId="9217" r:id="rId4" name="Ho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Home</vt:lpstr>
      <vt:lpstr>MLB Records Quiz</vt:lpstr>
      <vt:lpstr>Team season info</vt:lpstr>
      <vt:lpstr>Game Statistics</vt:lpstr>
      <vt:lpstr>MLB Records</vt:lpstr>
      <vt:lpstr>2010 Season Game Data</vt:lpstr>
      <vt:lpstr>2010 Season End Standings</vt:lpstr>
      <vt:lpstr>ALCENTRAL</vt:lpstr>
      <vt:lpstr>ALEAST</vt:lpstr>
      <vt:lpstr>ALWEST</vt:lpstr>
      <vt:lpstr>NLCENTRAL</vt:lpstr>
      <vt:lpstr>NLEAST</vt:lpstr>
      <vt:lpstr>NLWEST</vt:lpstr>
    </vt:vector>
  </TitlesOfParts>
  <Company>Alteryx,Inc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Mccaffrey Dawson Bray</dc:creator>
  <dc:description/>
  <cp:lastModifiedBy>Lincoln Rychecky</cp:lastModifiedBy>
  <dcterms:created xsi:type="dcterms:W3CDTF">2020-04-14T20:17:43Z</dcterms:created>
  <dcterms:modified xsi:type="dcterms:W3CDTF">2020-06-25T18:41:35Z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fae8262-b78e-4366-8929-a5d6aac95320_Enabled">
    <vt:lpwstr>true</vt:lpwstr>
  </property>
  <property fmtid="{D5CDD505-2E9C-101B-9397-08002B2CF9AE}" pid="3" name="MSIP_Label_5fae8262-b78e-4366-8929-a5d6aac95320_SetDate">
    <vt:lpwstr>2020-06-25T18:41:34Z</vt:lpwstr>
  </property>
  <property fmtid="{D5CDD505-2E9C-101B-9397-08002B2CF9AE}" pid="4" name="MSIP_Label_5fae8262-b78e-4366-8929-a5d6aac95320_Method">
    <vt:lpwstr>Standard</vt:lpwstr>
  </property>
  <property fmtid="{D5CDD505-2E9C-101B-9397-08002B2CF9AE}" pid="5" name="MSIP_Label_5fae8262-b78e-4366-8929-a5d6aac95320_Name">
    <vt:lpwstr>5fae8262-b78e-4366-8929-a5d6aac95320</vt:lpwstr>
  </property>
  <property fmtid="{D5CDD505-2E9C-101B-9397-08002B2CF9AE}" pid="6" name="MSIP_Label_5fae8262-b78e-4366-8929-a5d6aac95320_SiteId">
    <vt:lpwstr>cf36141c-ddd7-45a7-b073-111f66d0b30c</vt:lpwstr>
  </property>
  <property fmtid="{D5CDD505-2E9C-101B-9397-08002B2CF9AE}" pid="7" name="MSIP_Label_5fae8262-b78e-4366-8929-a5d6aac95320_ActionId">
    <vt:lpwstr>12f776ac-64a9-49e4-bc0b-b6bbac852c80</vt:lpwstr>
  </property>
  <property fmtid="{D5CDD505-2E9C-101B-9397-08002B2CF9AE}" pid="8" name="MSIP_Label_5fae8262-b78e-4366-8929-a5d6aac95320_ContentBits">
    <vt:lpwstr>0</vt:lpwstr>
  </property>
</Properties>
</file>